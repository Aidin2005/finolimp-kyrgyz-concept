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 субагентам" sheetId="2" state="visible" r:id="rId2"/>
    <sheet xmlns:r="http://schemas.openxmlformats.org/officeDocument/2006/relationships" name="Мост" sheetId="3" state="visible" r:id="rId3"/>
    <sheet xmlns:r="http://schemas.openxmlformats.org/officeDocument/2006/relationships" name="Мост по месяцам" sheetId="4" state="visible" r:id="rId4"/>
    <sheet xmlns:r="http://schemas.openxmlformats.org/officeDocument/2006/relationships" name="Расхождения" sheetId="5" state="visible" r:id="rId5"/>
    <sheet xmlns:r="http://schemas.openxmlformats.org/officeDocument/2006/relationships" name="Платежи" sheetId="6" state="visible" r:id="rId6"/>
    <sheet xmlns:r="http://schemas.openxmlformats.org/officeDocument/2006/relationships" name="Аномалии" sheetId="7" state="visible" r:id="rId7"/>
    <sheet xmlns:r="http://schemas.openxmlformats.org/officeDocument/2006/relationships" name="1С разрывы между актами" sheetId="8" state="visible" r:id="rId8"/>
    <sheet xmlns:r="http://schemas.openxmlformats.org/officeDocument/2006/relationships" name="1С нет актов" sheetId="9" state="visible" r:id="rId9"/>
    <sheet xmlns:r="http://schemas.openxmlformats.org/officeDocument/2006/relationships" name="1С черновик и переиздан" sheetId="10" state="visible" r:id="rId10"/>
    <sheet xmlns:r="http://schemas.openxmlformats.org/officeDocument/2006/relationships" name="Сотрудники реестра" sheetId="11" state="visible" r:id="rId11"/>
    <sheet xmlns:r="http://schemas.openxmlformats.org/officeDocument/2006/relationships" name="Модель" sheetId="12" state="visible" r:id="rId12"/>
    <sheet xmlns:r="http://schemas.openxmlformats.org/officeDocument/2006/relationships" name="Кейсы для защиты" sheetId="13" state="visible" r:id="rId13"/>
    <sheet xmlns:r="http://schemas.openxmlformats.org/officeDocument/2006/relationships" name="Вопросы бухгалтеру" sheetId="14" state="visible" r:id="rId14"/>
    <sheet xmlns:r="http://schemas.openxmlformats.org/officeDocument/2006/relationships" name="Допущения и проверки" sheetId="15" state="visible" r:id="rId15"/>
  </sheets>
  <definedNames>
    <definedName name="_xlnm._FilterDatabase" localSheetId="1" hidden="1">'По субагентам'!$A$4:$J$104</definedName>
    <definedName name="_xlnm._FilterDatabase" localSheetId="2" hidden="1">'Мост'!$A$3:$U$103</definedName>
    <definedName name="_xlnm._FilterDatabase" localSheetId="3" hidden="1">'Мост по месяцам'!$A$3:$M$679</definedName>
    <definedName name="_xlnm._FilterDatabase" localSheetId="4" hidden="1">'Расхождения'!$A$3:$Q$1795</definedName>
    <definedName name="_xlnm._FilterDatabase" localSheetId="5" hidden="1">'Платежи'!$A$3:$J$331</definedName>
    <definedName name="_xlnm._FilterDatabase" localSheetId="6" hidden="1">'Аномалии'!$A$3:$F$70</definedName>
    <definedName name="_xlnm._FilterDatabase" localSheetId="7" hidden="1">'1С разрывы между актами'!$A$3:$F$42</definedName>
    <definedName name="_xlnm._FilterDatabase" localSheetId="8" hidden="1">'1С нет актов'!$A$3:$B$27</definedName>
    <definedName name="_xlnm._FilterDatabase" localSheetId="9" hidden="1">'1С черновик и переиздан'!$A$3:$K$18</definedName>
    <definedName name="_xlnm._FilterDatabase" localSheetId="10" hidden="1">'Сотрудники реестра'!$A$3:$H$11</definedName>
    <definedName name="_xlnm._FilterDatabase" localSheetId="11" hidden="1">'Модель'!$A$31:$B$46</definedName>
    <definedName name="_xlnm._FilterDatabase" localSheetId="13" hidden="1">'Вопросы бухгалтеру'!$A$3:$D$10</definedName>
    <definedName name="_xlnm._FilterDatabase" localSheetId="14" hidden="1">'Допущения и проверки'!$A$3:$B$24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[Red]-#,##0.00;-"/>
    <numFmt numFmtId="165" formatCode="0.0000"/>
    <numFmt numFmtId="166" formatCode="yyyy-mm-dd h:mm:ss"/>
    <numFmt numFmtId="167" formatCode="DD.MM.YYYY"/>
    <numFmt numFmtId="168" formatCode="yyyy-mm-dd"/>
    <numFmt numFmtId="169" formatCode="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4" fillId="0" borderId="0" pivotButton="0" quotePrefix="0" xfId="0"/>
    <xf numFmtId="3" fontId="4" fillId="0" borderId="0" pivotButton="0" quotePrefix="0" xfId="0"/>
    <xf numFmtId="0" fontId="5" fillId="3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7" fontId="4" fillId="0" borderId="0" pivotButton="0" quotePrefix="0" xfId="0"/>
    <xf numFmtId="10" fontId="4" fillId="0" borderId="0" pivotButton="0" quotePrefix="0" xfId="0"/>
    <xf numFmtId="169" fontId="4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4" customWidth="1" min="2" max="2"/>
  </cols>
  <sheetData>
    <row r="1">
      <c r="A1" s="1" t="inlineStr">
        <is>
          <t>Сверка ETM ↔ 1С ↔ реестр: итог</t>
        </is>
      </c>
    </row>
    <row r="2">
      <c r="A2" s="2" t="inlineStr">
        <is>
          <t>Числа в первом блоке — формулы по листам отчёта.</t>
        </is>
      </c>
    </row>
    <row r="4">
      <c r="A4" s="3" t="inlineStr">
        <is>
          <t>Субагентов в сверке</t>
        </is>
      </c>
      <c r="B4" s="4">
        <f>COUNTA('По субагентам'!A5:A104)</f>
        <v/>
      </c>
    </row>
    <row r="5">
      <c r="A5" s="3" t="inlineStr">
        <is>
          <t>Суммарный разрыв (сальдо 1С + баланс ETM) на конец периода, KGS</t>
        </is>
      </c>
      <c r="B5" s="5">
        <f>'По субагентам'!C105</f>
        <v/>
      </c>
    </row>
    <row r="6">
      <c r="A6" s="3" t="inlineStr">
        <is>
          <t>Рекомендуется сдвинуть баланс ETM (нетто), KGS</t>
        </is>
      </c>
      <c r="B6" s="5">
        <f>'По субагентам'!D105</f>
        <v/>
      </c>
    </row>
    <row r="7">
      <c r="A7" s="3" t="inlineStr">
        <is>
          <t>Рекомендуется исправить в 1С (нетто), KGS</t>
        </is>
      </c>
      <c r="B7" s="5">
        <f>'По субагентам'!E105</f>
        <v/>
      </c>
    </row>
    <row r="8">
      <c r="A8" s="3" t="inlineStr">
        <is>
          <t>Нужно выяснить (нетто), KGS</t>
        </is>
      </c>
      <c r="B8" s="5">
        <f>'По субагентам'!F105</f>
        <v/>
      </c>
    </row>
    <row r="9">
      <c r="A9" s="3" t="inlineStr">
        <is>
          <t>Остаток разрыва после правок (=выяснить + округления), KGS</t>
        </is>
      </c>
      <c r="B9" s="5">
        <f>'По субагентам'!K105</f>
        <v/>
      </c>
    </row>
    <row r="10">
      <c r="A10" s="3" t="inlineStr">
        <is>
          <t>Не объяснено мостом: сумма по 100 субагентам, KGS</t>
        </is>
      </c>
      <c r="B10" s="6">
        <f>SUM('Мост'!W4:W103)</f>
        <v/>
      </c>
    </row>
    <row r="12">
      <c r="A12" s="7" t="inlineStr">
        <is>
          <t>Что нашли (факты по данным)</t>
        </is>
      </c>
    </row>
    <row r="13">
      <c r="A13" s="8" t="inlineStr">
        <is>
          <t>Сумма модулей: сдвиг баланса ETM по субагентам, KGS</t>
        </is>
      </c>
      <c r="B13" s="9" t="n">
        <v>55163942.66</v>
      </c>
    </row>
    <row r="14">
      <c r="A14" s="8" t="inlineStr">
        <is>
          <t>Сумма модулей: правки в 1С по субагентам, KGS</t>
        </is>
      </c>
      <c r="B14" s="9" t="n">
        <v>12258753.36</v>
      </c>
    </row>
    <row r="15">
      <c r="A15" s="8" t="inlineStr">
        <is>
          <t>Сумма модулей: «сначала выяснить» по субагентам, KGS</t>
        </is>
      </c>
      <c r="B15" s="9" t="n">
        <v>38343105.89000001</v>
      </c>
    </row>
    <row r="16">
      <c r="A16" s="8" t="inlineStr">
        <is>
          <t>Операций ETM / строк 1С (последние версии актов) / строк реестра</t>
        </is>
      </c>
      <c r="B16" s="10" t="inlineStr">
        <is>
          <t>25,237 / 18,711 / 12,146</t>
        </is>
      </c>
    </row>
    <row r="17">
      <c r="A17" s="8" t="inlineStr">
        <is>
          <t>Групп билетов (заказов) всего</t>
        </is>
      </c>
      <c r="B17" s="11" t="n">
        <v>15499</v>
      </c>
    </row>
    <row r="18">
      <c r="A18" s="8" t="inlineStr">
        <is>
          <t>Групп, присутствующих и в ETM, и в 1С</t>
        </is>
      </c>
      <c r="B18" s="11" t="n">
        <v>13585</v>
      </c>
    </row>
    <row r="19">
      <c r="A19" s="8" t="inlineStr">
        <is>
          <t>…из них сошлись до 5 KGS</t>
        </is>
      </c>
      <c r="B19" s="10" t="inlineStr">
        <is>
          <t>94.1%</t>
        </is>
      </c>
    </row>
    <row r="20">
      <c r="A20" s="8" t="inlineStr">
        <is>
          <t>Группы с неверной суммой</t>
        </is>
      </c>
      <c r="B20" s="11" t="n">
        <v>758</v>
      </c>
    </row>
    <row r="21">
      <c r="A21" s="8" t="inlineStr">
        <is>
          <t>…подтверждено реестром как ошибка 1С (A)</t>
        </is>
      </c>
      <c r="B21" s="11" t="n">
        <v>195</v>
      </c>
    </row>
    <row r="22">
      <c r="A22" s="8" t="inlineStr">
        <is>
          <t>…подтверждено реестром как ошибка бота (A)</t>
        </is>
      </c>
      <c r="B22" s="11" t="n">
        <v>200</v>
      </c>
    </row>
    <row r="23">
      <c r="A23" s="8" t="inlineStr">
        <is>
          <t>…похоже на опечатку цифр в 1С (гипотеза, B)</t>
        </is>
      </c>
      <c r="B23" s="11" t="n">
        <v>29</v>
      </c>
    </row>
    <row r="24">
      <c r="A24" s="8" t="inlineStr">
        <is>
          <t>…источник не установить без бухгалтера (C)</t>
        </is>
      </c>
      <c r="B24" s="11" t="n">
        <v>334</v>
      </c>
    </row>
    <row r="25">
      <c r="A25" s="8" t="inlineStr">
        <is>
          <t>Двойных списаний бота</t>
        </is>
      </c>
      <c r="B25" s="11" t="n">
        <v>40</v>
      </c>
    </row>
    <row r="26">
      <c r="A26" s="8" t="inlineStr">
        <is>
          <t>Продажи реестра и 1С, которые бот не перенёс в ETM</t>
        </is>
      </c>
      <c r="B26" s="11" t="n">
        <v>83</v>
      </c>
    </row>
    <row r="27">
      <c r="A27" s="8" t="inlineStr">
        <is>
          <t>Операции ETM без реализации в 1С (акт за месяц есть)</t>
        </is>
      </c>
      <c r="B27" s="11" t="n">
        <v>243</v>
      </c>
    </row>
    <row r="28">
      <c r="A28" s="8" t="inlineStr">
        <is>
          <t>Операции ETM, где акт 1С за месяц не выгружен</t>
        </is>
      </c>
      <c r="B28" s="11" t="n">
        <v>487</v>
      </c>
    </row>
    <row r="29">
      <c r="A29" s="8" t="inlineStr">
        <is>
          <t>Поступления 1С без оплаты в ETM</t>
        </is>
      </c>
      <c r="B29" s="11" t="n">
        <v>221</v>
      </c>
    </row>
    <row r="30">
      <c r="A30" s="8" t="inlineStr">
        <is>
          <t>…их сумма, KGS (главный по величине источник разрыва)</t>
        </is>
      </c>
      <c r="B30" s="9" t="n">
        <v>60646400</v>
      </c>
    </row>
    <row r="31">
      <c r="A31" s="8" t="inlineStr">
        <is>
          <t>Повторные зачисления оплат в ETM</t>
        </is>
      </c>
      <c r="B31" s="11" t="n">
        <v>25</v>
      </c>
    </row>
    <row r="32">
      <c r="A32" s="8" t="inlineStr">
        <is>
          <t>Продажи реестра корпоративным клиентам (не ошибка)</t>
        </is>
      </c>
      <c r="B32" s="11" t="n">
        <v>420</v>
      </c>
    </row>
    <row r="33">
      <c r="A33" s="8" t="inlineStr">
        <is>
          <t>Задвоенные строки реестра (одинаковые все поля; сумма без копии), групп</t>
        </is>
      </c>
      <c r="B33" s="11" t="n">
        <v>48</v>
      </c>
    </row>
    <row r="34">
      <c r="A34" s="8" t="inlineStr">
        <is>
          <t>Продажи только в реестре (нет ни ETM, ни 1С)</t>
        </is>
      </c>
      <c r="B34" s="11" t="n">
        <v>75</v>
      </c>
    </row>
    <row r="35">
      <c r="A35" s="8" t="inlineStr">
        <is>
          <t>Разрывов сальдо между актами 1С (месяцы подряд)</t>
        </is>
      </c>
      <c r="B35" s="11" t="n">
        <v>20</v>
      </c>
    </row>
    <row r="36">
      <c r="A36" s="8" t="inlineStr">
        <is>
          <t>Субагент-месяцев без акта 1С</t>
        </is>
      </c>
      <c r="B36" s="11" t="n">
        <v>24</v>
      </c>
    </row>
    <row r="37">
      <c r="A37" s="8" t="inlineStr">
        <is>
          <t>Нарушений арифметики акта 1С (по последним версиям)</t>
        </is>
      </c>
      <c r="B37" s="11" t="n">
        <v>0</v>
      </c>
    </row>
    <row r="38">
      <c r="A38" s="8" t="inlineStr">
        <is>
          <t>Разрывов цепочки баланса ETM (по субагенту; одинаковая секунда)</t>
        </is>
      </c>
      <c r="B38" s="11" t="n">
        <v>6</v>
      </c>
    </row>
    <row r="40">
      <c r="A40" s="7" t="inlineStr">
        <is>
          <t>Честные оговорки</t>
        </is>
      </c>
    </row>
    <row r="41" ht="44" customHeight="1">
      <c r="A41" s="12" t="inlineStr">
        <is>
          <t>• Это кандидаты с источником и уверенностью, а не «N ошибок»: A — подтверждено вторым источником, B — гипотеза, C — данных недостаточно.</t>
        </is>
      </c>
    </row>
    <row r="42" ht="44" customHeight="1">
      <c r="A42" s="12" t="inlineStr">
        <is>
          <t>• Источник нельзя установить для 334 расхождений в сумме: у билетов, выписанных самим субагентом, нет записи в реестре — третьего голоса нет.</t>
        </is>
      </c>
    </row>
    <row r="43" ht="44" customHeight="1">
      <c r="A43" s="12" t="inlineStr">
        <is>
          <t>• Мост построен без заплаток: каждая строка 1С и ETM попала ровно в одну колонку, «не объяснено» — формула и равна нулю; но колонки «выяснить» (начальный разрыв, недостающие акты) — честно нераспределённые суммы.</t>
        </is>
      </c>
    </row>
    <row r="44" ht="44" customHeight="1">
      <c r="A44" s="12" t="inlineStr">
        <is>
          <t>• Итоги «нетто» скрывают взаимное погашение разных знаков — рядом показаны суммы модулей по субагентам.</t>
        </is>
      </c>
    </row>
    <row r="45" ht="44" customHeight="1">
      <c r="A45" s="12" t="inlineStr">
        <is>
          <t>• ETM balance_after — сквозной баланс субагента, а не договора: цепочка проверяется по субагенту.</t>
        </is>
      </c>
    </row>
    <row r="46" ht="44" customHeight="1">
      <c r="A46" s="12" t="inlineStr">
        <is>
          <t>• ML размечен правилами (слабая разметка) и работает как приоритизатор; его качество показано рядом с baseline и скромное.</t>
        </is>
      </c>
    </row>
  </sheetData>
  <mergeCells count="6">
    <mergeCell ref="A43:B43"/>
    <mergeCell ref="A41:B41"/>
    <mergeCell ref="A45:B45"/>
    <mergeCell ref="A42:B42"/>
    <mergeCell ref="A46:B46"/>
    <mergeCell ref="A44:B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5" customWidth="1" min="2" max="2"/>
    <col width="24" customWidth="1" min="3" max="3"/>
    <col width="21" customWidth="1" min="4" max="4"/>
    <col width="25" customWidth="1" min="5" max="5"/>
    <col width="25" customWidth="1" min="6" max="6"/>
    <col width="25" customWidth="1" min="7" max="7"/>
    <col width="90" customWidth="1" min="8" max="8"/>
    <col width="17" customWidth="1" min="9" max="9"/>
    <col width="13" customWidth="1" min="10" max="10"/>
    <col width="24" customWidth="1" min="11" max="11"/>
    <col width="24" customWidth="1" min="12" max="12"/>
  </cols>
  <sheetData>
    <row r="1">
      <c r="A1" s="1" t="inlineStr">
        <is>
          <t>Отчёт по каждому субагенту: что двигать, что исправлять, что выяснить</t>
        </is>
      </c>
    </row>
    <row r="2">
      <c r="A2" s="2" t="inlineStr">
        <is>
          <t>Разрыв = сальдо 1С + баланс ETM (идеал 0). Корректировки закрывают найденные расхождения; то, что данные объяснить не могут, вынесено в «Выяснить», а не растворено в остатке.</t>
        </is>
      </c>
    </row>
    <row r="4" ht="42" customHeight="1">
      <c r="A4" s="13" t="inlineStr">
        <is>
          <t>Субагент</t>
        </is>
      </c>
      <c r="B4" s="13" t="inlineStr">
        <is>
          <t>Разрыв на начало периода</t>
        </is>
      </c>
      <c r="C4" s="13" t="inlineStr">
        <is>
          <t>Разрыв на конец (сальдо 1С + баланс ETM)</t>
        </is>
      </c>
      <c r="D4" s="13" t="inlineStr">
        <is>
          <t>Сдвинуть баланс ETM на, KGS</t>
        </is>
      </c>
      <c r="E4" s="13" t="inlineStr">
        <is>
          <t>Исправить в 1С на, KGS</t>
        </is>
      </c>
      <c r="F4" s="13" t="inlineStr">
        <is>
          <t>Сначала выяснить, KGS</t>
        </is>
      </c>
      <c r="G4" s="13" t="inlineStr">
        <is>
          <t>Округления групп, KGS</t>
        </is>
      </c>
      <c r="H4" s="13" t="inlineStr">
        <is>
          <t>Рекомендация</t>
        </is>
      </c>
      <c r="I4" s="13" t="inlineStr">
        <is>
          <t>Проблемных групп и платежей</t>
        </is>
      </c>
      <c r="J4" s="13" t="inlineStr">
        <is>
          <t>Месяцев без акта 1С</t>
        </is>
      </c>
      <c r="K4" s="13" t="inlineStr">
        <is>
          <t>Остаток после правок, KGS (=C+D+E)</t>
        </is>
      </c>
      <c r="L4" s="13" t="inlineStr">
        <is>
          <t>Проверка: остаток − выяснить − округление − необъяснённое (≈0)</t>
        </is>
      </c>
    </row>
    <row r="5">
      <c r="A5" s="8" t="inlineStr">
        <is>
          <t>SkyWay Travel</t>
        </is>
      </c>
      <c r="B5" s="14" t="n">
        <v>0</v>
      </c>
      <c r="C5" s="14" t="n">
        <v>-8740000</v>
      </c>
      <c r="D5" s="14" t="n">
        <v>7406401.59</v>
      </c>
      <c r="E5" s="14" t="n">
        <v>1306266.329999998</v>
      </c>
      <c r="F5" s="14" t="n">
        <v>-27327.16999999997</v>
      </c>
      <c r="G5" s="14" t="n">
        <v>-4.9100000000617</v>
      </c>
      <c r="H5" s="12" t="inlineStr">
        <is>
          <t>Сдвинуть баланс ETM на +7,406,401.59 (дубль списания: 6; бот не перенёс продажу: 8; повторная оплата: 1; оплата не зачислена: 22); Исправить 1С на +1,306,266.33 (не выставлено в 1С: 29); Сначала выяснить -27,327.17 (начальный разрыв, недостающие акты, спорные суммы)</t>
        </is>
      </c>
      <c r="I5" s="15" t="n">
        <v>156</v>
      </c>
      <c r="J5" s="15" t="n">
        <v>0</v>
      </c>
      <c r="K5" s="14">
        <f>C5+D5+E5</f>
        <v/>
      </c>
      <c r="L5" s="14">
        <f>ROUND(K5-F5-G5-(-0.000000002),2)</f>
        <v/>
      </c>
    </row>
    <row r="6">
      <c r="A6" s="8" t="inlineStr">
        <is>
          <t>ИП Токтосун кызы Н.</t>
        </is>
      </c>
      <c r="B6" s="14" t="n">
        <v>3674160.7</v>
      </c>
      <c r="C6" s="14" t="n">
        <v>2741200.45</v>
      </c>
      <c r="D6" s="14" t="n">
        <v>967849.87</v>
      </c>
      <c r="E6" s="14" t="n">
        <v>-109475.1600000003</v>
      </c>
      <c r="F6" s="14" t="n">
        <v>3599573.859999999</v>
      </c>
      <c r="G6" s="14" t="n">
        <v>1.300000000035652</v>
      </c>
      <c r="H6" s="12" t="inlineStr">
        <is>
          <t>Сдвинуть баланс ETM на +967,849.87 (дубль списания: 1; оплата не зачислена: 4); Исправить 1С на -109,475.16 (не выставлено в 1С: 1; оплата не проведена: 1); Сначала выяснить +3,599,573.86 (начальный разрыв, недостающие акты, спорные суммы)</t>
        </is>
      </c>
      <c r="I6" s="15" t="n">
        <v>47</v>
      </c>
      <c r="J6" s="15" t="n">
        <v>1</v>
      </c>
      <c r="K6" s="14">
        <f>C6+D6+E6</f>
        <v/>
      </c>
      <c r="L6" s="14">
        <f>ROUND(K6-F6-G6-(0.000000001),2)</f>
        <v/>
      </c>
    </row>
    <row r="7">
      <c r="A7" s="8" t="inlineStr">
        <is>
          <t>Джолдош уулу Руслан</t>
        </is>
      </c>
      <c r="B7" s="14" t="n">
        <v>-3723651.61</v>
      </c>
      <c r="C7" s="14" t="n">
        <v>-4467449.86</v>
      </c>
      <c r="D7" s="14" t="n">
        <v>733276.9</v>
      </c>
      <c r="E7" s="14" t="n">
        <v>10000.00000000016</v>
      </c>
      <c r="F7" s="14" t="n">
        <v>-3724172.96</v>
      </c>
      <c r="G7" s="14" t="n">
        <v>0</v>
      </c>
      <c r="H7" s="12" t="inlineStr">
        <is>
          <t>Сдвинуть баланс ETM на +733,276.90 (дубль списания: 1; оплата не зачислена: 1); Исправить 1С на +10,000.00; Сначала выяснить -3,724,172.96 (начальный разрыв, недостающие акты, спорные суммы)</t>
        </is>
      </c>
      <c r="I7" s="15" t="n">
        <v>5</v>
      </c>
      <c r="J7" s="15" t="n">
        <v>0</v>
      </c>
      <c r="K7" s="14">
        <f>C7+D7+E7</f>
        <v/>
      </c>
      <c r="L7" s="14">
        <f>ROUND(K7-F7-G7-(-0.000000001),2)</f>
        <v/>
      </c>
    </row>
    <row r="8">
      <c r="A8" s="8" t="inlineStr">
        <is>
          <t>Steppe Travel</t>
        </is>
      </c>
      <c r="B8" s="14" t="n">
        <v>3309463.73</v>
      </c>
      <c r="C8" s="14" t="n">
        <v>2374699.06</v>
      </c>
      <c r="D8" s="14" t="n">
        <v>820246.08</v>
      </c>
      <c r="E8" s="14" t="n">
        <v>114481.2099999998</v>
      </c>
      <c r="F8" s="14" t="n">
        <v>3309426.35</v>
      </c>
      <c r="G8" s="14" t="n">
        <v>-7.275957614183426e-12</v>
      </c>
      <c r="H8" s="12" t="inlineStr">
        <is>
          <t>Сдвинуть баланс ETM на +820,246.08 (дубль списания: 1; бот не перенёс продажу: 1; оплата не зачислена: 2); Исправить 1С на +114,481.21 (не выставлено в 1С: 3); Сначала выяснить +3,309,426.35 (начальный разрыв, недостающие акты, спорные суммы)</t>
        </is>
      </c>
      <c r="I8" s="15" t="n">
        <v>10</v>
      </c>
      <c r="J8" s="15" t="n">
        <v>0</v>
      </c>
      <c r="K8" s="14">
        <f>C8+D8+E8</f>
        <v/>
      </c>
      <c r="L8" s="14">
        <f>ROUND(K8-F8-G8-(0.000000000),2)</f>
        <v/>
      </c>
    </row>
    <row r="9">
      <c r="A9" s="8" t="inlineStr">
        <is>
          <t>ОсОО Ала-Арча Авиа</t>
        </is>
      </c>
      <c r="B9" s="14" t="n">
        <v>3582785.68</v>
      </c>
      <c r="C9" s="14" t="n">
        <v>3072665.39</v>
      </c>
      <c r="D9" s="14" t="n">
        <v>424333.4</v>
      </c>
      <c r="E9" s="14" t="n">
        <v>88040.15000000005</v>
      </c>
      <c r="F9" s="14" t="n">
        <v>3585038.94</v>
      </c>
      <c r="G9" s="14" t="n">
        <v>2.91038304567337e-11</v>
      </c>
      <c r="H9" s="12" t="inlineStr">
        <is>
          <t>Сдвинуть баланс ETM на +424,333.40 (бот не перенёс продажу: 1; оплата не зачислена: 2); Исправить 1С на +88,040.15 (не выставлено в 1С: 2); Сначала выяснить +3,585,038.94 (начальный разрыв, недостающие акты, спорные суммы)</t>
        </is>
      </c>
      <c r="I9" s="15" t="n">
        <v>9</v>
      </c>
      <c r="J9" s="15" t="n">
        <v>0</v>
      </c>
      <c r="K9" s="14">
        <f>C9+D9+E9</f>
        <v/>
      </c>
      <c r="L9" s="14">
        <f>ROUND(K9-F9-G9-(0.000000000),2)</f>
        <v/>
      </c>
    </row>
    <row r="10">
      <c r="A10" s="8" t="inlineStr">
        <is>
          <t>Karakol Express</t>
        </is>
      </c>
      <c r="B10" s="14" t="n">
        <v>23846.29999999999</v>
      </c>
      <c r="C10" s="14" t="n">
        <v>-3899769.49</v>
      </c>
      <c r="D10" s="14" t="n">
        <v>3573418.13</v>
      </c>
      <c r="E10" s="14" t="n">
        <v>376207.8400000003</v>
      </c>
      <c r="F10" s="14" t="n">
        <v>49861.12999999999</v>
      </c>
      <c r="G10" s="14" t="n">
        <v>-4.650000000081491</v>
      </c>
      <c r="H10" s="12" t="inlineStr">
        <is>
          <t>Сдвинуть баланс ETM на +3,573,418.13 (дубль списания: 2; бот не перенёс продажу: 6; повторная оплата: 3; оплата не зачислена: 21); Исправить 1С на +376,207.84 (не выставлено в 1С: 19); Сначала выяснить +49,861.13 (начальный разрыв, недостающие акты, спорные суммы)</t>
        </is>
      </c>
      <c r="I10" s="15" t="n">
        <v>112</v>
      </c>
      <c r="J10" s="15" t="n">
        <v>0</v>
      </c>
      <c r="K10" s="14">
        <f>C10+D10+E10</f>
        <v/>
      </c>
      <c r="L10" s="14">
        <f>ROUND(K10-F10-G10-(0.000000000),2)</f>
        <v/>
      </c>
    </row>
    <row r="11">
      <c r="A11" s="8" t="inlineStr">
        <is>
          <t>ОсОО Тянь-Шань Вояж</t>
        </is>
      </c>
      <c r="B11" s="14" t="n">
        <v>-3914150.59</v>
      </c>
      <c r="C11" s="14" t="n">
        <v>-3913364.38</v>
      </c>
      <c r="D11" s="14" t="n">
        <v>18213.79</v>
      </c>
      <c r="E11" s="14" t="n">
        <v>-18999.99999999988</v>
      </c>
      <c r="F11" s="14" t="n">
        <v>-3914150.59</v>
      </c>
      <c r="G11" s="14" t="n">
        <v>7.275957614183426e-12</v>
      </c>
      <c r="H11" s="12" t="inlineStr">
        <is>
          <t>Сдвинуть баланс ETM на +18,213.79; Исправить 1С на -19,000.00; Сначала выяснить -3,914,150.59 (начальный разрыв, недостающие акты, спорные суммы)</t>
        </is>
      </c>
      <c r="I11" s="15" t="n">
        <v>4</v>
      </c>
      <c r="J11" s="15" t="n">
        <v>0</v>
      </c>
      <c r="K11" s="14">
        <f>C11+D11+E11</f>
        <v/>
      </c>
      <c r="L11" s="14">
        <f>ROUND(K11-F11-G11-(0.000000000),2)</f>
        <v/>
      </c>
    </row>
    <row r="12">
      <c r="A12" s="8" t="inlineStr">
        <is>
          <t>Ala-Too Travel</t>
        </is>
      </c>
      <c r="B12" s="14" t="n">
        <v>-3233430.48</v>
      </c>
      <c r="C12" s="14" t="n">
        <v>-3317307.53</v>
      </c>
      <c r="D12" s="14" t="n">
        <v>-0</v>
      </c>
      <c r="E12" s="14" t="n">
        <v>83859.22000000012</v>
      </c>
      <c r="F12" s="14" t="n">
        <v>-3233448.31</v>
      </c>
      <c r="G12" s="14" t="n">
        <v>-1.455191522836685e-11</v>
      </c>
      <c r="H12" s="12" t="inlineStr">
        <is>
          <t>Исправить 1С на +83,859.22 (не выставлено в 1С: 2); Сначала выяснить -3,233,448.31 (начальный разрыв, недостающие акты, спорные суммы)</t>
        </is>
      </c>
      <c r="I12" s="15" t="n">
        <v>4</v>
      </c>
      <c r="J12" s="15" t="n">
        <v>0</v>
      </c>
      <c r="K12" s="14">
        <f>C12+D12+E12</f>
        <v/>
      </c>
      <c r="L12" s="14">
        <f>ROUND(K12-F12-G12-(0.000000000),2)</f>
        <v/>
      </c>
    </row>
    <row r="13">
      <c r="A13" s="8" t="inlineStr">
        <is>
          <t>МУРАС ТРИП</t>
        </is>
      </c>
      <c r="B13" s="14" t="n">
        <v>-2130878.82</v>
      </c>
      <c r="C13" s="14" t="n">
        <v>-3218410.209999999</v>
      </c>
      <c r="D13" s="14" t="n">
        <v>919294.65</v>
      </c>
      <c r="E13" s="14" t="n">
        <v>158484.2399999998</v>
      </c>
      <c r="F13" s="14" t="n">
        <v>-2140631.32</v>
      </c>
      <c r="G13" s="14" t="n">
        <v>1.455191522836685e-11</v>
      </c>
      <c r="H13" s="12" t="inlineStr">
        <is>
          <t>Сдвинуть баланс ETM на +919,294.65 (дубль списания: 1; оплата не зачислена: 4); Исправить 1С на +158,484.24 (не выставлено в 1С: 1); Сначала выяснить -2,140,631.32 (начальный разрыв, недостающие акты, спорные суммы)</t>
        </is>
      </c>
      <c r="I13" s="15" t="n">
        <v>30</v>
      </c>
      <c r="J13" s="15" t="n">
        <v>1</v>
      </c>
      <c r="K13" s="14">
        <f>C13+D13+E13</f>
        <v/>
      </c>
      <c r="L13" s="14">
        <f>ROUND(K13-F13-G13-(0.000000000),2)</f>
        <v/>
      </c>
    </row>
    <row r="14">
      <c r="A14" s="8" t="inlineStr">
        <is>
          <t>Сатар уулу Санжар</t>
        </is>
      </c>
      <c r="B14" s="14" t="n">
        <v>3273224.37</v>
      </c>
      <c r="C14" s="14" t="n">
        <v>1019007.970000001</v>
      </c>
      <c r="D14" s="14" t="n">
        <v>1068778.64</v>
      </c>
      <c r="E14" s="14" t="n">
        <v>-184864.7699999998</v>
      </c>
      <c r="F14" s="14" t="n">
        <v>1902926.239999999</v>
      </c>
      <c r="G14" s="14" t="n">
        <v>-4.400000000008731</v>
      </c>
      <c r="H14" s="12" t="inlineStr">
        <is>
          <t>Сдвинуть баланс ETM на +1,068,778.64 (дубль списания: 1; бот не перенёс продажу: 2; повторная оплата: 1; оплата не зачислена: 7; оплата не тому субагенту: 1); Исправить 1С на -184,864.77 (не выставлено в 1С: 3); Сначала выяснить +1,902,926.24 (начальный разрыв, недостающие акты, спорные суммы)</t>
        </is>
      </c>
      <c r="I14" s="15" t="n">
        <v>186</v>
      </c>
      <c r="J14" s="15" t="n">
        <v>2</v>
      </c>
      <c r="K14" s="14">
        <f>C14+D14+E14</f>
        <v/>
      </c>
      <c r="L14" s="14">
        <f>ROUND(K14-F14-G14-(0.000000002),2)</f>
        <v/>
      </c>
    </row>
    <row r="15">
      <c r="A15" s="8" t="inlineStr">
        <is>
          <t>Салам Экспресс</t>
        </is>
      </c>
      <c r="B15" s="14" t="n">
        <v>2800828.5</v>
      </c>
      <c r="C15" s="14" t="n">
        <v>2767104.07</v>
      </c>
      <c r="D15" s="14" t="n">
        <v>-26797.29999999999</v>
      </c>
      <c r="E15" s="14" t="n">
        <v>60699.20999999996</v>
      </c>
      <c r="F15" s="14" t="n">
        <v>2801005.98</v>
      </c>
      <c r="G15" s="14" t="n">
        <v>-7.275957614183426e-12</v>
      </c>
      <c r="H15" s="12" t="inlineStr">
        <is>
          <t>Сдвинуть баланс ETM на -26,797.30 (повторная оплата: 1; оплата не зачислена: 1); Исправить 1С на +60,699.21 (не выставлено в 1С: 2); Сначала выяснить +2,801,005.98 (начальный разрыв, недостающие акты, спорные суммы)</t>
        </is>
      </c>
      <c r="I15" s="15" t="n">
        <v>10</v>
      </c>
      <c r="J15" s="15" t="n">
        <v>0</v>
      </c>
      <c r="K15" s="14">
        <f>C15+D15+E15</f>
        <v/>
      </c>
      <c r="L15" s="14">
        <f>ROUND(K15-F15-G15-(0.000000000),2)</f>
        <v/>
      </c>
    </row>
    <row r="16">
      <c r="A16" s="8" t="inlineStr">
        <is>
          <t>Манас Тревел</t>
        </is>
      </c>
      <c r="B16" s="14" t="n">
        <v>1737199.16</v>
      </c>
      <c r="C16" s="14" t="n">
        <v>727989.0099999999</v>
      </c>
      <c r="D16" s="14" t="n">
        <v>489305.26</v>
      </c>
      <c r="E16" s="14" t="n">
        <v>521531.47</v>
      </c>
      <c r="F16" s="14" t="n">
        <v>1738825.79</v>
      </c>
      <c r="G16" s="14" t="n">
        <v>-0.04999999996653059</v>
      </c>
      <c r="H16" s="12" t="inlineStr">
        <is>
          <t>Сдвинуть баланс ETM на +489,305.26 (бот не перенёс продажу: 4; оплата не зачислена: 3); Исправить 1С на +521,531.47 (не выставлено в 1С: 7); Сначала выяснить +1,738,825.79 (начальный разрыв, недостающие акты, спорные суммы)</t>
        </is>
      </c>
      <c r="I16" s="15" t="n">
        <v>34</v>
      </c>
      <c r="J16" s="15" t="n">
        <v>0</v>
      </c>
      <c r="K16" s="14">
        <f>C16+D16+E16</f>
        <v/>
      </c>
      <c r="L16" s="14">
        <f>ROUND(K16-F16-G16-(0.000000000),2)</f>
        <v/>
      </c>
    </row>
    <row r="17">
      <c r="A17" s="8" t="inlineStr">
        <is>
          <t>Джолдошова Салтанат Сатаревна</t>
        </is>
      </c>
      <c r="B17" s="14" t="n">
        <v>-703393.53</v>
      </c>
      <c r="C17" s="14" t="n">
        <v>-2501581.59</v>
      </c>
      <c r="D17" s="14" t="n">
        <v>1333859.73</v>
      </c>
      <c r="E17" s="14" t="n">
        <v>476089.0099999998</v>
      </c>
      <c r="F17" s="14" t="n">
        <v>-691632.8500000001</v>
      </c>
      <c r="G17" s="14" t="n">
        <v>-1.455191522836685e-11</v>
      </c>
      <c r="H17" s="12" t="inlineStr">
        <is>
          <t>Сдвинуть баланс ETM на +1,333,859.73 (дубль списания: 1; бот не перенёс продажу: 3; оплата не зачислена: 8); Исправить 1С на +476,089.01 (не выставлено в 1С: 13); Сначала выяснить -691,632.85 (начальный разрыв, недостающие акты, спорные суммы)</t>
        </is>
      </c>
      <c r="I17" s="15" t="n">
        <v>43</v>
      </c>
      <c r="J17" s="15" t="n">
        <v>0</v>
      </c>
      <c r="K17" s="14">
        <f>C17+D17+E17</f>
        <v/>
      </c>
      <c r="L17" s="14">
        <f>ROUND(K17-F17-G17-(0.000000000),2)</f>
        <v/>
      </c>
    </row>
    <row r="18">
      <c r="A18" s="8" t="inlineStr">
        <is>
          <t>Ак-Куу Авиа</t>
        </is>
      </c>
      <c r="B18" s="14" t="n">
        <v>453547.35</v>
      </c>
      <c r="C18" s="14" t="n">
        <v>-1147683.200000001</v>
      </c>
      <c r="D18" s="14" t="n">
        <v>1248601.82</v>
      </c>
      <c r="E18" s="14" t="n">
        <v>338266.7799999997</v>
      </c>
      <c r="F18" s="14" t="n">
        <v>439192.17</v>
      </c>
      <c r="G18" s="14" t="n">
        <v>-6.769999999984066</v>
      </c>
      <c r="H18" s="12" t="inlineStr">
        <is>
          <t>Сдвинуть баланс ETM на +1,248,601.82 (дубль списания: 2; бот не перенёс продажу: 5; повторная оплата: 1; оплата не зачислена: 5); Исправить 1С на +338,266.78 (не выставлено в 1С: 14); Сначала выяснить +439,192.17 (начальный разрыв, недостающие акты, спорные суммы)</t>
        </is>
      </c>
      <c r="I18" s="15" t="n">
        <v>76</v>
      </c>
      <c r="J18" s="15" t="n">
        <v>0</v>
      </c>
      <c r="K18" s="14">
        <f>C18+D18+E18</f>
        <v/>
      </c>
      <c r="L18" s="14">
        <f>ROUND(K18-F18-G18-(-0.000000001),2)</f>
        <v/>
      </c>
    </row>
    <row r="19">
      <c r="A19" s="8" t="inlineStr">
        <is>
          <t>ИССЫК ТРИП</t>
        </is>
      </c>
      <c r="B19" s="14" t="n">
        <v>0</v>
      </c>
      <c r="C19" s="14" t="n">
        <v>-1979507.299999999</v>
      </c>
      <c r="D19" s="14" t="n">
        <v>1067908.82</v>
      </c>
      <c r="E19" s="14" t="n">
        <v>365663.1299999995</v>
      </c>
      <c r="F19" s="14" t="n">
        <v>-545934.4000000004</v>
      </c>
      <c r="G19" s="14" t="n">
        <v>-0.9499999999788997</v>
      </c>
      <c r="H19" s="12" t="inlineStr">
        <is>
          <t>Сдвинуть баланс ETM на +1,067,908.82 (дубль списания: 1; бот не перенёс продажу: 5; повторная оплата: 1; оплата не зачислена: 5); Исправить 1С на +365,663.13 (не выставлено в 1С: 4); Сначала выяснить -545,934.40 (начальный разрыв, недостающие акты, спорные суммы)</t>
        </is>
      </c>
      <c r="I19" s="15" t="n">
        <v>104</v>
      </c>
      <c r="J19" s="15" t="n">
        <v>1</v>
      </c>
      <c r="K19" s="14">
        <f>C19+D19+E19</f>
        <v/>
      </c>
      <c r="L19" s="14">
        <f>ROUND(K19-F19-G19-(0.000000000),2)</f>
        <v/>
      </c>
    </row>
    <row r="20">
      <c r="A20" s="8" t="inlineStr">
        <is>
          <t>Кадырова Айнура Жумабекевна</t>
        </is>
      </c>
      <c r="B20" s="14" t="n">
        <v>0</v>
      </c>
      <c r="C20" s="14" t="n">
        <v>-1954142.91</v>
      </c>
      <c r="D20" s="14" t="n">
        <v>1692737.73</v>
      </c>
      <c r="E20" s="14" t="n">
        <v>261566.3600000004</v>
      </c>
      <c r="F20" s="14" t="n">
        <v>160.6800000000003</v>
      </c>
      <c r="G20" s="14" t="n">
        <v>0.4999999999345164</v>
      </c>
      <c r="H20" s="12" t="inlineStr">
        <is>
          <t>Сдвинуть баланс ETM на +1,692,737.73 (бот не перенёс продажу: 3; оплата не зачислена: 6); Исправить 1С на +261,566.36 (не выставлено в 1С: 7); Сначала выяснить +160.68 (начальный разрыв, недостающие акты, спорные суммы)</t>
        </is>
      </c>
      <c r="I20" s="15" t="n">
        <v>24</v>
      </c>
      <c r="J20" s="15" t="n">
        <v>0</v>
      </c>
      <c r="K20" s="14">
        <f>C20+D20+E20</f>
        <v/>
      </c>
      <c r="L20" s="14">
        <f>ROUND(K20-F20-G20-(0.000000001),2)</f>
        <v/>
      </c>
    </row>
    <row r="21">
      <c r="A21" s="8" t="inlineStr">
        <is>
          <t>ЧОЛПОН ТУР</t>
        </is>
      </c>
      <c r="B21" s="14" t="n">
        <v>-404589.84</v>
      </c>
      <c r="C21" s="14" t="n">
        <v>-1727139.08</v>
      </c>
      <c r="D21" s="14" t="n">
        <v>961494.6</v>
      </c>
      <c r="E21" s="14" t="n">
        <v>45627.75</v>
      </c>
      <c r="F21" s="14" t="n">
        <v>-720016.73</v>
      </c>
      <c r="G21" s="14" t="n">
        <v>0</v>
      </c>
      <c r="H21" s="12" t="inlineStr">
        <is>
          <t>Сдвинуть баланс ETM на +961,494.60 (бот не перенёс продажу: 1; оплата не зачислена: 4); Исправить 1С на +45,627.75; Сначала выяснить -720,016.73 (начальный разрыв, недостающие акты, спорные суммы)</t>
        </is>
      </c>
      <c r="I21" s="15" t="n">
        <v>50</v>
      </c>
      <c r="J21" s="15" t="n">
        <v>2</v>
      </c>
      <c r="K21" s="14">
        <f>C21+D21+E21</f>
        <v/>
      </c>
      <c r="L21" s="14">
        <f>ROUND(K21-F21-G21-(0.000000000),2)</f>
        <v/>
      </c>
    </row>
    <row r="22">
      <c r="A22" s="8" t="inlineStr">
        <is>
          <t>Ыйык Тур</t>
        </is>
      </c>
      <c r="B22" s="14" t="n">
        <v>17858.87</v>
      </c>
      <c r="C22" s="14" t="n">
        <v>-1667561.34</v>
      </c>
      <c r="D22" s="14" t="n">
        <v>1514597.28</v>
      </c>
      <c r="E22" s="14" t="n">
        <v>171945.4500000001</v>
      </c>
      <c r="F22" s="14" t="n">
        <v>18981.38999999999</v>
      </c>
      <c r="G22" s="14" t="n">
        <v>2.182787284255028e-11</v>
      </c>
      <c r="H22" s="12" t="inlineStr">
        <is>
          <t>Сдвинуть баланс ETM на +1,514,597.28 (дубль списания: 1; бот не перенёс продажу: 2; повторная оплата: 2; оплата не зачислена: 7); Исправить 1С на +171,945.45 (не выставлено в 1С: 3); Сначала выяснить +18,981.39 (начальный разрыв, недостающие акты, спорные суммы)</t>
        </is>
      </c>
      <c r="I22" s="15" t="n">
        <v>39</v>
      </c>
      <c r="J22" s="15" t="n">
        <v>0</v>
      </c>
      <c r="K22" s="14">
        <f>C22+D22+E22</f>
        <v/>
      </c>
      <c r="L22" s="14">
        <f>ROUND(K22-F22-G22-(0.000000000),2)</f>
        <v/>
      </c>
    </row>
    <row r="23">
      <c r="A23" s="8" t="inlineStr">
        <is>
          <t>ОсОО Ала-Тоо Эйр</t>
        </is>
      </c>
      <c r="B23" s="14" t="n">
        <v>-1194328.23</v>
      </c>
      <c r="C23" s="14" t="n">
        <v>-1271085.93</v>
      </c>
      <c r="D23" s="14" t="n">
        <v>-205594.19</v>
      </c>
      <c r="E23" s="14" t="n">
        <v>282283.8899999998</v>
      </c>
      <c r="F23" s="14" t="n">
        <v>-1194396.23</v>
      </c>
      <c r="G23" s="14" t="n">
        <v>-1.455191522836685e-11</v>
      </c>
      <c r="H23" s="12" t="inlineStr">
        <is>
          <t>Сдвинуть баланс ETM на -205,594.19 (бот не перенёс продажу: 1; повторная оплата: 1); Исправить 1С на +282,283.89; Сначала выяснить -1,194,396.23 (начальный разрыв, недостающие акты, спорные суммы)</t>
        </is>
      </c>
      <c r="I23" s="15" t="n">
        <v>8</v>
      </c>
      <c r="J23" s="15" t="n">
        <v>0</v>
      </c>
      <c r="K23" s="14">
        <f>C23+D23+E23</f>
        <v/>
      </c>
      <c r="L23" s="14">
        <f>ROUND(K23-F23-G23-(-0.000000000),2)</f>
        <v/>
      </c>
    </row>
    <row r="24">
      <c r="A24" s="8" t="inlineStr">
        <is>
          <t>КУТ ЭЙР</t>
        </is>
      </c>
      <c r="B24" s="14" t="n">
        <v>350463.58</v>
      </c>
      <c r="C24" s="14" t="n">
        <v>-973150.6200000002</v>
      </c>
      <c r="D24" s="14" t="n">
        <v>1268900</v>
      </c>
      <c r="E24" s="14" t="n">
        <v>58617.52000000006</v>
      </c>
      <c r="F24" s="14" t="n">
        <v>354366.9</v>
      </c>
      <c r="G24" s="14" t="n">
        <v>2.546585164964199e-11</v>
      </c>
      <c r="H24" s="12" t="inlineStr">
        <is>
          <t>Сдвинуть баланс ETM на +1,268,900.00 (оплата не зачислена: 6); Исправить 1С на +58,617.52 (не выставлено в 1С: 2); Сначала выяснить +354,366.90 (начальный разрыв, недостающие акты, спорные суммы)</t>
        </is>
      </c>
      <c r="I24" s="15" t="n">
        <v>13</v>
      </c>
      <c r="J24" s="15" t="n">
        <v>0</v>
      </c>
      <c r="K24" s="14">
        <f>C24+D24+E24</f>
        <v/>
      </c>
      <c r="L24" s="14">
        <f>ROUND(K24-F24-G24-(-0.000000000),2)</f>
        <v/>
      </c>
    </row>
    <row r="25">
      <c r="A25" s="8" t="inlineStr">
        <is>
          <t>ТАЛАС ЛАЙН</t>
        </is>
      </c>
      <c r="B25" s="14" t="n">
        <v>0</v>
      </c>
      <c r="C25" s="14" t="n">
        <v>-1552513.33</v>
      </c>
      <c r="D25" s="14" t="n">
        <v>1385355.42</v>
      </c>
      <c r="E25" s="14" t="n">
        <v>122057.6600000001</v>
      </c>
      <c r="F25" s="14" t="n">
        <v>-45100.25</v>
      </c>
      <c r="G25" s="14" t="n">
        <v>2.182787284255028e-11</v>
      </c>
      <c r="H25" s="12" t="inlineStr">
        <is>
          <t>Сдвинуть баланс ETM на +1,385,355.42 (дубль списания: 2; оплата не зачислена: 4); Исправить 1С на +122,057.66 (не выставлено в 1С: 3); Сначала выяснить -45,100.25 (начальный разрыв, недостающие акты, спорные суммы)</t>
        </is>
      </c>
      <c r="I25" s="15" t="n">
        <v>19</v>
      </c>
      <c r="J25" s="15" t="n">
        <v>0</v>
      </c>
      <c r="K25" s="14">
        <f>C25+D25+E25</f>
        <v/>
      </c>
      <c r="L25" s="14">
        <f>ROUND(K25-F25-G25-(0.000000000),2)</f>
        <v/>
      </c>
    </row>
    <row r="26">
      <c r="A26" s="8" t="inlineStr">
        <is>
          <t>Kumtor Tours</t>
        </is>
      </c>
      <c r="B26" s="14" t="n">
        <v>0</v>
      </c>
      <c r="C26" s="14" t="n">
        <v>-1370580.22</v>
      </c>
      <c r="D26" s="14" t="n">
        <v>1370323.8</v>
      </c>
      <c r="E26" s="14" t="n">
        <v>-5.820766091346741e-11</v>
      </c>
      <c r="F26" s="14" t="n">
        <v>-256.4199999999983</v>
      </c>
      <c r="G26" s="14" t="n">
        <v>-1.091393642127514e-11</v>
      </c>
      <c r="H26" s="12" t="inlineStr">
        <is>
          <t>Сдвинуть баланс ETM на +1,370,323.80 (дубль списания: 1; оплата не зачислена: 3); Сначала выяснить -256.42 (начальный разрыв, недостающие акты, спорные суммы)</t>
        </is>
      </c>
      <c r="I26" s="15" t="n">
        <v>9</v>
      </c>
      <c r="J26" s="15" t="n">
        <v>0</v>
      </c>
      <c r="K26" s="14">
        <f>C26+D26+E26</f>
        <v/>
      </c>
      <c r="L26" s="14">
        <f>ROUND(K26-F26-G26-(-0.000000000),2)</f>
        <v/>
      </c>
    </row>
    <row r="27">
      <c r="A27" s="8" t="inlineStr">
        <is>
          <t>Абдылда уулу Б.</t>
        </is>
      </c>
      <c r="B27" s="14" t="n">
        <v>0</v>
      </c>
      <c r="C27" s="14" t="n">
        <v>-1349195.81</v>
      </c>
      <c r="D27" s="14" t="n">
        <v>1073315.9</v>
      </c>
      <c r="E27" s="14" t="n">
        <v>274924.88</v>
      </c>
      <c r="F27" s="14" t="n">
        <v>-955.0299999999806</v>
      </c>
      <c r="G27" s="14" t="n">
        <v>-4.001776687800884e-11</v>
      </c>
      <c r="H27" s="12" t="inlineStr">
        <is>
          <t>Сдвинуть баланс ETM на +1,073,315.90 (бот не перенёс продажу: 5; повторная оплата: 1; оплата не зачислена: 5); Исправить 1С на +274,924.88 (не выставлено в 1С: 6); Сначала выяснить -955.03 (начальный разрыв, недостающие акты, спорные суммы)</t>
        </is>
      </c>
      <c r="I27" s="15" t="n">
        <v>52</v>
      </c>
      <c r="J27" s="15" t="n">
        <v>0</v>
      </c>
      <c r="K27" s="14">
        <f>C27+D27+E27</f>
        <v/>
      </c>
      <c r="L27" s="14">
        <f>ROUND(K27-F27-G27-(-0.000000000),2)</f>
        <v/>
      </c>
    </row>
    <row r="28">
      <c r="A28" s="8" t="inlineStr">
        <is>
          <t>Aylana Tour</t>
        </is>
      </c>
      <c r="B28" s="14" t="n">
        <v>-155441.16</v>
      </c>
      <c r="C28" s="14" t="n">
        <v>-1295071.39</v>
      </c>
      <c r="D28" s="14" t="n">
        <v>863828.28</v>
      </c>
      <c r="E28" s="14" t="n">
        <v>276225.1200000001</v>
      </c>
      <c r="F28" s="14" t="n">
        <v>-155017.99</v>
      </c>
      <c r="G28" s="14" t="n">
        <v>-7.275957614183426e-12</v>
      </c>
      <c r="H28" s="12" t="inlineStr">
        <is>
          <t>Сдвинуть баланс ETM на +863,828.28 (бот не перенёс продажу: 1; оплата не зачислена: 3); Исправить 1С на +276,225.12 (не выставлено в 1С: 5); Сначала выяснить -155,017.99 (начальный разрыв, недостающие акты, спорные суммы)</t>
        </is>
      </c>
      <c r="I28" s="15" t="n">
        <v>15</v>
      </c>
      <c r="J28" s="15" t="n">
        <v>0</v>
      </c>
      <c r="K28" s="14">
        <f>C28+D28+E28</f>
        <v/>
      </c>
      <c r="L28" s="14">
        <f>ROUND(K28-F28-G28-(-0.000000000),2)</f>
        <v/>
      </c>
    </row>
    <row r="29">
      <c r="A29" s="8" t="inlineStr">
        <is>
          <t>Джолдош уулу Эмир</t>
        </is>
      </c>
      <c r="B29" s="14" t="n">
        <v>0</v>
      </c>
      <c r="C29" s="14" t="n">
        <v>-1000296.35</v>
      </c>
      <c r="D29" s="14" t="n">
        <v>1107083.81</v>
      </c>
      <c r="E29" s="14" t="n">
        <v>-106557.1000000004</v>
      </c>
      <c r="F29" s="14" t="n">
        <v>230.3600000000151</v>
      </c>
      <c r="G29" s="14" t="n">
        <v>-1.455191522836685e-11</v>
      </c>
      <c r="H29" s="12" t="inlineStr">
        <is>
          <t>Сдвинуть баланс ETM на +1,107,083.81 (оплата не зачислена: 5); Исправить 1С на -106,557.10; Сначала выяснить +230.36 (начальный разрыв, недостающие акты, спорные суммы)</t>
        </is>
      </c>
      <c r="I29" s="15" t="n">
        <v>12</v>
      </c>
      <c r="J29" s="15" t="n">
        <v>0</v>
      </c>
      <c r="K29" s="14">
        <f>C29+D29+E29</f>
        <v/>
      </c>
      <c r="L29" s="14">
        <f>ROUND(K29-F29-G29-(-0.000000001),2)</f>
        <v/>
      </c>
    </row>
    <row r="30">
      <c r="A30" s="8" t="inlineStr">
        <is>
          <t>Байтур Трип</t>
        </is>
      </c>
      <c r="B30" s="14" t="n">
        <v>0</v>
      </c>
      <c r="C30" s="14" t="n">
        <v>-1135319.54</v>
      </c>
      <c r="D30" s="14" t="n">
        <v>863445.63</v>
      </c>
      <c r="E30" s="14" t="n">
        <v>182592.31</v>
      </c>
      <c r="F30" s="14" t="n">
        <v>-89281.59999999999</v>
      </c>
      <c r="G30" s="14" t="n">
        <v>2.91038304567337e-11</v>
      </c>
      <c r="H30" s="12" t="inlineStr">
        <is>
          <t>Сдвинуть баланс ETM на +863,445.63 (бот не перенёс продажу: 1; оплата не зачислена: 2); Исправить 1С на +182,592.31 (не выставлено в 1С: 5); Сначала выяснить -89,281.60 (начальный разрыв, недостающие акты, спорные суммы)</t>
        </is>
      </c>
      <c r="I30" s="15" t="n">
        <v>19</v>
      </c>
      <c r="J30" s="15" t="n">
        <v>0</v>
      </c>
      <c r="K30" s="14">
        <f>C30+D30+E30</f>
        <v/>
      </c>
      <c r="L30" s="14">
        <f>ROUND(K30-F30-G30-(0.000000000),2)</f>
        <v/>
      </c>
    </row>
    <row r="31">
      <c r="A31" s="8" t="inlineStr">
        <is>
          <t>Бейшенова Н. Ч.</t>
        </is>
      </c>
      <c r="B31" s="14" t="n">
        <v>0</v>
      </c>
      <c r="C31" s="14" t="n">
        <v>-1023080.67</v>
      </c>
      <c r="D31" s="14" t="n">
        <v>1076205.71</v>
      </c>
      <c r="E31" s="14" t="n">
        <v>-53538.75</v>
      </c>
      <c r="F31" s="14" t="n">
        <v>-413.7099999999991</v>
      </c>
      <c r="G31" s="14" t="n">
        <v>-2.91038304567337e-11</v>
      </c>
      <c r="H31" s="12" t="inlineStr">
        <is>
          <t>Сдвинуть баланс ETM на +1,076,205.71 (бот не перенёс продажу: 1; оплата не зачислена: 4); Исправить 1С на -53,538.75 (не выставлено в 1С: 2); Сначала выяснить -413.71 (начальный разрыв, недостающие акты, спорные суммы)</t>
        </is>
      </c>
      <c r="I31" s="15" t="n">
        <v>11</v>
      </c>
      <c r="J31" s="15" t="n">
        <v>0</v>
      </c>
      <c r="K31" s="14">
        <f>C31+D31+E31</f>
        <v/>
      </c>
      <c r="L31" s="14">
        <f>ROUND(K31-F31-G31-(0.000000000),2)</f>
        <v/>
      </c>
    </row>
    <row r="32">
      <c r="A32" s="8" t="inlineStr">
        <is>
          <t>Sunrise Tours</t>
        </is>
      </c>
      <c r="B32" s="14" t="n">
        <v>78399.39999999999</v>
      </c>
      <c r="C32" s="14" t="n">
        <v>-965356.7699999999</v>
      </c>
      <c r="D32" s="14" t="n">
        <v>1023642.15</v>
      </c>
      <c r="E32" s="14" t="n">
        <v>20437.00000000003</v>
      </c>
      <c r="F32" s="14" t="n">
        <v>78722.38</v>
      </c>
      <c r="G32" s="14" t="n">
        <v>7.275957614183426e-12</v>
      </c>
      <c r="H32" s="12" t="inlineStr">
        <is>
          <t>Сдвинуть баланс ETM на +1,023,642.15 (дубль списания: 2; оплата не зачислена: 3); Исправить 1С на +20,437.00; Сначала выяснить +78,722.38 (начальный разрыв, недостающие акты, спорные суммы)</t>
        </is>
      </c>
      <c r="I32" s="15" t="n">
        <v>14</v>
      </c>
      <c r="J32" s="15" t="n">
        <v>0</v>
      </c>
      <c r="K32" s="14">
        <f>C32+D32+E32</f>
        <v/>
      </c>
      <c r="L32" s="14">
        <f>ROUND(K32-F32-G32-(0.000000000),2)</f>
        <v/>
      </c>
    </row>
    <row r="33">
      <c r="A33" s="8" t="inlineStr">
        <is>
          <t>Жолчу кызы А.</t>
        </is>
      </c>
      <c r="B33" s="14" t="n">
        <v>0</v>
      </c>
      <c r="C33" s="14" t="n">
        <v>-1054427.74</v>
      </c>
      <c r="D33" s="14" t="n">
        <v>823200</v>
      </c>
      <c r="E33" s="14" t="n">
        <v>109666.05</v>
      </c>
      <c r="F33" s="14" t="n">
        <v>-121561.6899999999</v>
      </c>
      <c r="G33" s="14" t="n">
        <v>0</v>
      </c>
      <c r="H33" s="12" t="inlineStr">
        <is>
          <t>Сдвинуть баланс ETM на +823,200.00 (оплата не зачислена: 3); Исправить 1С на +109,666.05 (не выставлено в 1С: 2); Сначала выяснить -121,561.69 (начальный разрыв, недостающие акты, спорные суммы)</t>
        </is>
      </c>
      <c r="I33" s="15" t="n">
        <v>39</v>
      </c>
      <c r="J33" s="15" t="n">
        <v>1</v>
      </c>
      <c r="K33" s="14">
        <f>C33+D33+E33</f>
        <v/>
      </c>
      <c r="L33" s="14">
        <f>ROUND(K33-F33-G33-(0.000000000),2)</f>
        <v/>
      </c>
    </row>
    <row r="34">
      <c r="A34" s="8" t="inlineStr">
        <is>
          <t>ОсОО Алтын Эйр</t>
        </is>
      </c>
      <c r="B34" s="14" t="n">
        <v>0</v>
      </c>
      <c r="C34" s="14" t="n">
        <v>-1047879.49</v>
      </c>
      <c r="D34" s="14" t="n">
        <v>977000</v>
      </c>
      <c r="E34" s="14" t="n">
        <v>68541.66000000035</v>
      </c>
      <c r="F34" s="14" t="n">
        <v>-2337.830000000005</v>
      </c>
      <c r="G34" s="14" t="n">
        <v>2.91038304567337e-11</v>
      </c>
      <c r="H34" s="12" t="inlineStr">
        <is>
          <t>Сдвинуть баланс ETM на +977,000.00 (оплата не зачислена: 3); Исправить 1С на +68,541.66 (не выставлено в 1С: 2); Сначала выяснить -2,337.83 (начальный разрыв, недостающие акты, спорные суммы)</t>
        </is>
      </c>
      <c r="I34" s="15" t="n">
        <v>16</v>
      </c>
      <c r="J34" s="15" t="n">
        <v>0</v>
      </c>
      <c r="K34" s="14">
        <f>C34+D34+E34</f>
        <v/>
      </c>
      <c r="L34" s="14">
        <f>ROUND(K34-F34-G34-(0.000000001),2)</f>
        <v/>
      </c>
    </row>
    <row r="35">
      <c r="A35" s="8" t="inlineStr">
        <is>
          <t>Жибек Эйр</t>
        </is>
      </c>
      <c r="B35" s="14" t="n">
        <v>253712.49</v>
      </c>
      <c r="C35" s="14" t="n">
        <v>-539022.6400000002</v>
      </c>
      <c r="D35" s="14" t="n">
        <v>730395.41</v>
      </c>
      <c r="E35" s="14" t="n">
        <v>18942.31999999978</v>
      </c>
      <c r="F35" s="14" t="n">
        <v>210315.0899999989</v>
      </c>
      <c r="G35" s="14" t="n">
        <v>1.818989403545856e-11</v>
      </c>
      <c r="H35" s="12" t="inlineStr">
        <is>
          <t>Сдвинуть баланс ETM на +730,395.41 (бот не перенёс продажу: 1; повторная оплата: 1; оплата не зачислена: 4); Исправить 1С на +18,942.32; Сначала выяснить +210,315.09 (начальный разрыв, недостающие акты, спорные суммы)</t>
        </is>
      </c>
      <c r="I35" s="15" t="n">
        <v>137</v>
      </c>
      <c r="J35" s="15" t="n">
        <v>2</v>
      </c>
      <c r="K35" s="14">
        <f>C35+D35+E35</f>
        <v/>
      </c>
      <c r="L35" s="14">
        <f>ROUND(K35-F35-G35-(0.000000000),2)</f>
        <v/>
      </c>
    </row>
    <row r="36">
      <c r="A36" s="8" t="inlineStr">
        <is>
          <t>Ак-Куу Тур</t>
        </is>
      </c>
      <c r="B36" s="14" t="n">
        <v>0</v>
      </c>
      <c r="C36" s="14" t="n">
        <v>-924681.8500000001</v>
      </c>
      <c r="D36" s="14" t="n">
        <v>377308.2</v>
      </c>
      <c r="E36" s="14" t="n">
        <v>542077.4199999999</v>
      </c>
      <c r="F36" s="14" t="n">
        <v>-5296.23</v>
      </c>
      <c r="G36" s="14" t="n">
        <v>-4.001776687800884e-11</v>
      </c>
      <c r="H36" s="12" t="inlineStr">
        <is>
          <t>Сдвинуть баланс ETM на +377,308.20 (оплата не зачислена: 1); Исправить 1С на +542,077.42 (не выставлено в 1С: 5); Сначала выяснить -5,296.23 (начальный разрыв, недостающие акты, спорные суммы)</t>
        </is>
      </c>
      <c r="I36" s="15" t="n">
        <v>24</v>
      </c>
      <c r="J36" s="15" t="n">
        <v>0</v>
      </c>
      <c r="K36" s="14">
        <f>C36+D36+E36</f>
        <v/>
      </c>
      <c r="L36" s="14">
        <f>ROUND(K36-F36-G36-(0.000000000),2)</f>
        <v/>
      </c>
    </row>
    <row r="37">
      <c r="A37" s="8" t="inlineStr">
        <is>
          <t>Абдыраманова Д. А.</t>
        </is>
      </c>
      <c r="B37" s="14" t="n">
        <v>0</v>
      </c>
      <c r="C37" s="14" t="n">
        <v>-921359.1999999997</v>
      </c>
      <c r="D37" s="14" t="n">
        <v>815618.71</v>
      </c>
      <c r="E37" s="14" t="n">
        <v>93239.82000000002</v>
      </c>
      <c r="F37" s="14" t="n">
        <v>-12500.67</v>
      </c>
      <c r="G37" s="14" t="n">
        <v>2.91038304567337e-11</v>
      </c>
      <c r="H37" s="12" t="inlineStr">
        <is>
          <t>Сдвинуть баланс ETM на +815,618.71 (бот не перенёс продажу: 1; оплата не зачислена: 2); Исправить 1С на +93,239.82 (не выставлено в 1С: 1); Сначала выяснить -12,500.67 (начальный разрыв, недостающие акты, спорные суммы)</t>
        </is>
      </c>
      <c r="I37" s="15" t="n">
        <v>9</v>
      </c>
      <c r="J37" s="15" t="n">
        <v>0</v>
      </c>
      <c r="K37" s="14">
        <f>C37+D37+E37</f>
        <v/>
      </c>
      <c r="L37" s="14">
        <f>ROUND(K37-F37-G37-(0.000000000),2)</f>
        <v/>
      </c>
    </row>
    <row r="38">
      <c r="A38" s="8" t="inlineStr">
        <is>
          <t>Манас Тур</t>
        </is>
      </c>
      <c r="B38" s="14" t="n">
        <v>195994.52</v>
      </c>
      <c r="C38" s="14" t="n">
        <v>-507459.8599999999</v>
      </c>
      <c r="D38" s="14" t="n">
        <v>606654.7</v>
      </c>
      <c r="E38" s="14" t="n">
        <v>96582.32000000024</v>
      </c>
      <c r="F38" s="14" t="n">
        <v>195777.16</v>
      </c>
      <c r="G38" s="14" t="n">
        <v>-7.275957614183426e-12</v>
      </c>
      <c r="H38" s="12" t="inlineStr">
        <is>
          <t>Сдвинуть баланс ETM на +606,654.70 (оплата не зачислена: 3); Исправить 1С на +96,582.32 (не выставлено в 1С: 4); Сначала выяснить +195,777.16 (начальный разрыв, недостающие акты, спорные суммы)</t>
        </is>
      </c>
      <c r="I38" s="15" t="n">
        <v>13</v>
      </c>
      <c r="J38" s="15" t="n">
        <v>0</v>
      </c>
      <c r="K38" s="14">
        <f>C38+D38+E38</f>
        <v/>
      </c>
      <c r="L38" s="14">
        <f>ROUND(K38-F38-G38-(0.000000000),2)</f>
        <v/>
      </c>
    </row>
    <row r="39">
      <c r="A39" s="8" t="inlineStr">
        <is>
          <t>Bishkek Fly</t>
        </is>
      </c>
      <c r="B39" s="14" t="n">
        <v>-265149.11</v>
      </c>
      <c r="C39" s="14" t="n">
        <v>-883308.3799999999</v>
      </c>
      <c r="D39" s="14" t="n">
        <v>591694.7</v>
      </c>
      <c r="E39" s="14" t="n">
        <v>26502</v>
      </c>
      <c r="F39" s="14" t="n">
        <v>-265111.68</v>
      </c>
      <c r="G39" s="14" t="n">
        <v>0</v>
      </c>
      <c r="H39" s="12" t="inlineStr">
        <is>
          <t>Сдвинуть баланс ETM на +591,694.70 (оплата не зачислена: 2); Исправить 1С на +26,502.00 (не выставлено в 1С: 1); Сначала выяснить -265,111.68 (начальный разрыв, недостающие акты, спорные суммы)</t>
        </is>
      </c>
      <c r="I39" s="15" t="n">
        <v>7</v>
      </c>
      <c r="J39" s="15" t="n">
        <v>0</v>
      </c>
      <c r="K39" s="14">
        <f>C39+D39+E39</f>
        <v/>
      </c>
      <c r="L39" s="14">
        <f>ROUND(K39-F39-G39-(0.000000000),2)</f>
        <v/>
      </c>
    </row>
    <row r="40">
      <c r="A40" s="8" t="inlineStr">
        <is>
          <t>Issyk-Kul Air</t>
        </is>
      </c>
      <c r="B40" s="14" t="n">
        <v>1.164153218269348e-10</v>
      </c>
      <c r="C40" s="14" t="n">
        <v>-807992.7199999997</v>
      </c>
      <c r="D40" s="14" t="n">
        <v>698600</v>
      </c>
      <c r="E40" s="14" t="n">
        <v>109449.6299999999</v>
      </c>
      <c r="F40" s="14" t="n">
        <v>60.06000000011409</v>
      </c>
      <c r="G40" s="14" t="n">
        <v>-3.149999999972351</v>
      </c>
      <c r="H40" s="12" t="inlineStr">
        <is>
          <t>Сдвинуть баланс ETM на +698,600.00 (оплата не зачислена: 1); Исправить 1С на +109,449.63 (не выставлено в 1С: 3); Сначала выяснить +60.06 (начальный разрыв, недостающие акты, спорные суммы)</t>
        </is>
      </c>
      <c r="I40" s="15" t="n">
        <v>8</v>
      </c>
      <c r="J40" s="15" t="n">
        <v>0</v>
      </c>
      <c r="K40" s="14">
        <f>C40+D40+E40</f>
        <v/>
      </c>
      <c r="L40" s="14">
        <f>ROUND(K40-F40-G40-(0.000000000),2)</f>
        <v/>
      </c>
    </row>
    <row r="41">
      <c r="A41" s="8" t="inlineStr">
        <is>
          <t>Эсенбеков Кубат Элдияревич</t>
        </is>
      </c>
      <c r="B41" s="14" t="n">
        <v>0</v>
      </c>
      <c r="C41" s="14" t="n">
        <v>-750334.6200000002</v>
      </c>
      <c r="D41" s="14" t="n">
        <v>679765.4</v>
      </c>
      <c r="E41" s="14" t="n">
        <v>68944.00000000006</v>
      </c>
      <c r="F41" s="14" t="n">
        <v>-1625.220000000012</v>
      </c>
      <c r="G41" s="14" t="n">
        <v>2.91038304567337e-11</v>
      </c>
      <c r="H41" s="12" t="inlineStr">
        <is>
          <t>Сдвинуть баланс ETM на +679,765.40 (бот не перенёс продажу: 1; оплата не зачислена: 4); Исправить 1С на +68,944.00 (не выставлено в 1С: 3); Сначала выяснить -1,625.22 (начальный разрыв, недостающие акты, спорные суммы)</t>
        </is>
      </c>
      <c r="I41" s="15" t="n">
        <v>15</v>
      </c>
      <c r="J41" s="15" t="n">
        <v>0</v>
      </c>
      <c r="K41" s="14">
        <f>C41+D41+E41</f>
        <v/>
      </c>
      <c r="L41" s="14">
        <f>ROUND(K41-F41-G41-(-0.000000000),2)</f>
        <v/>
      </c>
    </row>
    <row r="42">
      <c r="A42" s="8" t="inlineStr">
        <is>
          <t>ИП Абдылдаова У. О.</t>
        </is>
      </c>
      <c r="B42" s="14" t="n">
        <v>0</v>
      </c>
      <c r="C42" s="14" t="n">
        <v>-729398.09</v>
      </c>
      <c r="D42" s="14" t="n">
        <v>725086.0699999999</v>
      </c>
      <c r="E42" s="14" t="n">
        <v>-2.328306436538696e-10</v>
      </c>
      <c r="F42" s="14" t="n">
        <v>-4312.019999999993</v>
      </c>
      <c r="G42" s="14" t="n">
        <v>7.275957614183426e-12</v>
      </c>
      <c r="H42" s="12" t="inlineStr">
        <is>
          <t>Сдвинуть баланс ETM на +725,086.07 (оплата не зачислена: 2); Сначала выяснить -4,312.02 (начальный разрыв, недостающие акты, спорные суммы)</t>
        </is>
      </c>
      <c r="I42" s="15" t="n">
        <v>9</v>
      </c>
      <c r="J42" s="15" t="n">
        <v>0</v>
      </c>
      <c r="K42" s="14">
        <f>C42+D42+E42</f>
        <v/>
      </c>
      <c r="L42" s="14">
        <f>ROUND(K42-F42-G42-(-0.000000000),2)</f>
        <v/>
      </c>
    </row>
    <row r="43">
      <c r="A43" s="8" t="inlineStr">
        <is>
          <t>Жибек Авиакасса</t>
        </is>
      </c>
      <c r="B43" s="14" t="n">
        <v>0</v>
      </c>
      <c r="C43" s="14" t="n">
        <v>-695485.76</v>
      </c>
      <c r="D43" s="14" t="n">
        <v>690520.0699999999</v>
      </c>
      <c r="E43" s="14" t="n">
        <v>4966.530000000057</v>
      </c>
      <c r="F43" s="14" t="n">
        <v>-1.410000000003492</v>
      </c>
      <c r="G43" s="14" t="n">
        <v>2.250000000023647</v>
      </c>
      <c r="H43" s="12" t="inlineStr">
        <is>
          <t>Сдвинуть баланс ETM на +690,520.07 (дубль списания: 2; бот не перенёс продажу: 2; оплата не зачислена: 4); Исправить 1С на +4,966.53 (не выставлено в 1С: 2); Сначала выяснить -1.41 (начальный разрыв, недостающие акты, спорные суммы)</t>
        </is>
      </c>
      <c r="I43" s="15" t="n">
        <v>22</v>
      </c>
      <c r="J43" s="15" t="n">
        <v>0</v>
      </c>
      <c r="K43" s="14">
        <f>C43+D43+E43</f>
        <v/>
      </c>
      <c r="L43" s="14">
        <f>ROUND(K43-F43-G43-(0.000000000),2)</f>
        <v/>
      </c>
    </row>
    <row r="44">
      <c r="A44" s="8" t="inlineStr">
        <is>
          <t>Ала-Арча Авиакасса</t>
        </is>
      </c>
      <c r="B44" s="14" t="n">
        <v>0</v>
      </c>
      <c r="C44" s="14" t="n">
        <v>-690732.5400000002</v>
      </c>
      <c r="D44" s="14" t="n">
        <v>679892.54</v>
      </c>
      <c r="E44" s="14" t="n">
        <v>10840.00000000007</v>
      </c>
      <c r="F44" s="14" t="n">
        <v>0</v>
      </c>
      <c r="G44" s="14" t="n">
        <v>-1.455191522836685e-11</v>
      </c>
      <c r="H44" s="12" t="inlineStr">
        <is>
          <t>Сдвинуть баланс ETM на +679,892.54 (бот не перенёс продажу: 1; оплата не зачислена: 2); Исправить 1С на +10,840.00 (не выставлено в 1С: 1)</t>
        </is>
      </c>
      <c r="I44" s="15" t="n">
        <v>7</v>
      </c>
      <c r="J44" s="15" t="n">
        <v>0</v>
      </c>
      <c r="K44" s="14">
        <f>C44+D44+E44</f>
        <v/>
      </c>
      <c r="L44" s="14">
        <f>ROUND(K44-F44-G44-(-0.000000000),2)</f>
        <v/>
      </c>
    </row>
    <row r="45">
      <c r="A45" s="8" t="inlineStr">
        <is>
          <t>Tengri Trip</t>
        </is>
      </c>
      <c r="B45" s="14" t="n">
        <v>0</v>
      </c>
      <c r="C45" s="14" t="n">
        <v>-675730.1399999999</v>
      </c>
      <c r="D45" s="14" t="n">
        <v>571413.9399999999</v>
      </c>
      <c r="E45" s="14" t="n">
        <v>107233.8399999999</v>
      </c>
      <c r="F45" s="14" t="n">
        <v>2915.239999999998</v>
      </c>
      <c r="G45" s="14" t="n">
        <v>2.399999999994179</v>
      </c>
      <c r="H45" s="12" t="inlineStr">
        <is>
          <t>Сдвинуть баланс ETM на +571,413.94 (бот не перенёс продажу: 1; оплата не зачислена: 2); Исправить 1С на +107,233.84 (не выставлено в 1С: 3); Сначала выяснить +2,915.24 (начальный разрыв, недостающие акты, спорные суммы)</t>
        </is>
      </c>
      <c r="I45" s="15" t="n">
        <v>9</v>
      </c>
      <c r="J45" s="15" t="n">
        <v>0</v>
      </c>
      <c r="K45" s="14">
        <f>C45+D45+E45</f>
        <v/>
      </c>
      <c r="L45" s="14">
        <f>ROUND(K45-F45-G45-(0.000000000),2)</f>
        <v/>
      </c>
    </row>
    <row r="46">
      <c r="A46" s="8" t="inlineStr">
        <is>
          <t>ОсОО Чолпон Авиакасса</t>
        </is>
      </c>
      <c r="B46" s="14" t="n">
        <v>0</v>
      </c>
      <c r="C46" s="14" t="n">
        <v>-652894.1999999997</v>
      </c>
      <c r="D46" s="14" t="n">
        <v>572154</v>
      </c>
      <c r="E46" s="14" t="n">
        <v>61363.34000000008</v>
      </c>
      <c r="F46" s="14" t="n">
        <v>-19376.86000000002</v>
      </c>
      <c r="G46" s="14" t="n">
        <v>1.818989403545856e-11</v>
      </c>
      <c r="H46" s="12" t="inlineStr">
        <is>
          <t>Сдвинуть баланс ETM на +572,154.00 (дубль списания: 1; оплата не зачислена: 2); Исправить 1С на +61,363.34 (не выставлено в 1С: 2); Сначала выяснить -19,376.86 (начальный разрыв, недостающие акты, спорные суммы)</t>
        </is>
      </c>
      <c r="I46" s="15" t="n">
        <v>16</v>
      </c>
      <c r="J46" s="15" t="n">
        <v>0</v>
      </c>
      <c r="K46" s="14">
        <f>C46+D46+E46</f>
        <v/>
      </c>
      <c r="L46" s="14">
        <f>ROUND(K46-F46-G46-(0.000000000),2)</f>
        <v/>
      </c>
    </row>
    <row r="47">
      <c r="A47" s="8" t="inlineStr">
        <is>
          <t>ЧОЛПОН ЭЙР</t>
        </is>
      </c>
      <c r="B47" s="14" t="n">
        <v>-52420.07999999996</v>
      </c>
      <c r="C47" s="14" t="n">
        <v>-643699.5599999998</v>
      </c>
      <c r="D47" s="14" t="n">
        <v>227155.04</v>
      </c>
      <c r="E47" s="14" t="n">
        <v>335485.7099999997</v>
      </c>
      <c r="F47" s="14" t="n">
        <v>-81058.80999999994</v>
      </c>
      <c r="G47" s="14" t="n">
        <v>-7.275957614183426e-12</v>
      </c>
      <c r="H47" s="12" t="inlineStr">
        <is>
          <t>Сдвинуть баланс ETM на +227,155.04 (дубль списания: 1; повторная оплата: 1; оплата не зачислена: 2); Исправить 1С на +335,485.71 (не выставлено в 1С: 2); Сначала выяснить -81,058.81 (начальный разрыв, недостающие акты, спорные суммы)</t>
        </is>
      </c>
      <c r="I47" s="15" t="n">
        <v>18</v>
      </c>
      <c r="J47" s="15" t="n">
        <v>0</v>
      </c>
      <c r="K47" s="14">
        <f>C47+D47+E47</f>
        <v/>
      </c>
      <c r="L47" s="14">
        <f>ROUND(K47-F47-G47-(-0.000000000),2)</f>
        <v/>
      </c>
    </row>
    <row r="48">
      <c r="A48" s="8" t="inlineStr">
        <is>
          <t>ТЯНЬ-ШАНЬ ЭКСПРЕСС</t>
        </is>
      </c>
      <c r="B48" s="14" t="n">
        <v>0</v>
      </c>
      <c r="C48" s="14" t="n">
        <v>-634394.8300000001</v>
      </c>
      <c r="D48" s="14" t="n">
        <v>312755.87</v>
      </c>
      <c r="E48" s="14" t="n">
        <v>321614.6999999995</v>
      </c>
      <c r="F48" s="14" t="n">
        <v>-24.25999999998749</v>
      </c>
      <c r="G48" s="14" t="n">
        <v>5.820766091346741e-11</v>
      </c>
      <c r="H48" s="12" t="inlineStr">
        <is>
          <t>Сдвинуть баланс ETM на +312,755.87 (дубль списания: 1; бот не перенёс продажу: 3; оплата не зачислена: 1); Исправить 1С на +321,614.70 (не выставлено в 1С: 3); Сначала выяснить -24.26 (начальный разрыв, недостающие акты, спорные суммы)</t>
        </is>
      </c>
      <c r="I48" s="15" t="n">
        <v>13</v>
      </c>
      <c r="J48" s="15" t="n">
        <v>0</v>
      </c>
      <c r="K48" s="14">
        <f>C48+D48+E48</f>
        <v/>
      </c>
      <c r="L48" s="14">
        <f>ROUND(K48-F48-G48-(-0.000000001),2)</f>
        <v/>
      </c>
    </row>
    <row r="49">
      <c r="A49" s="8" t="inlineStr">
        <is>
          <t>ОсОО Иссык Тур</t>
        </is>
      </c>
      <c r="B49" s="14" t="n">
        <v>-149434.14</v>
      </c>
      <c r="C49" s="14" t="n">
        <v>-605052.8499999999</v>
      </c>
      <c r="D49" s="14" t="n">
        <v>426756.86</v>
      </c>
      <c r="E49" s="14" t="n">
        <v>26366.39999999978</v>
      </c>
      <c r="F49" s="14" t="n">
        <v>-151926.19</v>
      </c>
      <c r="G49" s="14" t="n">
        <v>-3.399999999990541</v>
      </c>
      <c r="H49" s="12" t="inlineStr">
        <is>
          <t>Сдвинуть баланс ETM на +426,756.86 (дубль списания: 1; бот не перенёс продажу: 1; повторная оплата: 2; оплата не зачислена: 3); Исправить 1С на +26,366.40 (не выставлено в 1С: 1); Сначала выяснить -151,926.19 (начальный разрыв, недостающие акты, спорные суммы)</t>
        </is>
      </c>
      <c r="I49" s="15" t="n">
        <v>13</v>
      </c>
      <c r="J49" s="15" t="n">
        <v>0</v>
      </c>
      <c r="K49" s="14">
        <f>C49+D49+E49</f>
        <v/>
      </c>
      <c r="L49" s="14">
        <f>ROUND(K49-F49-G49-(-0.000000000),2)</f>
        <v/>
      </c>
    </row>
    <row r="50">
      <c r="A50" s="8" t="inlineStr">
        <is>
          <t>ИП Муратов Э. У.</t>
        </is>
      </c>
      <c r="B50" s="14" t="n">
        <v>0</v>
      </c>
      <c r="C50" s="14" t="n">
        <v>-498809.3700000003</v>
      </c>
      <c r="D50" s="14" t="n">
        <v>501968.16</v>
      </c>
      <c r="E50" s="14" t="n">
        <v>45481.9600000007</v>
      </c>
      <c r="F50" s="14" t="n">
        <v>48640.75</v>
      </c>
      <c r="G50" s="14" t="n">
        <v>7.275957614183426e-12</v>
      </c>
      <c r="H50" s="12" t="inlineStr">
        <is>
          <t>Сдвинуть баланс ETM на +501,968.16 (бот не перенёс продажу: 1; оплата не зачислена: 2); Исправить 1С на +45,481.96; Сначала выяснить +48,640.75 (начальный разрыв, недостающие акты, спорные суммы)</t>
        </is>
      </c>
      <c r="I50" s="15" t="n">
        <v>33</v>
      </c>
      <c r="J50" s="15" t="n">
        <v>1</v>
      </c>
      <c r="K50" s="14">
        <f>C50+D50+E50</f>
        <v/>
      </c>
      <c r="L50" s="14">
        <f>ROUND(K50-F50-G50-(0.000000000),2)</f>
        <v/>
      </c>
    </row>
    <row r="51">
      <c r="A51" s="8" t="inlineStr">
        <is>
          <t>Урматов Эрлан Сагынович</t>
        </is>
      </c>
      <c r="B51" s="14" t="n">
        <v>-8157.110000000004</v>
      </c>
      <c r="C51" s="14" t="n">
        <v>-574937.84</v>
      </c>
      <c r="D51" s="14" t="n">
        <v>531376.3</v>
      </c>
      <c r="E51" s="14" t="n">
        <v>34627.28000000003</v>
      </c>
      <c r="F51" s="14" t="n">
        <v>-8934.260000000004</v>
      </c>
      <c r="G51" s="14" t="n">
        <v>-2.182787284255028e-11</v>
      </c>
      <c r="H51" s="12" t="inlineStr">
        <is>
          <t>Сдвинуть баланс ETM на +531,376.30 (дубль списания: 1; оплата не зачислена: 1; оплата не тому субагенту: 1); Исправить 1С на +34,627.28 (не выставлено в 1С: 1); Сначала выяснить -8,934.26 (начальный разрыв, недостающие акты, спорные суммы)</t>
        </is>
      </c>
      <c r="I51" s="15" t="n">
        <v>10</v>
      </c>
      <c r="J51" s="15" t="n">
        <v>0</v>
      </c>
      <c r="K51" s="14">
        <f>C51+D51+E51</f>
        <v/>
      </c>
      <c r="L51" s="14">
        <f>ROUND(K51-F51-G51-(0.000000000),2)</f>
        <v/>
      </c>
    </row>
    <row r="52">
      <c r="A52" s="8" t="inlineStr">
        <is>
          <t>Салам Авиакасса</t>
        </is>
      </c>
      <c r="B52" s="14" t="n">
        <v>0</v>
      </c>
      <c r="C52" s="14" t="n">
        <v>-102982.7599999996</v>
      </c>
      <c r="D52" s="14" t="n">
        <v>334078.1</v>
      </c>
      <c r="E52" s="14" t="n">
        <v>-231156.2800000001</v>
      </c>
      <c r="F52" s="14" t="n">
        <v>-60.94000000000415</v>
      </c>
      <c r="G52" s="14" t="n">
        <v>-2.91038304567337e-11</v>
      </c>
      <c r="H52" s="12" t="inlineStr">
        <is>
          <t>Сдвинуть баланс ETM на +334,078.10 (дубль списания: 1; повторная оплата: 1; оплата не зачислена: 2); Исправить 1С на -231,156.28 (не выставлено в 1С: 1; оплата не проведена: 1); Сначала выяснить -60.94 (начальный разрыв, недостающие акты, спорные суммы)</t>
        </is>
      </c>
      <c r="I52" s="15" t="n">
        <v>14</v>
      </c>
      <c r="J52" s="15" t="n">
        <v>0</v>
      </c>
      <c r="K52" s="14">
        <f>C52+D52+E52</f>
        <v/>
      </c>
      <c r="L52" s="14">
        <f>ROUND(K52-F52-G52-(0.000000000),2)</f>
        <v/>
      </c>
    </row>
    <row r="53">
      <c r="A53" s="8" t="inlineStr">
        <is>
          <t>Ak-Bulak Voyage</t>
        </is>
      </c>
      <c r="B53" s="14" t="n">
        <v>0</v>
      </c>
      <c r="C53" s="14" t="n">
        <v>561508.28</v>
      </c>
      <c r="D53" s="14" t="n">
        <v>-562800</v>
      </c>
      <c r="E53" s="14" t="n">
        <v>-1.455191522836685e-10</v>
      </c>
      <c r="F53" s="14" t="n">
        <v>-1291.72000000003</v>
      </c>
      <c r="G53" s="14" t="n">
        <v>0</v>
      </c>
      <c r="H53" s="12" t="inlineStr">
        <is>
          <t>Сдвинуть баланс ETM на -562,800.00 (повторная оплата: 1); Сначала выяснить -1,291.72 (начальный разрыв, недостающие акты, спорные суммы)</t>
        </is>
      </c>
      <c r="I53" s="15" t="n">
        <v>12</v>
      </c>
      <c r="J53" s="15" t="n">
        <v>1</v>
      </c>
      <c r="K53" s="14">
        <f>C53+D53+E53</f>
        <v/>
      </c>
      <c r="L53" s="14">
        <f>ROUND(K53-F53-G53-(0.000000000),2)</f>
        <v/>
      </c>
    </row>
    <row r="54">
      <c r="A54" s="8" t="inlineStr">
        <is>
          <t>ИП Жумабекова Б. Н.</t>
        </is>
      </c>
      <c r="B54" s="14" t="n">
        <v>-2.91038304567337e-11</v>
      </c>
      <c r="C54" s="14" t="n">
        <v>-21070.95000000013</v>
      </c>
      <c r="D54" s="14" t="n">
        <v>283613.75</v>
      </c>
      <c r="E54" s="14" t="n">
        <v>-262542.8</v>
      </c>
      <c r="F54" s="14" t="n">
        <v>-1.164153218269348e-10</v>
      </c>
      <c r="G54" s="14" t="n">
        <v>0</v>
      </c>
      <c r="H54" s="12" t="inlineStr">
        <is>
          <t>Сдвинуть баланс ETM на +283,613.75 (бот не перенёс продажу: 2; оплата не зачислена: 1); Исправить 1С на -262,542.80 (не выставлено в 1С: 1)</t>
        </is>
      </c>
      <c r="I54" s="15" t="n">
        <v>32</v>
      </c>
      <c r="J54" s="15" t="n">
        <v>1</v>
      </c>
      <c r="K54" s="14">
        <f>C54+D54+E54</f>
        <v/>
      </c>
      <c r="L54" s="14">
        <f>ROUND(K54-F54-G54-(-0.000000000),2)</f>
        <v/>
      </c>
    </row>
    <row r="55">
      <c r="A55" s="8" t="inlineStr">
        <is>
          <t>Осмонова А. Н.</t>
        </is>
      </c>
      <c r="B55" s="14" t="n">
        <v>0</v>
      </c>
      <c r="C55" s="14" t="n">
        <v>-541422.25</v>
      </c>
      <c r="D55" s="14" t="n">
        <v>493300</v>
      </c>
      <c r="E55" s="14" t="n">
        <v>48122.25000000007</v>
      </c>
      <c r="F55" s="14" t="n">
        <v>0</v>
      </c>
      <c r="G55" s="14" t="n">
        <v>-1.455191522836685e-11</v>
      </c>
      <c r="H55" s="12" t="inlineStr">
        <is>
          <t>Сдвинуть баланс ETM на +493,300.00 (оплата не зачислена: 1); Исправить 1С на +48,122.25 (не выставлено в 1С: 3)</t>
        </is>
      </c>
      <c r="I55" s="15" t="n">
        <v>7</v>
      </c>
      <c r="J55" s="15" t="n">
        <v>0</v>
      </c>
      <c r="K55" s="14">
        <f>C55+D55+E55</f>
        <v/>
      </c>
      <c r="L55" s="14">
        <f>ROUND(K55-F55-G55-(0.000000000),2)</f>
        <v/>
      </c>
    </row>
    <row r="56">
      <c r="A56" s="8" t="inlineStr">
        <is>
          <t>ИП Джолдошов Д. У.</t>
        </is>
      </c>
      <c r="B56" s="14" t="n">
        <v>0</v>
      </c>
      <c r="C56" s="14" t="n">
        <v>-533236.5000000002</v>
      </c>
      <c r="D56" s="14" t="n">
        <v>533140.14</v>
      </c>
      <c r="E56" s="14" t="n">
        <v>-0</v>
      </c>
      <c r="F56" s="14" t="n">
        <v>-96.35999999999694</v>
      </c>
      <c r="G56" s="14" t="n">
        <v>0</v>
      </c>
      <c r="H56" s="12" t="inlineStr">
        <is>
          <t>Сдвинуть баланс ETM на +533,140.14 (оплата не зачислена: 3); Сначала выяснить -96.36 (начальный разрыв, недостающие акты, спорные суммы)</t>
        </is>
      </c>
      <c r="I56" s="15" t="n">
        <v>9</v>
      </c>
      <c r="J56" s="15" t="n">
        <v>0</v>
      </c>
      <c r="K56" s="14">
        <f>C56+D56+E56</f>
        <v/>
      </c>
      <c r="L56" s="14">
        <f>ROUND(K56-F56-G56-(-0.000000000),2)</f>
        <v/>
      </c>
    </row>
    <row r="57">
      <c r="A57" s="8" t="inlineStr">
        <is>
          <t>Урматова Айпери Нурбековна</t>
        </is>
      </c>
      <c r="B57" s="14" t="n">
        <v>0</v>
      </c>
      <c r="C57" s="14" t="n">
        <v>-525719.0999999999</v>
      </c>
      <c r="D57" s="14" t="n">
        <v>418752.76</v>
      </c>
      <c r="E57" s="14" t="n">
        <v>106984</v>
      </c>
      <c r="F57" s="14" t="n">
        <v>17.65999999999622</v>
      </c>
      <c r="G57" s="14" t="n">
        <v>3.637978807091713e-12</v>
      </c>
      <c r="H57" s="12" t="inlineStr">
        <is>
          <t>Сдвинуть баланс ETM на +418,752.76 (бот не перенёс продажу: 1; оплата не зачислена: 1); Исправить 1С на +106,984.00 (не выставлено в 1С: 1); Сначала выяснить +17.66 (начальный разрыв, недостающие акты, спорные суммы)</t>
        </is>
      </c>
      <c r="I57" s="15" t="n">
        <v>12</v>
      </c>
      <c r="J57" s="15" t="n">
        <v>0</v>
      </c>
      <c r="K57" s="14">
        <f>C57+D57+E57</f>
        <v/>
      </c>
      <c r="L57" s="14">
        <f>ROUND(K57-F57-G57-(0.000000000),2)</f>
        <v/>
      </c>
    </row>
    <row r="58">
      <c r="A58" s="8" t="inlineStr">
        <is>
          <t>ЫЙЫК ЭКСПРЕСС</t>
        </is>
      </c>
      <c r="B58" s="14" t="n">
        <v>-386181.95</v>
      </c>
      <c r="C58" s="14" t="n">
        <v>-456398.18</v>
      </c>
      <c r="D58" s="14" t="n">
        <v>-27243.22</v>
      </c>
      <c r="E58" s="14" t="n">
        <v>97636.01000000018</v>
      </c>
      <c r="F58" s="14" t="n">
        <v>-386005.39</v>
      </c>
      <c r="G58" s="14" t="n">
        <v>2.546585164964199e-11</v>
      </c>
      <c r="H58" s="12" t="inlineStr">
        <is>
          <t>Сдвинуть баланс ETM на -27,243.22 (бот не перенёс продажу: 1; повторная оплата: 1; оплата не зачислена: 2); Исправить 1С на +97,636.01 (не выставлено в 1С: 4); Сначала выяснить -386,005.39 (начальный разрыв, недостающие акты, спорные суммы)</t>
        </is>
      </c>
      <c r="I58" s="15" t="n">
        <v>20</v>
      </c>
      <c r="J58" s="15" t="n">
        <v>0</v>
      </c>
      <c r="K58" s="14">
        <f>C58+D58+E58</f>
        <v/>
      </c>
      <c r="L58" s="14">
        <f>ROUND(K58-F58-G58-(0.000000000),2)</f>
        <v/>
      </c>
    </row>
    <row r="59">
      <c r="A59" s="8" t="inlineStr">
        <is>
          <t>ИП Турсунов Т. А.</t>
        </is>
      </c>
      <c r="B59" s="14" t="n">
        <v>0</v>
      </c>
      <c r="C59" s="14" t="n">
        <v>-499892.7600000004</v>
      </c>
      <c r="D59" s="14" t="n">
        <v>504179.62</v>
      </c>
      <c r="E59" s="14" t="n">
        <v>-4286.859999999884</v>
      </c>
      <c r="F59" s="14" t="n">
        <v>0</v>
      </c>
      <c r="G59" s="14" t="n">
        <v>2.546585164964199e-11</v>
      </c>
      <c r="H59" s="12" t="inlineStr">
        <is>
          <t>Сдвинуть баланс ETM на +504,179.62 (оплата не зачислена: 2); Исправить 1С на -4,286.86</t>
        </is>
      </c>
      <c r="I59" s="15" t="n">
        <v>6</v>
      </c>
      <c r="J59" s="15" t="n">
        <v>0</v>
      </c>
      <c r="K59" s="14">
        <f>C59+D59+E59</f>
        <v/>
      </c>
      <c r="L59" s="14">
        <f>ROUND(K59-F59-G59-(-0.000000000),2)</f>
        <v/>
      </c>
    </row>
    <row r="60">
      <c r="A60" s="8" t="inlineStr">
        <is>
          <t>БАЙТУР ТУРИЗМ</t>
        </is>
      </c>
      <c r="B60" s="14" t="n">
        <v>0</v>
      </c>
      <c r="C60" s="14" t="n">
        <v>-497630.87</v>
      </c>
      <c r="D60" s="14" t="n">
        <v>309501.73</v>
      </c>
      <c r="E60" s="14" t="n">
        <v>188129.14</v>
      </c>
      <c r="F60" s="14" t="n">
        <v>0</v>
      </c>
      <c r="G60" s="14" t="n">
        <v>-1.455191522836685e-11</v>
      </c>
      <c r="H60" s="12" t="inlineStr">
        <is>
          <t>Сдвинуть баланс ETM на +309,501.73 (оплата не зачислена: 1); Исправить 1С на +188,129.14 (не выставлено в 1С: 1)</t>
        </is>
      </c>
      <c r="I60" s="15" t="n">
        <v>5</v>
      </c>
      <c r="J60" s="15" t="n">
        <v>0</v>
      </c>
      <c r="K60" s="14">
        <f>C60+D60+E60</f>
        <v/>
      </c>
      <c r="L60" s="14">
        <f>ROUND(K60-F60-G60-(0.000000000),2)</f>
        <v/>
      </c>
    </row>
    <row r="61">
      <c r="A61" s="8" t="inlineStr">
        <is>
          <t>ОсОО Кок-Жайык Лайн</t>
        </is>
      </c>
      <c r="B61" s="14" t="n">
        <v>0</v>
      </c>
      <c r="C61" s="14" t="n">
        <v>-472618.6199999999</v>
      </c>
      <c r="D61" s="14" t="n">
        <v>436735.12</v>
      </c>
      <c r="E61" s="14" t="n">
        <v>46205.61999999986</v>
      </c>
      <c r="F61" s="14" t="n">
        <v>10322.12</v>
      </c>
      <c r="G61" s="14" t="n">
        <v>-1.818989403545856e-11</v>
      </c>
      <c r="H61" s="12" t="inlineStr">
        <is>
          <t>Сдвинуть баланс ETM на +436,735.12 (дубль списания: 1; оплата не зачислена: 1); Исправить 1С на +46,205.62 (не выставлено в 1С: 1); Сначала выяснить +10,322.12 (начальный разрыв, недостающие акты, спорные суммы)</t>
        </is>
      </c>
      <c r="I61" s="15" t="n">
        <v>13</v>
      </c>
      <c r="J61" s="15" t="n">
        <v>0</v>
      </c>
      <c r="K61" s="14">
        <f>C61+D61+E61</f>
        <v/>
      </c>
      <c r="L61" s="14">
        <f>ROUND(K61-F61-G61-(0.000000000),2)</f>
        <v/>
      </c>
    </row>
    <row r="62">
      <c r="A62" s="8" t="inlineStr">
        <is>
          <t>ОсОО Ала-Арча Трип</t>
        </is>
      </c>
      <c r="B62" s="14" t="n">
        <v>0</v>
      </c>
      <c r="C62" s="14" t="n">
        <v>119617.25</v>
      </c>
      <c r="D62" s="14" t="n">
        <v>166200</v>
      </c>
      <c r="E62" s="14" t="n">
        <v>-285788.0200000001</v>
      </c>
      <c r="F62" s="14" t="n">
        <v>29.22999999999956</v>
      </c>
      <c r="G62" s="14" t="n">
        <v>1.455191522836685e-11</v>
      </c>
      <c r="H62" s="12" t="inlineStr">
        <is>
          <t>Сдвинуть баланс ETM на +166,200.00 (оплата не зачислена: 1); Исправить 1С на -285,788.02; Сначала выяснить +29.23 (начальный разрыв, недостающие акты, спорные суммы)</t>
        </is>
      </c>
      <c r="I62" s="15" t="n">
        <v>5</v>
      </c>
      <c r="J62" s="15" t="n">
        <v>0</v>
      </c>
      <c r="K62" s="14">
        <f>C62+D62+E62</f>
        <v/>
      </c>
      <c r="L62" s="14">
        <f>ROUND(K62-F62-G62-(-0.000000000),2)</f>
        <v/>
      </c>
    </row>
    <row r="63">
      <c r="A63" s="8" t="inlineStr">
        <is>
          <t>Эсенбекова Айгуль Нурбекевна</t>
        </is>
      </c>
      <c r="B63" s="14" t="n">
        <v>0</v>
      </c>
      <c r="C63" s="14" t="n">
        <v>-448734.06</v>
      </c>
      <c r="D63" s="14" t="n">
        <v>408092.2</v>
      </c>
      <c r="E63" s="14" t="n">
        <v>40641.86000000002</v>
      </c>
      <c r="F63" s="14" t="n">
        <v>0</v>
      </c>
      <c r="G63" s="14" t="n">
        <v>0</v>
      </c>
      <c r="H63" s="12" t="inlineStr">
        <is>
          <t>Сдвинуть баланс ETM на +408,092.20 (оплата не зачислена: 1); Исправить 1С на +40,641.86 (не выставлено в 1С: 1)</t>
        </is>
      </c>
      <c r="I63" s="15" t="n">
        <v>6</v>
      </c>
      <c r="J63" s="15" t="n">
        <v>0</v>
      </c>
      <c r="K63" s="14">
        <f>C63+D63+E63</f>
        <v/>
      </c>
      <c r="L63" s="14">
        <f>ROUND(K63-F63-G63-(0.000000000),2)</f>
        <v/>
      </c>
    </row>
    <row r="64">
      <c r="A64" s="8" t="inlineStr">
        <is>
          <t>Ниязбеков Кубат Таалайевич</t>
        </is>
      </c>
      <c r="B64" s="14" t="n">
        <v>-411896.58</v>
      </c>
      <c r="C64" s="14" t="n">
        <v>-429168.52</v>
      </c>
      <c r="D64" s="14" t="n">
        <v>-0</v>
      </c>
      <c r="E64" s="14" t="n">
        <v>17285.10999999995</v>
      </c>
      <c r="F64" s="14" t="n">
        <v>-411883.41</v>
      </c>
      <c r="G64" s="14" t="n">
        <v>0</v>
      </c>
      <c r="H64" s="12" t="inlineStr">
        <is>
          <t>Исправить 1С на +17,285.11 (не выставлено в 1С: 1); Сначала выяснить -411,883.41 (начальный разрыв, недостающие акты, спорные суммы)</t>
        </is>
      </c>
      <c r="I64" s="15" t="n">
        <v>3</v>
      </c>
      <c r="J64" s="15" t="n">
        <v>0</v>
      </c>
      <c r="K64" s="14">
        <f>C64+D64+E64</f>
        <v/>
      </c>
      <c r="L64" s="14">
        <f>ROUND(K64-F64-G64-(-0.000000000),2)</f>
        <v/>
      </c>
    </row>
    <row r="65">
      <c r="A65" s="8" t="inlineStr">
        <is>
          <t>Чынар уулу Эмир</t>
        </is>
      </c>
      <c r="B65" s="14" t="n">
        <v>5.820766091346741e-11</v>
      </c>
      <c r="C65" s="14" t="n">
        <v>-395784.0399999999</v>
      </c>
      <c r="D65" s="14" t="n">
        <v>-8392.82</v>
      </c>
      <c r="E65" s="14" t="n">
        <v>68199.89000000013</v>
      </c>
      <c r="F65" s="14" t="n">
        <v>-335976.9699999997</v>
      </c>
      <c r="G65" s="14" t="n">
        <v>0</v>
      </c>
      <c r="H65" s="12" t="inlineStr">
        <is>
          <t>Сдвинуть баланс ETM на -8,392.82 (дубль списания: 1; бот не перенёс продажу: 1); Исправить 1С на +68,199.89 (не выставлено в 1С: 1); Сначала выяснить -335,976.97 (начальный разрыв, недостающие акты, спорные суммы)</t>
        </is>
      </c>
      <c r="I65" s="15" t="n">
        <v>22</v>
      </c>
      <c r="J65" s="15" t="n">
        <v>2</v>
      </c>
      <c r="K65" s="14">
        <f>C65+D65+E65</f>
        <v/>
      </c>
      <c r="L65" s="14">
        <f>ROUND(K65-F65-G65-(0.000000000),2)</f>
        <v/>
      </c>
    </row>
    <row r="66">
      <c r="A66" s="8" t="inlineStr">
        <is>
          <t>Асанов Кубат Чынаревич</t>
        </is>
      </c>
      <c r="B66" s="14" t="n">
        <v>0</v>
      </c>
      <c r="C66" s="14" t="n">
        <v>-403058.9199999999</v>
      </c>
      <c r="D66" s="14" t="n">
        <v>288100</v>
      </c>
      <c r="E66" s="14" t="n">
        <v>115067.9400000001</v>
      </c>
      <c r="F66" s="14" t="n">
        <v>109.0199999999895</v>
      </c>
      <c r="G66" s="14" t="n">
        <v>1.455191522836685e-11</v>
      </c>
      <c r="H66" s="12" t="inlineStr">
        <is>
          <t>Сдвинуть баланс ETM на +288,100.00 (оплата не зачислена: 1); Исправить 1С на +115,067.94 (не выставлено в 1С: 1); Сначала выяснить +109.02 (начальный разрыв, недостающие акты, спорные суммы)</t>
        </is>
      </c>
      <c r="I66" s="15" t="n">
        <v>5</v>
      </c>
      <c r="J66" s="15" t="n">
        <v>1</v>
      </c>
      <c r="K66" s="14">
        <f>C66+D66+E66</f>
        <v/>
      </c>
      <c r="L66" s="14">
        <f>ROUND(K66-F66-G66-(0.000000000),2)</f>
        <v/>
      </c>
    </row>
    <row r="67">
      <c r="A67" s="8" t="inlineStr">
        <is>
          <t>ОсОО Кара-Кол Трип</t>
        </is>
      </c>
      <c r="B67" s="14" t="n">
        <v>278432.52</v>
      </c>
      <c r="C67" s="14" t="n">
        <v>160339.0600000003</v>
      </c>
      <c r="D67" s="14" t="n">
        <v>-557.3199999999997</v>
      </c>
      <c r="E67" s="14" t="n">
        <v>121261.2800000001</v>
      </c>
      <c r="F67" s="14" t="n">
        <v>281043.02</v>
      </c>
      <c r="G67" s="14" t="n">
        <v>7.275957614183426e-12</v>
      </c>
      <c r="H67" s="12" t="inlineStr">
        <is>
          <t>Сдвинуть баланс ETM на -557.32; Исправить 1С на +121,261.28 (не выставлено в 1С: 3); Сначала выяснить +281,043.02 (начальный разрыв, недостающие акты, спорные суммы)</t>
        </is>
      </c>
      <c r="I67" s="15" t="n">
        <v>10</v>
      </c>
      <c r="J67" s="15" t="n">
        <v>0</v>
      </c>
      <c r="K67" s="14">
        <f>C67+D67+E67</f>
        <v/>
      </c>
      <c r="L67" s="14">
        <f>ROUND(K67-F67-G67-(0.000000000),2)</f>
        <v/>
      </c>
    </row>
    <row r="68">
      <c r="A68" s="8" t="inlineStr">
        <is>
          <t>Ыйык Авиакасса</t>
        </is>
      </c>
      <c r="B68" s="14" t="n">
        <v>0</v>
      </c>
      <c r="C68" s="14" t="n">
        <v>-252719.8</v>
      </c>
      <c r="D68" s="14" t="n">
        <v>325175.92</v>
      </c>
      <c r="E68" s="14" t="n">
        <v>-72490.00000000009</v>
      </c>
      <c r="F68" s="14" t="n">
        <v>-33.88000000000102</v>
      </c>
      <c r="G68" s="14" t="n">
        <v>0</v>
      </c>
      <c r="H68" s="12" t="inlineStr">
        <is>
          <t>Сдвинуть баланс ETM на +325,175.92 (бот не перенёс продажу: 1; повторная оплата: 1; оплата не зачислена: 3); Исправить 1С на -72,490.00; Сначала выяснить -33.88 (начальный разрыв, недостающие акты, спорные суммы)</t>
        </is>
      </c>
      <c r="I68" s="15" t="n">
        <v>8</v>
      </c>
      <c r="J68" s="15" t="n">
        <v>0</v>
      </c>
      <c r="K68" s="14">
        <f>C68+D68+E68</f>
        <v/>
      </c>
      <c r="L68" s="14">
        <f>ROUND(K68-F68-G68-(-0.000000000),2)</f>
        <v/>
      </c>
    </row>
    <row r="69">
      <c r="A69" s="8" t="inlineStr">
        <is>
          <t>ИП Бейшенова Д. О.</t>
        </is>
      </c>
      <c r="B69" s="14" t="n">
        <v>0</v>
      </c>
      <c r="C69" s="14" t="n">
        <v>-377401.4799999998</v>
      </c>
      <c r="D69" s="14" t="n">
        <v>182955</v>
      </c>
      <c r="E69" s="14" t="n">
        <v>194587.7099999999</v>
      </c>
      <c r="F69" s="14" t="n">
        <v>141.2299999999959</v>
      </c>
      <c r="G69" s="14" t="n">
        <v>1.455191522836685e-11</v>
      </c>
      <c r="H69" s="12" t="inlineStr">
        <is>
          <t>Сдвинуть баланс ETM на +182,955.00 (бот не перенёс продажу: 1; повторная оплата: 1; оплата не зачислена: 2); Исправить 1С на +194,587.71 (не выставлено в 1С: 7); Сначала выяснить +141.23 (начальный разрыв, недостающие акты, спорные суммы)</t>
        </is>
      </c>
      <c r="I69" s="15" t="n">
        <v>19</v>
      </c>
      <c r="J69" s="15" t="n">
        <v>0</v>
      </c>
      <c r="K69" s="14">
        <f>C69+D69+E69</f>
        <v/>
      </c>
      <c r="L69" s="14">
        <f>ROUND(K69-F69-G69-(0.000000000),2)</f>
        <v/>
      </c>
    </row>
    <row r="70">
      <c r="A70" s="8" t="inlineStr">
        <is>
          <t>Бирлик Трип</t>
        </is>
      </c>
      <c r="B70" s="14" t="n">
        <v>0</v>
      </c>
      <c r="C70" s="14" t="n">
        <v>-373396.0899999998</v>
      </c>
      <c r="D70" s="14" t="n">
        <v>346306.04</v>
      </c>
      <c r="E70" s="14" t="n">
        <v>26997.39999999985</v>
      </c>
      <c r="F70" s="14" t="n">
        <v>-92.65000000000509</v>
      </c>
      <c r="G70" s="14" t="n">
        <v>7.275957614183426e-12</v>
      </c>
      <c r="H70" s="12" t="inlineStr">
        <is>
          <t>Сдвинуть баланс ETM на +346,306.04 (бот не перенёс продажу: 1; повторная оплата: 1; оплата не зачислена: 2); Исправить 1С на +26,997.40; Сначала выяснить -92.65 (начальный разрыв, недостающие акты, спорные суммы)</t>
        </is>
      </c>
      <c r="I70" s="15" t="n">
        <v>11</v>
      </c>
      <c r="J70" s="15" t="n">
        <v>0</v>
      </c>
      <c r="K70" s="14">
        <f>C70+D70+E70</f>
        <v/>
      </c>
      <c r="L70" s="14">
        <f>ROUND(K70-F70-G70-(0.000000000),2)</f>
        <v/>
      </c>
    </row>
    <row r="71">
      <c r="A71" s="8" t="inlineStr">
        <is>
          <t>Чолпон Тревел</t>
        </is>
      </c>
      <c r="B71" s="14" t="n">
        <v>0</v>
      </c>
      <c r="C71" s="14" t="n">
        <v>-260225.1</v>
      </c>
      <c r="D71" s="14" t="n">
        <v>260400</v>
      </c>
      <c r="E71" s="14" t="n">
        <v>55058.69000000005</v>
      </c>
      <c r="F71" s="14" t="n">
        <v>55233.59000000003</v>
      </c>
      <c r="G71" s="14" t="n">
        <v>0</v>
      </c>
      <c r="H71" s="12" t="inlineStr">
        <is>
          <t>Сдвинуть баланс ETM на +260,400.00 (оплата не зачислена: 1); Исправить 1С на +55,058.69; Сначала выяснить +55,233.59 (начальный разрыв, недостающие акты, спорные суммы)</t>
        </is>
      </c>
      <c r="I71" s="15" t="n">
        <v>21</v>
      </c>
      <c r="J71" s="15" t="n">
        <v>2</v>
      </c>
      <c r="K71" s="14">
        <f>C71+D71+E71</f>
        <v/>
      </c>
      <c r="L71" s="14">
        <f>ROUND(K71-F71-G71-(-0.000000000),2)</f>
        <v/>
      </c>
    </row>
    <row r="72">
      <c r="A72" s="8" t="inlineStr">
        <is>
          <t>ТАЛАС ВОЯЖ</t>
        </is>
      </c>
      <c r="B72" s="14" t="n">
        <v>-318941</v>
      </c>
      <c r="C72" s="14" t="n">
        <v>-291809.8400000001</v>
      </c>
      <c r="D72" s="14" t="n">
        <v>11168.84</v>
      </c>
      <c r="E72" s="14" t="n">
        <v>-38299.99999999996</v>
      </c>
      <c r="F72" s="14" t="n">
        <v>-318941</v>
      </c>
      <c r="G72" s="14" t="n">
        <v>0</v>
      </c>
      <c r="H72" s="12" t="inlineStr">
        <is>
          <t>Сдвинуть баланс ETM на +11,168.84; Исправить 1С на -38,300.00; Сначала выяснить -318,941.00 (начальный разрыв, недостающие акты, спорные суммы)</t>
        </is>
      </c>
      <c r="I72" s="15" t="n">
        <v>7</v>
      </c>
      <c r="J72" s="15" t="n">
        <v>0</v>
      </c>
      <c r="K72" s="14">
        <f>C72+D72+E72</f>
        <v/>
      </c>
      <c r="L72" s="14">
        <f>ROUND(K72-F72-G72-(0.000000000),2)</f>
        <v/>
      </c>
    </row>
    <row r="73">
      <c r="A73" s="8" t="inlineStr">
        <is>
          <t>САЛАМ ВОЯЖ</t>
        </is>
      </c>
      <c r="B73" s="14" t="n">
        <v>0</v>
      </c>
      <c r="C73" s="14" t="n">
        <v>141941.6900000001</v>
      </c>
      <c r="D73" s="14" t="n">
        <v>98612</v>
      </c>
      <c r="E73" s="14" t="n">
        <v>-240553.69</v>
      </c>
      <c r="F73" s="14" t="n">
        <v>0</v>
      </c>
      <c r="G73" s="14" t="n">
        <v>7.275957614183426e-12</v>
      </c>
      <c r="H73" s="12" t="inlineStr">
        <is>
          <t>Сдвинуть баланс ETM на +98,612.00 (оплата не зачислена: 1); Исправить 1С на -240,553.69 (не выставлено в 1С: 1)</t>
        </is>
      </c>
      <c r="I73" s="15" t="n">
        <v>4</v>
      </c>
      <c r="J73" s="15" t="n">
        <v>0</v>
      </c>
      <c r="K73" s="14">
        <f>C73+D73+E73</f>
        <v/>
      </c>
      <c r="L73" s="14">
        <f>ROUND(K73-F73-G73-(0.000000000),2)</f>
        <v/>
      </c>
    </row>
    <row r="74">
      <c r="A74" s="8" t="inlineStr">
        <is>
          <t>Асанова Каныкей Эсенбекевна</t>
        </is>
      </c>
      <c r="B74" s="14" t="n">
        <v>-320853.24</v>
      </c>
      <c r="C74" s="14" t="n">
        <v>-327069.4399999999</v>
      </c>
      <c r="D74" s="14" t="n">
        <v>11347.2</v>
      </c>
      <c r="E74" s="14" t="n">
        <v>-5131.000000000015</v>
      </c>
      <c r="F74" s="14" t="n">
        <v>-320853.24</v>
      </c>
      <c r="G74" s="14" t="n">
        <v>-1.455191522836685e-11</v>
      </c>
      <c r="H74" s="12" t="inlineStr">
        <is>
          <t>Сдвинуть баланс ETM на +11,347.20 (дубль списания: 1; бот не перенёс продажу: 1); Исправить 1С на -5,131.00; Сначала выяснить -320,853.24 (начальный разрыв, недостающие акты, спорные суммы)</t>
        </is>
      </c>
      <c r="I74" s="15" t="n">
        <v>5</v>
      </c>
      <c r="J74" s="15" t="n">
        <v>0</v>
      </c>
      <c r="K74" s="14">
        <f>C74+D74+E74</f>
        <v/>
      </c>
      <c r="L74" s="14">
        <f>ROUND(K74-F74-G74-(0.000000000),2)</f>
        <v/>
      </c>
    </row>
    <row r="75">
      <c r="A75" s="8" t="inlineStr">
        <is>
          <t>ИП Асанов К. Б.</t>
        </is>
      </c>
      <c r="B75" s="14" t="n">
        <v>0</v>
      </c>
      <c r="C75" s="14" t="n">
        <v>-329894.3400000001</v>
      </c>
      <c r="D75" s="14" t="n">
        <v>201202.39</v>
      </c>
      <c r="E75" s="14" t="n">
        <v>125841.0599999999</v>
      </c>
      <c r="F75" s="14" t="n">
        <v>-2850.890000000014</v>
      </c>
      <c r="G75" s="14" t="n">
        <v>-3.637978807091713e-12</v>
      </c>
      <c r="H75" s="12" t="inlineStr">
        <is>
          <t>Сдвинуть баланс ETM на +201,202.39 (оплата не зачислена: 1); Исправить 1С на +125,841.06 (не выставлено в 1С: 2); Сначала выяснить -2,850.89 (начальный разрыв, недостающие акты, спорные суммы)</t>
        </is>
      </c>
      <c r="I75" s="15" t="n">
        <v>21</v>
      </c>
      <c r="J75" s="15" t="n">
        <v>1</v>
      </c>
      <c r="K75" s="14">
        <f>C75+D75+E75</f>
        <v/>
      </c>
      <c r="L75" s="14">
        <f>ROUND(K75-F75-G75-(-0.000000000),2)</f>
        <v/>
      </c>
    </row>
    <row r="76">
      <c r="A76" s="8" t="inlineStr">
        <is>
          <t>Кенешова Чолпон Таалайовна</t>
        </is>
      </c>
      <c r="B76" s="14" t="n">
        <v>0</v>
      </c>
      <c r="C76" s="14" t="n">
        <v>-329379.6299999999</v>
      </c>
      <c r="D76" s="14" t="n">
        <v>122328.62</v>
      </c>
      <c r="E76" s="14" t="n">
        <v>206693.2999999999</v>
      </c>
      <c r="F76" s="14" t="n">
        <v>-357.7100000000028</v>
      </c>
      <c r="G76" s="14" t="n">
        <v>1.818989403545856e-11</v>
      </c>
      <c r="H76" s="12" t="inlineStr">
        <is>
          <t>Сдвинуть баланс ETM на +122,328.62 (бот не перенёс продажу: 1; оплата не зачислена: 1); Исправить 1С на +206,693.30 (не выставлено в 1С: 4); Сначала выяснить -357.71 (начальный разрыв, недостающие акты, спорные суммы)</t>
        </is>
      </c>
      <c r="I76" s="15" t="n">
        <v>10</v>
      </c>
      <c r="J76" s="15" t="n">
        <v>0</v>
      </c>
      <c r="K76" s="14">
        <f>C76+D76+E76</f>
        <v/>
      </c>
      <c r="L76" s="14">
        <f>ROUND(K76-F76-G76-(0.000000000),2)</f>
        <v/>
      </c>
    </row>
    <row r="77">
      <c r="A77" s="8" t="inlineStr">
        <is>
          <t>САЛАМ ЭЙР</t>
        </is>
      </c>
      <c r="B77" s="14" t="n">
        <v>-1.164153218269348e-10</v>
      </c>
      <c r="C77" s="14" t="n">
        <v>-326737.55</v>
      </c>
      <c r="D77" s="14" t="n">
        <v>8333.700000000001</v>
      </c>
      <c r="E77" s="14" t="n">
        <v>314382.85</v>
      </c>
      <c r="F77" s="14" t="n">
        <v>-4021.000000000109</v>
      </c>
      <c r="G77" s="14" t="n">
        <v>7.275957614183426e-12</v>
      </c>
      <c r="H77" s="12" t="inlineStr">
        <is>
          <t>Сдвинуть баланс ETM на +8,333.70 (дубль списания: 1); Исправить 1С на +314,382.85 (не выставлено в 1С: 7); Сначала выяснить -4,021.00 (начальный разрыв, недостающие акты, спорные суммы)</t>
        </is>
      </c>
      <c r="I77" s="15" t="n">
        <v>15</v>
      </c>
      <c r="J77" s="15" t="n">
        <v>0</v>
      </c>
      <c r="K77" s="14">
        <f>C77+D77+E77</f>
        <v/>
      </c>
      <c r="L77" s="14">
        <f>ROUND(K77-F77-G77-(0.000000000),2)</f>
        <v/>
      </c>
    </row>
    <row r="78">
      <c r="A78" s="8" t="inlineStr">
        <is>
          <t>Абдылдаов Д. М.</t>
        </is>
      </c>
      <c r="B78" s="14" t="n">
        <v>0</v>
      </c>
      <c r="C78" s="14" t="n">
        <v>-300901.9300000002</v>
      </c>
      <c r="D78" s="14" t="n">
        <v>290833.38</v>
      </c>
      <c r="E78" s="14" t="n">
        <v>9999.999999999993</v>
      </c>
      <c r="F78" s="14" t="n">
        <v>-68.55000000000291</v>
      </c>
      <c r="G78" s="14" t="n">
        <v>1.818989403545856e-11</v>
      </c>
      <c r="H78" s="12" t="inlineStr">
        <is>
          <t>Сдвинуть баланс ETM на +290,833.38 (оплата не зачислена: 2); Исправить 1С на +10,000.00; Сначала выяснить -68.55 (начальный разрыв, недостающие акты, спорные суммы)</t>
        </is>
      </c>
      <c r="I78" s="15" t="n">
        <v>11</v>
      </c>
      <c r="J78" s="15" t="n">
        <v>0</v>
      </c>
      <c r="K78" s="14">
        <f>C78+D78+E78</f>
        <v/>
      </c>
      <c r="L78" s="14">
        <f>ROUND(K78-F78-G78-(-0.000000000),2)</f>
        <v/>
      </c>
    </row>
    <row r="79">
      <c r="A79" s="8" t="inlineStr">
        <is>
          <t>Тянь-Шань Тур</t>
        </is>
      </c>
      <c r="B79" s="14" t="n">
        <v>0</v>
      </c>
      <c r="C79" s="14" t="n">
        <v>259874.0799999999</v>
      </c>
      <c r="D79" s="14" t="n">
        <v>-279600</v>
      </c>
      <c r="E79" s="14" t="n">
        <v>11971.96999999996</v>
      </c>
      <c r="F79" s="14" t="n">
        <v>-7753.950000000186</v>
      </c>
      <c r="G79" s="14" t="n">
        <v>-3.637978807091713e-12</v>
      </c>
      <c r="H79" s="12" t="inlineStr">
        <is>
          <t>Сдвинуть баланс ETM на -279,600.00 (повторная оплата: 1); Исправить 1С на +11,971.97; Сначала выяснить -7,753.95 (начальный разрыв, недостающие акты, спорные суммы)</t>
        </is>
      </c>
      <c r="I79" s="15" t="n">
        <v>38</v>
      </c>
      <c r="J79" s="15" t="n">
        <v>2</v>
      </c>
      <c r="K79" s="14">
        <f>C79+D79+E79</f>
        <v/>
      </c>
      <c r="L79" s="14">
        <f>ROUND(K79-F79-G79-(0.000000000),2)</f>
        <v/>
      </c>
    </row>
    <row r="80">
      <c r="A80" s="8" t="inlineStr">
        <is>
          <t>Манас Туризм</t>
        </is>
      </c>
      <c r="B80" s="14" t="n">
        <v>0</v>
      </c>
      <c r="C80" s="14" t="n">
        <v>-297776.3200000001</v>
      </c>
      <c r="D80" s="14" t="n">
        <v>234600</v>
      </c>
      <c r="E80" s="14" t="n">
        <v>35999.99999999996</v>
      </c>
      <c r="F80" s="14" t="n">
        <v>-27176.31999999995</v>
      </c>
      <c r="G80" s="14" t="n">
        <v>0</v>
      </c>
      <c r="H80" s="12" t="inlineStr">
        <is>
          <t>Сдвинуть баланс ETM на +234,600.00 (оплата не зачислена: 1); Исправить 1С на +36,000.00; Сначала выяснить -27,176.32 (начальный разрыв, недостающие акты, спорные суммы)</t>
        </is>
      </c>
      <c r="I80" s="15" t="n">
        <v>22</v>
      </c>
      <c r="J80" s="15" t="n">
        <v>1</v>
      </c>
      <c r="K80" s="14">
        <f>C80+D80+E80</f>
        <v/>
      </c>
      <c r="L80" s="14">
        <f>ROUND(K80-F80-G80-(-0.000000000),2)</f>
        <v/>
      </c>
    </row>
    <row r="81">
      <c r="A81" s="8" t="inlineStr">
        <is>
          <t>СОН-КУЛЬ ТУР</t>
        </is>
      </c>
      <c r="B81" s="14" t="n">
        <v>-1.164153218269348e-10</v>
      </c>
      <c r="C81" s="14" t="n">
        <v>-278350.2800000001</v>
      </c>
      <c r="D81" s="14" t="n">
        <v>280731.3</v>
      </c>
      <c r="E81" s="14" t="n">
        <v>-2506.470000000008</v>
      </c>
      <c r="F81" s="14" t="n">
        <v>-122.8500000001222</v>
      </c>
      <c r="G81" s="14" t="n">
        <v>-2.600000000036744</v>
      </c>
      <c r="H81" s="12" t="inlineStr">
        <is>
          <t>Сдвинуть баланс ETM на +280,731.30 (оплата не зачислена: 1); Исправить 1С на -2,506.47; Сначала выяснить -122.85 (начальный разрыв, недостающие акты, спорные суммы)</t>
        </is>
      </c>
      <c r="I81" s="15" t="n">
        <v>6</v>
      </c>
      <c r="J81" s="15" t="n">
        <v>0</v>
      </c>
      <c r="K81" s="14">
        <f>C81+D81+E81</f>
        <v/>
      </c>
      <c r="L81" s="14">
        <f>ROUND(K81-F81-G81-(0.000000000),2)</f>
        <v/>
      </c>
    </row>
    <row r="82">
      <c r="A82" s="8" t="inlineStr">
        <is>
          <t>ИП Мамбетова Ч. Э.</t>
        </is>
      </c>
      <c r="B82" s="14" t="n">
        <v>0</v>
      </c>
      <c r="C82" s="14" t="n">
        <v>-102521.9099999999</v>
      </c>
      <c r="D82" s="14" t="n">
        <v>179757.21</v>
      </c>
      <c r="E82" s="14" t="n">
        <v>-77452.13999999997</v>
      </c>
      <c r="F82" s="14" t="n">
        <v>-216.8399999999965</v>
      </c>
      <c r="G82" s="14" t="n">
        <v>3.637978807091713e-12</v>
      </c>
      <c r="H82" s="12" t="inlineStr">
        <is>
          <t>Сдвинуть баланс ETM на +179,757.21 (бот не перенёс продажу: 1; оплата не зачислена: 1); Исправить 1С на -77,452.14 (не выставлено в 1С: 1); Сначала выяснить -216.84 (начальный разрыв, недостающие акты, спорные суммы)</t>
        </is>
      </c>
      <c r="I82" s="15" t="n">
        <v>12</v>
      </c>
      <c r="J82" s="15" t="n">
        <v>0</v>
      </c>
      <c r="K82" s="14">
        <f>C82+D82+E82</f>
        <v/>
      </c>
      <c r="L82" s="14">
        <f>ROUND(K82-F82-G82-(0.000000000),2)</f>
        <v/>
      </c>
    </row>
    <row r="83">
      <c r="A83" s="8" t="inlineStr">
        <is>
          <t>Чынарова Бурул Джолдошовна</t>
        </is>
      </c>
      <c r="B83" s="14" t="n">
        <v>0</v>
      </c>
      <c r="C83" s="14" t="n">
        <v>-251755.0799999998</v>
      </c>
      <c r="D83" s="14" t="n">
        <v>223698</v>
      </c>
      <c r="E83" s="14" t="n">
        <v>28040.50999999989</v>
      </c>
      <c r="F83" s="14" t="n">
        <v>-16.56999999999971</v>
      </c>
      <c r="G83" s="14" t="n">
        <v>7.275957614183426e-12</v>
      </c>
      <c r="H83" s="12" t="inlineStr">
        <is>
          <t>Сдвинуть баланс ETM на +223,698.00 (бот не перенёс продажу: 1; оплата не зачислена: 2); Исправить 1С на +28,040.51 (не выставлено в 1С: 2); Сначала выяснить -16.57 (начальный разрыв, недостающие акты, спорные суммы)</t>
        </is>
      </c>
      <c r="I83" s="15" t="n">
        <v>16</v>
      </c>
      <c r="J83" s="15" t="n">
        <v>0</v>
      </c>
      <c r="K83" s="14">
        <f>C83+D83+E83</f>
        <v/>
      </c>
      <c r="L83" s="14">
        <f>ROUND(K83-F83-G83-(0.000000000),2)</f>
        <v/>
      </c>
    </row>
    <row r="84">
      <c r="A84" s="8" t="inlineStr">
        <is>
          <t>ОсОО Кок-Жайык Вояж</t>
        </is>
      </c>
      <c r="B84" s="14" t="n">
        <v>0</v>
      </c>
      <c r="C84" s="14" t="n">
        <v>-250963.79</v>
      </c>
      <c r="D84" s="14" t="n">
        <v>156975.33</v>
      </c>
      <c r="E84" s="14" t="n">
        <v>94176.83000000009</v>
      </c>
      <c r="F84" s="14" t="n">
        <v>192.3199999999997</v>
      </c>
      <c r="G84" s="14" t="n">
        <v>-3.94999999996071</v>
      </c>
      <c r="H84" s="12" t="inlineStr">
        <is>
          <t>Сдвинуть баланс ETM на +156,975.33 (бот не перенёс продажу: 2; оплата не зачислена: 1); Исправить 1С на +94,176.83 (не выставлено в 1С: 2); Сначала выяснить +192.32 (начальный разрыв, недостающие акты, спорные суммы)</t>
        </is>
      </c>
      <c r="I84" s="15" t="n">
        <v>11</v>
      </c>
      <c r="J84" s="15" t="n">
        <v>0</v>
      </c>
      <c r="K84" s="14">
        <f>C84+D84+E84</f>
        <v/>
      </c>
      <c r="L84" s="14">
        <f>ROUND(K84-F84-G84-(0.000000000),2)</f>
        <v/>
      </c>
    </row>
    <row r="85">
      <c r="A85" s="8" t="inlineStr">
        <is>
          <t>Silk Route Air</t>
        </is>
      </c>
      <c r="B85" s="14" t="n">
        <v>170347.21</v>
      </c>
      <c r="C85" s="14" t="n">
        <v>97886.44</v>
      </c>
      <c r="D85" s="14" t="n">
        <v>17033.55</v>
      </c>
      <c r="E85" s="14" t="n">
        <v>55877.56</v>
      </c>
      <c r="F85" s="14" t="n">
        <v>170797.55</v>
      </c>
      <c r="G85" s="14" t="n">
        <v>-7.275957614183426e-12</v>
      </c>
      <c r="H85" s="12" t="inlineStr">
        <is>
          <t>Сдвинуть баланс ETM на +17,033.55 (дубль списания: 1); Исправить 1С на +55,877.56 (не выставлено в 1С: 1); Сначала выяснить +170,797.55 (начальный разрыв, недостающие акты, спорные суммы)</t>
        </is>
      </c>
      <c r="I85" s="15" t="n">
        <v>9</v>
      </c>
      <c r="J85" s="15" t="n">
        <v>0</v>
      </c>
      <c r="K85" s="14">
        <f>C85+D85+E85</f>
        <v/>
      </c>
      <c r="L85" s="14">
        <f>ROUND(K85-F85-G85-(0.000000000),2)</f>
        <v/>
      </c>
    </row>
    <row r="86">
      <c r="A86" s="8" t="inlineStr">
        <is>
          <t>Эсенбек уулу Азамат</t>
        </is>
      </c>
      <c r="B86" s="14" t="n">
        <v>0</v>
      </c>
      <c r="C86" s="14" t="n">
        <v>-236889.9799999999</v>
      </c>
      <c r="D86" s="14" t="n">
        <v>169500</v>
      </c>
      <c r="E86" s="14" t="n">
        <v>24228.97999999994</v>
      </c>
      <c r="F86" s="14" t="n">
        <v>-43161</v>
      </c>
      <c r="G86" s="14" t="n">
        <v>0</v>
      </c>
      <c r="H86" s="12" t="inlineStr">
        <is>
          <t>Сдвинуть баланс ETM на +169,500.00 (оплата не зачислена: 1); Исправить 1С на +24,228.98 (не выставлено в 1С: 1); Сначала выяснить -43,161.00 (начальный разрыв, недостающие акты, спорные суммы)</t>
        </is>
      </c>
      <c r="I86" s="15" t="n">
        <v>4</v>
      </c>
      <c r="J86" s="15" t="n">
        <v>0</v>
      </c>
      <c r="K86" s="14">
        <f>C86+D86+E86</f>
        <v/>
      </c>
      <c r="L86" s="14">
        <f>ROUND(K86-F86-G86-(0.000000000),2)</f>
        <v/>
      </c>
    </row>
    <row r="87">
      <c r="A87" s="8" t="inlineStr">
        <is>
          <t>Blue Bird Travel</t>
        </is>
      </c>
      <c r="B87" s="14" t="n">
        <v>-1.091393642127514e-11</v>
      </c>
      <c r="C87" s="14" t="n">
        <v>-234553.8199999999</v>
      </c>
      <c r="D87" s="14" t="n">
        <v>40052.10000000001</v>
      </c>
      <c r="E87" s="14" t="n">
        <v>190265.8800000001</v>
      </c>
      <c r="F87" s="14" t="n">
        <v>-4235.840000000004</v>
      </c>
      <c r="G87" s="14" t="n">
        <v>-1.455191522836685e-11</v>
      </c>
      <c r="H87" s="12" t="inlineStr">
        <is>
          <t>Сдвинуть баланс ETM на +40,052.10 (повторная оплата: 1; оплата не зачислена: 1); Исправить 1С на +190,265.88 (не выставлено в 1С: 7); Сначала выяснить -4,235.84 (начальный разрыв, недостающие акты, спорные суммы)</t>
        </is>
      </c>
      <c r="I87" s="15" t="n">
        <v>18</v>
      </c>
      <c r="J87" s="15" t="n">
        <v>0</v>
      </c>
      <c r="K87" s="14">
        <f>C87+D87+E87</f>
        <v/>
      </c>
      <c r="L87" s="14">
        <f>ROUND(K87-F87-G87-(0.000000000),2)</f>
        <v/>
      </c>
    </row>
    <row r="88">
      <c r="A88" s="8" t="inlineStr">
        <is>
          <t>ТАЛАС ЭЙР</t>
        </is>
      </c>
      <c r="B88" s="14" t="n">
        <v>0</v>
      </c>
      <c r="C88" s="14" t="n">
        <v>96990.56999999983</v>
      </c>
      <c r="D88" s="14" t="n">
        <v>-160486.75</v>
      </c>
      <c r="E88" s="14" t="n">
        <v>63496.18</v>
      </c>
      <c r="F88" s="14" t="n">
        <v>0</v>
      </c>
      <c r="G88" s="14" t="n">
        <v>-1.455191522836685e-11</v>
      </c>
      <c r="H88" s="12" t="inlineStr">
        <is>
          <t>Сдвинуть баланс ETM на -160,486.75 (дубль списания: 1; повторная оплата: 1); Исправить 1С на +63,496.18 (не выставлено в 1С: 2)</t>
        </is>
      </c>
      <c r="I88" s="15" t="n">
        <v>4</v>
      </c>
      <c r="J88" s="15" t="n">
        <v>0</v>
      </c>
      <c r="K88" s="14">
        <f>C88+D88+E88</f>
        <v/>
      </c>
      <c r="L88" s="14">
        <f>ROUND(K88-F88-G88-(-0.000000000),2)</f>
        <v/>
      </c>
    </row>
    <row r="89">
      <c r="A89" s="8" t="inlineStr">
        <is>
          <t>Жибек Вояж</t>
        </is>
      </c>
      <c r="B89" s="14" t="n">
        <v>0</v>
      </c>
      <c r="C89" s="14" t="n">
        <v>-181710.9500000001</v>
      </c>
      <c r="D89" s="14" t="n">
        <v>181812.57</v>
      </c>
      <c r="E89" s="14" t="n">
        <v>-14619.99999999996</v>
      </c>
      <c r="F89" s="14" t="n">
        <v>-14518.38</v>
      </c>
      <c r="G89" s="14" t="n">
        <v>3.637978807091713e-12</v>
      </c>
      <c r="H89" s="12" t="inlineStr">
        <is>
          <t>Сдвинуть баланс ETM на +181,812.57 (бот не перенёс продажу: 1; оплата не зачислена: 1); Исправить 1С на -14,620.00; Сначала выяснить -14,518.38 (начальный разрыв, недостающие акты, спорные суммы)</t>
        </is>
      </c>
      <c r="I89" s="15" t="n">
        <v>18</v>
      </c>
      <c r="J89" s="15" t="n">
        <v>1</v>
      </c>
      <c r="K89" s="14">
        <f>C89+D89+E89</f>
        <v/>
      </c>
      <c r="L89" s="14">
        <f>ROUND(K89-F89-G89-(-0.000000000),2)</f>
        <v/>
      </c>
    </row>
    <row r="90">
      <c r="A90" s="8" t="inlineStr">
        <is>
          <t>Жумабек кызы Умут</t>
        </is>
      </c>
      <c r="B90" s="14" t="n">
        <v>-85204.09999999998</v>
      </c>
      <c r="C90" s="14" t="n">
        <v>-167809.1800000001</v>
      </c>
      <c r="D90" s="14" t="n">
        <v>-11438</v>
      </c>
      <c r="E90" s="14" t="n">
        <v>93750.00000000012</v>
      </c>
      <c r="F90" s="14" t="n">
        <v>-85500.17999999996</v>
      </c>
      <c r="G90" s="14" t="n">
        <v>2.999999999994543</v>
      </c>
      <c r="H90" s="12" t="inlineStr">
        <is>
          <t>Сдвинуть баланс ETM на -11,438.00 (дубль списания: 1; бот не перенёс продажу: 1); Исправить 1С на +93,750.00; Сначала выяснить -85,500.18 (начальный разрыв, недостающие акты, спорные суммы)</t>
        </is>
      </c>
      <c r="I90" s="15" t="n">
        <v>8</v>
      </c>
      <c r="J90" s="15" t="n">
        <v>0</v>
      </c>
      <c r="K90" s="14">
        <f>C90+D90+E90</f>
        <v/>
      </c>
      <c r="L90" s="14">
        <f>ROUND(K90-F90-G90-(0.000000000),2)</f>
        <v/>
      </c>
    </row>
    <row r="91">
      <c r="A91" s="8" t="inlineStr">
        <is>
          <t>Манас Вояж</t>
        </is>
      </c>
      <c r="B91" s="14" t="n">
        <v>0</v>
      </c>
      <c r="C91" s="14" t="n">
        <v>-148790.6999999999</v>
      </c>
      <c r="D91" s="14" t="n">
        <v>-8178.209999999992</v>
      </c>
      <c r="E91" s="14" t="n">
        <v>161366.4299999999</v>
      </c>
      <c r="F91" s="14" t="n">
        <v>4397.520000000019</v>
      </c>
      <c r="G91" s="14" t="n">
        <v>1.455191522836685e-11</v>
      </c>
      <c r="H91" s="12" t="inlineStr">
        <is>
          <t>Сдвинуть баланс ETM на -8,178.21; Исправить 1С на +161,366.43 (не выставлено в 1С: 3); Сначала выяснить +4,397.52 (начальный разрыв, недостающие акты, спорные суммы)</t>
        </is>
      </c>
      <c r="I91" s="15" t="n">
        <v>11</v>
      </c>
      <c r="J91" s="15" t="n">
        <v>0</v>
      </c>
      <c r="K91" s="14">
        <f>C91+D91+E91</f>
        <v/>
      </c>
      <c r="L91" s="14">
        <f>ROUND(K91-F91-G91-(0.000000000),2)</f>
        <v/>
      </c>
    </row>
    <row r="92">
      <c r="A92" s="8" t="inlineStr">
        <is>
          <t>Мамбет уулу Чынгыз</t>
        </is>
      </c>
      <c r="B92" s="14" t="n">
        <v>114616.29</v>
      </c>
      <c r="C92" s="14" t="n">
        <v>72497.73999999982</v>
      </c>
      <c r="D92" s="14" t="n">
        <v>47373.27999999999</v>
      </c>
      <c r="E92" s="14" t="n">
        <v>-5155.490000000056</v>
      </c>
      <c r="F92" s="14" t="n">
        <v>114715.53</v>
      </c>
      <c r="G92" s="14" t="n">
        <v>1.455191522836685e-11</v>
      </c>
      <c r="H92" s="12" t="inlineStr">
        <is>
          <t>Сдвинуть баланс ETM на +47,373.28; Исправить 1С на -5,155.49; Сначала выяснить +114,715.53 (начальный разрыв, недостающие акты, спорные суммы)</t>
        </is>
      </c>
      <c r="I92" s="15" t="n">
        <v>7</v>
      </c>
      <c r="J92" s="15" t="n">
        <v>0</v>
      </c>
      <c r="K92" s="14">
        <f>C92+D92+E92</f>
        <v/>
      </c>
      <c r="L92" s="14">
        <f>ROUND(K92-F92-G92-(-0.000000000),2)</f>
        <v/>
      </c>
    </row>
    <row r="93">
      <c r="A93" s="8" t="inlineStr">
        <is>
          <t>ИП Элдиярова А. Ч.</t>
        </is>
      </c>
      <c r="B93" s="14" t="n">
        <v>0</v>
      </c>
      <c r="C93" s="14" t="n">
        <v>-157391.1</v>
      </c>
      <c r="D93" s="14" t="n">
        <v>158500</v>
      </c>
      <c r="E93" s="14" t="n">
        <v>-5.820766091346741e-11</v>
      </c>
      <c r="F93" s="14" t="n">
        <v>1108.9</v>
      </c>
      <c r="G93" s="14" t="n">
        <v>0</v>
      </c>
      <c r="H93" s="12" t="inlineStr">
        <is>
          <t>Сдвинуть баланс ETM на +158,500.00 (оплата не зачислена: 1); Сначала выяснить +1,108.90 (начальный разрыв, недостающие акты, спорные суммы)</t>
        </is>
      </c>
      <c r="I93" s="15" t="n">
        <v>3</v>
      </c>
      <c r="J93" s="15" t="n">
        <v>0</v>
      </c>
      <c r="K93" s="14">
        <f>C93+D93+E93</f>
        <v/>
      </c>
      <c r="L93" s="14">
        <f>ROUND(K93-F93-G93-(-0.000000000),2)</f>
        <v/>
      </c>
    </row>
    <row r="94">
      <c r="A94" s="8" t="inlineStr">
        <is>
          <t>Иссык Вояж</t>
        </is>
      </c>
      <c r="B94" s="14" t="n">
        <v>-107659.1900000001</v>
      </c>
      <c r="C94" s="14" t="n">
        <v>-149923.3700000001</v>
      </c>
      <c r="D94" s="14" t="n">
        <v>270.179999999993</v>
      </c>
      <c r="E94" s="14" t="n">
        <v>41993.99999999983</v>
      </c>
      <c r="F94" s="14" t="n">
        <v>-107659.1900000001</v>
      </c>
      <c r="G94" s="14" t="n">
        <v>7.275957614183426e-12</v>
      </c>
      <c r="H94" s="12" t="inlineStr">
        <is>
          <t>Сдвинуть баланс ETM на +270.18; Исправить 1С на +41,994.00 (не выставлено в 1С: 2); Сначала выяснить -107,659.19 (начальный разрыв, недостающие акты, спорные суммы)</t>
        </is>
      </c>
      <c r="I94" s="15" t="n">
        <v>6</v>
      </c>
      <c r="J94" s="15" t="n">
        <v>0</v>
      </c>
      <c r="K94" s="14">
        <f>C94+D94+E94</f>
        <v/>
      </c>
      <c r="L94" s="14">
        <f>ROUND(K94-F94-G94-(-0.000000000),2)</f>
        <v/>
      </c>
    </row>
    <row r="95">
      <c r="A95" s="8" t="inlineStr">
        <is>
          <t>Сыдыков С. У.</t>
        </is>
      </c>
      <c r="B95" s="14" t="n">
        <v>0</v>
      </c>
      <c r="C95" s="14" t="n">
        <v>-4563.599999999975</v>
      </c>
      <c r="D95" s="14" t="n">
        <v>-68433.39999999999</v>
      </c>
      <c r="E95" s="14" t="n">
        <v>8024.989999999974</v>
      </c>
      <c r="F95" s="14" t="n">
        <v>-64972.01000000001</v>
      </c>
      <c r="G95" s="14" t="n">
        <v>0</v>
      </c>
      <c r="H95" s="12" t="inlineStr">
        <is>
          <t>Сдвинуть баланс ETM на -68,433.40 (дубль списания: 1; бот не перенёс продажу: 1); Исправить 1С на +8,024.99 (не выставлено в 1С: 2); Сначала выяснить -64,972.01 (начальный разрыв, недостающие акты, спорные суммы)</t>
        </is>
      </c>
      <c r="I95" s="15" t="n">
        <v>22</v>
      </c>
      <c r="J95" s="15" t="n">
        <v>1</v>
      </c>
      <c r="K95" s="14">
        <f>C95+D95+E95</f>
        <v/>
      </c>
      <c r="L95" s="14">
        <f>ROUND(K95-F95-G95-(0.000000000),2)</f>
        <v/>
      </c>
    </row>
    <row r="96">
      <c r="A96" s="8" t="inlineStr">
        <is>
          <t>ИП Абдыраманова Ж. Д.</t>
        </is>
      </c>
      <c r="B96" s="14" t="n">
        <v>0</v>
      </c>
      <c r="C96" s="14" t="n">
        <v>-57104.62000000014</v>
      </c>
      <c r="D96" s="14" t="n">
        <v>-32171.09</v>
      </c>
      <c r="E96" s="14" t="n">
        <v>89108.87000000008</v>
      </c>
      <c r="F96" s="14" t="n">
        <v>-166.8399999999965</v>
      </c>
      <c r="G96" s="14" t="n">
        <v>0</v>
      </c>
      <c r="H96" s="12" t="inlineStr">
        <is>
          <t>Сдвинуть баланс ETM на -32,171.09 (бот не перенёс продажу: 1); Исправить 1С на +89,108.87 (не выставлено в 1С: 5); Сначала выяснить -166.84 (начальный разрыв, недостающие акты, спорные суммы)</t>
        </is>
      </c>
      <c r="I96" s="15" t="n">
        <v>9</v>
      </c>
      <c r="J96" s="15" t="n">
        <v>0</v>
      </c>
      <c r="K96" s="14">
        <f>C96+D96+E96</f>
        <v/>
      </c>
      <c r="L96" s="14">
        <f>ROUND(K96-F96-G96-(-0.000000000),2)</f>
        <v/>
      </c>
    </row>
    <row r="97">
      <c r="A97" s="8" t="inlineStr">
        <is>
          <t>Сатарова А. О.</t>
        </is>
      </c>
      <c r="B97" s="14" t="n">
        <v>0</v>
      </c>
      <c r="C97" s="14" t="n">
        <v>115054.94</v>
      </c>
      <c r="D97" s="14" t="n">
        <v>-114986.26</v>
      </c>
      <c r="E97" s="14" t="n">
        <v>9.822542779147625e-11</v>
      </c>
      <c r="F97" s="14" t="n">
        <v>69.47999999999956</v>
      </c>
      <c r="G97" s="14" t="n">
        <v>-0.8000000000029104</v>
      </c>
      <c r="H97" s="12" t="inlineStr">
        <is>
          <t>Сдвинуть баланс ETM на -114,986.26 (бот не перенёс продажу: 2); Сначала выяснить +69.48 (начальный разрыв, недостающие акты, спорные суммы)</t>
        </is>
      </c>
      <c r="I97" s="15" t="n">
        <v>4</v>
      </c>
      <c r="J97" s="15" t="n">
        <v>0</v>
      </c>
      <c r="K97" s="14">
        <f>C97+D97+E97</f>
        <v/>
      </c>
      <c r="L97" s="14">
        <f>ROUND(K97-F97-G97-(0.000000000),2)</f>
        <v/>
      </c>
    </row>
    <row r="98">
      <c r="A98" s="8" t="inlineStr">
        <is>
          <t>Jailoo Trip</t>
        </is>
      </c>
      <c r="B98" s="14" t="n">
        <v>5.820766091346741e-11</v>
      </c>
      <c r="C98" s="14" t="n">
        <v>58975.46000000005</v>
      </c>
      <c r="D98" s="14" t="n">
        <v>-80274.51999999999</v>
      </c>
      <c r="E98" s="14" t="n">
        <v>21400.38000000015</v>
      </c>
      <c r="F98" s="14" t="n">
        <v>101.3200000000579</v>
      </c>
      <c r="G98" s="14" t="n">
        <v>1.455191522836685e-11</v>
      </c>
      <c r="H98" s="12" t="inlineStr">
        <is>
          <t>Сдвинуть баланс ETM на -80,274.52 (бот не перенёс продажу: 1); Исправить 1С на +21,400.38 (не выставлено в 1С: 1); Сначала выяснить +101.32 (начальный разрыв, недостающие акты, спорные суммы)</t>
        </is>
      </c>
      <c r="I98" s="15" t="n">
        <v>9</v>
      </c>
      <c r="J98" s="15" t="n">
        <v>0</v>
      </c>
      <c r="K98" s="14">
        <f>C98+D98+E98</f>
        <v/>
      </c>
      <c r="L98" s="14">
        <f>ROUND(K98-F98-G98-(0.000000000),2)</f>
        <v/>
      </c>
    </row>
    <row r="99">
      <c r="A99" s="8" t="inlineStr">
        <is>
          <t>Сатарова Жылдыз Жумабековна</t>
        </is>
      </c>
      <c r="B99" s="14" t="n">
        <v>0</v>
      </c>
      <c r="C99" s="14" t="n">
        <v>-99722.72999999992</v>
      </c>
      <c r="D99" s="14" t="n">
        <v>-0</v>
      </c>
      <c r="E99" s="14" t="n">
        <v>98830.99999999994</v>
      </c>
      <c r="F99" s="14" t="n">
        <v>-891.7299999999923</v>
      </c>
      <c r="G99" s="14" t="n">
        <v>-3.637978807091713e-12</v>
      </c>
      <c r="H99" s="12" t="inlineStr">
        <is>
          <t>Исправить 1С на +98,831.00 (не выставлено в 1С: 2); Сначала выяснить -891.73 (начальный разрыв, недостающие акты, спорные суммы)</t>
        </is>
      </c>
      <c r="I99" s="15" t="n">
        <v>7</v>
      </c>
      <c r="J99" s="15" t="n">
        <v>0</v>
      </c>
      <c r="K99" s="14">
        <f>C99+D99+E99</f>
        <v/>
      </c>
      <c r="L99" s="14">
        <f>ROUND(K99-F99-G99-(0.000000000),2)</f>
        <v/>
      </c>
    </row>
    <row r="100">
      <c r="A100" s="8" t="inlineStr">
        <is>
          <t>Ниязбекова Асель Сатаровна</t>
        </is>
      </c>
      <c r="B100" s="14" t="n">
        <v>0</v>
      </c>
      <c r="C100" s="14" t="n">
        <v>-61104.43000000004</v>
      </c>
      <c r="D100" s="14" t="n">
        <v>32254.68999999999</v>
      </c>
      <c r="E100" s="14" t="n">
        <v>34927.93999999992</v>
      </c>
      <c r="F100" s="14" t="n">
        <v>6080.449999999997</v>
      </c>
      <c r="G100" s="14" t="n">
        <v>-2.25</v>
      </c>
      <c r="H100" s="12" t="inlineStr">
        <is>
          <t>Сдвинуть баланс ETM на +32,254.69 (дубль списания: 1); Исправить 1С на +34,927.94 (не выставлено в 1С: 1); Сначала выяснить +6,080.45 (начальный разрыв, недостающие акты, спорные суммы)</t>
        </is>
      </c>
      <c r="I100" s="15" t="n">
        <v>6</v>
      </c>
      <c r="J100" s="15" t="n">
        <v>0</v>
      </c>
      <c r="K100" s="14">
        <f>C100+D100+E100</f>
        <v/>
      </c>
      <c r="L100" s="14">
        <f>ROUND(K100-F100-G100-(-0.000000000),2)</f>
        <v/>
      </c>
    </row>
    <row r="101">
      <c r="A101" s="8" t="inlineStr">
        <is>
          <t>Небо Авиа</t>
        </is>
      </c>
      <c r="B101" s="14" t="n">
        <v>-53386.52000000002</v>
      </c>
      <c r="C101" s="14" t="n">
        <v>-54046.81999999995</v>
      </c>
      <c r="D101" s="14" t="n">
        <v>-0</v>
      </c>
      <c r="E101" s="14" t="n">
        <v>-0</v>
      </c>
      <c r="F101" s="14" t="n">
        <v>-54046.82000000002</v>
      </c>
      <c r="G101" s="14" t="n">
        <v>-2.91038304567337e-11</v>
      </c>
      <c r="H101" s="12" t="inlineStr">
        <is>
          <t>Сначала выяснить -54,046.82 (начальный разрыв, недостающие акты, спорные суммы)</t>
        </is>
      </c>
      <c r="I101" s="15" t="n">
        <v>3</v>
      </c>
      <c r="J101" s="15" t="n">
        <v>0</v>
      </c>
      <c r="K101" s="14">
        <f>C101+D101+E101</f>
        <v/>
      </c>
      <c r="L101" s="14">
        <f>ROUND(K101-F101-G101-(0.000000000),2)</f>
        <v/>
      </c>
    </row>
    <row r="102">
      <c r="A102" s="8" t="inlineStr">
        <is>
          <t>Nomad Trip</t>
        </is>
      </c>
      <c r="B102" s="14" t="n">
        <v>0</v>
      </c>
      <c r="C102" s="14" t="n">
        <v>24188.38000000029</v>
      </c>
      <c r="D102" s="14" t="n">
        <v>-424.6399999999994</v>
      </c>
      <c r="E102" s="14" t="n">
        <v>-23887.68999999992</v>
      </c>
      <c r="F102" s="14" t="n">
        <v>-123.9500000000044</v>
      </c>
      <c r="G102" s="14" t="n">
        <v>1.455191522836685e-11</v>
      </c>
      <c r="H102" s="12" t="inlineStr">
        <is>
          <t>Сдвинуть баланс ETM на -424.64; Исправить 1С на -23,887.69 (не выставлено в 1С: 2); Сначала выяснить -123.95 (начальный разрыв, недостающие акты, спорные суммы)</t>
        </is>
      </c>
      <c r="I102" s="15" t="n">
        <v>5</v>
      </c>
      <c r="J102" s="15" t="n">
        <v>0</v>
      </c>
      <c r="K102" s="14">
        <f>C102+D102+E102</f>
        <v/>
      </c>
      <c r="L102" s="14">
        <f>ROUND(K102-F102-G102-(0.000000000),2)</f>
        <v/>
      </c>
    </row>
    <row r="103">
      <c r="A103" s="8" t="inlineStr">
        <is>
          <t>Ала-Арча Тревел</t>
        </is>
      </c>
      <c r="B103" s="14" t="n">
        <v>-12653.79999999993</v>
      </c>
      <c r="C103" s="14" t="n">
        <v>-963.0699999999488</v>
      </c>
      <c r="D103" s="14" t="n">
        <v>-4590.730000000018</v>
      </c>
      <c r="E103" s="14" t="n">
        <v>-7099.999999999651</v>
      </c>
      <c r="F103" s="14" t="n">
        <v>-12653.79999999993</v>
      </c>
      <c r="G103" s="14" t="n">
        <v>-7.275957614183426e-12</v>
      </c>
      <c r="H103" s="12" t="inlineStr">
        <is>
          <t>Сдвинуть баланс ETM на -4,590.73; Исправить 1С на -7,100.00; Сначала выяснить -12,653.80 (начальный разрыв, недостающие акты, спорные суммы)</t>
        </is>
      </c>
      <c r="I103" s="15" t="n">
        <v>7</v>
      </c>
      <c r="J103" s="15" t="n">
        <v>0</v>
      </c>
      <c r="K103" s="14">
        <f>C103+D103+E103</f>
        <v/>
      </c>
      <c r="L103" s="14">
        <f>ROUND(K103-F103-G103-(0.000000000),2)</f>
        <v/>
      </c>
    </row>
    <row r="104">
      <c r="A104" s="8" t="inlineStr">
        <is>
          <t>Сагын кызы Б.</t>
        </is>
      </c>
      <c r="B104" s="14" t="n">
        <v>0</v>
      </c>
      <c r="C104" s="14" t="n">
        <v>-3498.339999999967</v>
      </c>
      <c r="D104" s="14" t="n">
        <v>3324.529999999999</v>
      </c>
      <c r="E104" s="14" t="n">
        <v>4.365574568510056e-11</v>
      </c>
      <c r="F104" s="14" t="n">
        <v>-173.8099999999977</v>
      </c>
      <c r="G104" s="14" t="n">
        <v>0</v>
      </c>
      <c r="H104" s="12" t="inlineStr">
        <is>
          <t>Сдвинуть баланс ETM на +3,324.53; Сначала выяснить -173.81 (начальный разрыв, недостающие акты, спорные суммы)</t>
        </is>
      </c>
      <c r="I104" s="15" t="n">
        <v>8</v>
      </c>
      <c r="J104" s="15" t="n">
        <v>0</v>
      </c>
      <c r="K104" s="14">
        <f>C104+D104+E104</f>
        <v/>
      </c>
      <c r="L104" s="14">
        <f>ROUND(K104-F104-G104-(0.000000000),2)</f>
        <v/>
      </c>
    </row>
    <row r="105">
      <c r="A105" s="16" t="inlineStr">
        <is>
          <t>ИТОГО</t>
        </is>
      </c>
      <c r="B105" s="17">
        <f>SUM(B5:B104)</f>
        <v/>
      </c>
      <c r="C105" s="17">
        <f>SUM(C5:C104)</f>
        <v/>
      </c>
      <c r="D105" s="17">
        <f>SUM(D5:D104)</f>
        <v/>
      </c>
      <c r="E105" s="17">
        <f>SUM(E5:E104)</f>
        <v/>
      </c>
      <c r="F105" s="17">
        <f>SUM(F5:F104)</f>
        <v/>
      </c>
      <c r="G105" s="17">
        <f>SUM(G5:G104)</f>
        <v/>
      </c>
      <c r="K105" s="17">
        <f>SUM(K5:K104)</f>
        <v/>
      </c>
    </row>
  </sheetData>
  <autoFilter ref="A4:J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25" customWidth="1" min="3" max="3"/>
    <col width="20" customWidth="1" min="4" max="4"/>
    <col width="21" customWidth="1" min="5" max="5"/>
    <col width="25" customWidth="1" min="6" max="6"/>
    <col width="25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15" customWidth="1" min="13" max="13"/>
    <col width="21" customWidth="1" min="14" max="14"/>
    <col width="11" customWidth="1" min="15" max="15"/>
    <col width="21" customWidth="1" min="16" max="16"/>
    <col width="16" customWidth="1" min="17" max="17"/>
    <col width="16" customWidth="1" min="18" max="18"/>
    <col width="12" customWidth="1" min="19" max="19"/>
    <col width="16" customWidth="1" min="20" max="20"/>
    <col width="15" customWidth="1" min="21" max="21"/>
    <col width="20" customWidth="1" min="22" max="22"/>
    <col width="20" customWidth="1" min="23" max="23"/>
  </cols>
  <sheetData>
    <row r="1">
      <c r="A1" s="1" t="inlineStr">
        <is>
          <t>Баланс-мост по субагентам (без заплаток): разрыв на конец = начальный разрыв + сумма найденных причин</t>
        </is>
      </c>
    </row>
    <row r="2">
      <c r="A2" s="2" t="inlineStr">
        <is>
          <t>Каждая строка 1С и ETM попала ровно в одну колонку. «Не объяснено» — формула. Колонки «акт не выгружен» и «скачок через пропуск» — честно нераспределённые суммы, а не ошибки.</t>
        </is>
      </c>
    </row>
    <row r="3" ht="42" customHeight="1">
      <c r="A3" s="13" t="inlineStr">
        <is>
          <t>Субагент</t>
        </is>
      </c>
      <c r="B3" s="13" t="inlineStr">
        <is>
          <t>Разрыв на конец</t>
        </is>
      </c>
      <c r="C3" s="13" t="inlineStr">
        <is>
          <t>Разрыв на начало</t>
        </is>
      </c>
      <c r="D3" s="13" t="inlineStr">
        <is>
          <t>1С: разрыв между актами</t>
        </is>
      </c>
      <c r="E3" s="13" t="inlineStr">
        <is>
          <t>1С: скачок через пропущенный акт</t>
        </is>
      </c>
      <c r="F3" s="13" t="inlineStr">
        <is>
          <t>1С: арифметика акта</t>
        </is>
      </c>
      <c r="G3" s="13" t="inlineStr">
        <is>
          <t>Округления сошедшихся групп</t>
        </is>
      </c>
      <c r="H3" s="13" t="inlineStr">
        <is>
          <t>Сумма: ошибка 1С</t>
        </is>
      </c>
      <c r="I3" s="13" t="inlineStr">
        <is>
          <t>Сумма: ошибка бота</t>
        </is>
      </c>
      <c r="J3" s="13" t="inlineStr">
        <is>
          <t>Сумма: нужна проверка</t>
        </is>
      </c>
      <c r="K3" s="13" t="inlineStr">
        <is>
          <t>Двойное списание</t>
        </is>
      </c>
      <c r="L3" s="13" t="inlineStr">
        <is>
          <t>Бот не перенёс продажу</t>
        </is>
      </c>
      <c r="M3" s="13" t="inlineStr">
        <is>
          <t>Только 1С, без реестра</t>
        </is>
      </c>
      <c r="N3" s="13" t="inlineStr">
        <is>
          <t>Есть в ETM, нет в 1С</t>
        </is>
      </c>
      <c r="O3" s="13" t="inlineStr">
        <is>
          <t>Войд не закрыт</t>
        </is>
      </c>
      <c r="P3" s="13" t="inlineStr">
        <is>
          <t>ETM: акт не выгружен</t>
        </is>
      </c>
      <c r="Q3" s="13" t="inlineStr">
        <is>
          <t>Оплата не проведена в 1С</t>
        </is>
      </c>
      <c r="R3" s="13" t="inlineStr">
        <is>
          <t>Оплата не зачислена в ETM</t>
        </is>
      </c>
      <c r="S3" s="13" t="inlineStr">
        <is>
          <t>Повторная оплата</t>
        </is>
      </c>
      <c r="T3" s="13" t="inlineStr">
        <is>
          <t>Оплата не тому субагенту</t>
        </is>
      </c>
      <c r="U3" s="13" t="inlineStr">
        <is>
          <t>Оплата: акт не выгружен</t>
        </is>
      </c>
      <c r="V3" s="13" t="inlineStr">
        <is>
          <t>Сумма причин</t>
        </is>
      </c>
      <c r="W3" s="13" t="inlineStr">
        <is>
          <t>Не объяснено (формула)</t>
        </is>
      </c>
    </row>
    <row r="4">
      <c r="A4" s="8" t="inlineStr">
        <is>
          <t>Ak-Bulak Voyage</t>
        </is>
      </c>
      <c r="B4" s="14" t="n">
        <v>561508.28</v>
      </c>
      <c r="C4" s="14" t="n">
        <v>0</v>
      </c>
      <c r="D4" s="14" t="n">
        <v>0</v>
      </c>
      <c r="E4" s="14" t="n">
        <v>501087.88</v>
      </c>
      <c r="F4" s="14" t="n">
        <v>1.455191522836685e-10</v>
      </c>
      <c r="G4" s="14" t="n">
        <v>0</v>
      </c>
      <c r="H4" s="14" t="n">
        <v>0</v>
      </c>
      <c r="I4" s="14" t="n">
        <v>0</v>
      </c>
      <c r="J4" s="14" t="n">
        <v>-97936.08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-404443.52</v>
      </c>
      <c r="Q4" s="14" t="n">
        <v>0</v>
      </c>
      <c r="R4" s="14" t="n">
        <v>0</v>
      </c>
      <c r="S4" s="14" t="n">
        <v>562800</v>
      </c>
      <c r="T4" s="14" t="n">
        <v>0</v>
      </c>
      <c r="U4" s="14" t="n">
        <v>0</v>
      </c>
      <c r="V4" s="18">
        <f>SUM(C4:U4)</f>
        <v/>
      </c>
      <c r="W4" s="19">
        <f>ROUND(B4-V4,4)</f>
        <v/>
      </c>
    </row>
    <row r="5">
      <c r="A5" s="8" t="inlineStr">
        <is>
          <t>Ala-Too Travel</t>
        </is>
      </c>
      <c r="B5" s="14" t="n">
        <v>-3317307.53</v>
      </c>
      <c r="C5" s="14" t="n">
        <v>-3233430.48</v>
      </c>
      <c r="D5" s="14" t="n">
        <v>0</v>
      </c>
      <c r="E5" s="14" t="n">
        <v>0</v>
      </c>
      <c r="F5" s="14" t="n">
        <v>-1.236912794411182e-10</v>
      </c>
      <c r="G5" s="14" t="n">
        <v>-1.455191522836685e-11</v>
      </c>
      <c r="H5" s="14" t="n">
        <v>0</v>
      </c>
      <c r="I5" s="14" t="n">
        <v>0</v>
      </c>
      <c r="J5" s="14" t="n">
        <v>-17.83000000000175</v>
      </c>
      <c r="K5" s="14" t="n">
        <v>0</v>
      </c>
      <c r="L5" s="14" t="n">
        <v>0</v>
      </c>
      <c r="M5" s="14" t="n">
        <v>0</v>
      </c>
      <c r="N5" s="14" t="n">
        <v>-83859.22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8">
        <f>SUM(C5:U5)</f>
        <v/>
      </c>
      <c r="W5" s="19">
        <f>ROUND(B5-V5,4)</f>
        <v/>
      </c>
    </row>
    <row r="6">
      <c r="A6" s="8" t="inlineStr">
        <is>
          <t>Aylana Tour</t>
        </is>
      </c>
      <c r="B6" s="14" t="n">
        <v>-1295071.39</v>
      </c>
      <c r="C6" s="14" t="n">
        <v>-155441.16</v>
      </c>
      <c r="D6" s="14" t="n">
        <v>27500</v>
      </c>
      <c r="E6" s="14" t="n">
        <v>0</v>
      </c>
      <c r="F6" s="14" t="n">
        <v>-1.164153218269348e-10</v>
      </c>
      <c r="G6" s="14" t="n">
        <v>-7.275957614183426e-12</v>
      </c>
      <c r="H6" s="14" t="n">
        <v>-69823.61</v>
      </c>
      <c r="I6" s="14" t="n">
        <v>-1903.839999999997</v>
      </c>
      <c r="J6" s="14" t="n">
        <v>423.1699999999946</v>
      </c>
      <c r="K6" s="14" t="n">
        <v>0</v>
      </c>
      <c r="L6" s="14" t="n">
        <v>43175.56</v>
      </c>
      <c r="M6" s="14" t="n">
        <v>0</v>
      </c>
      <c r="N6" s="14" t="n">
        <v>-233901.51</v>
      </c>
      <c r="O6" s="14" t="n">
        <v>0</v>
      </c>
      <c r="P6" s="14" t="n">
        <v>0</v>
      </c>
      <c r="Q6" s="14" t="n">
        <v>0</v>
      </c>
      <c r="R6" s="14" t="n">
        <v>-905100</v>
      </c>
      <c r="S6" s="14" t="n">
        <v>0</v>
      </c>
      <c r="T6" s="14" t="n">
        <v>0</v>
      </c>
      <c r="U6" s="14" t="n">
        <v>0</v>
      </c>
      <c r="V6" s="18">
        <f>SUM(C6:U6)</f>
        <v/>
      </c>
      <c r="W6" s="19">
        <f>ROUND(B6-V6,4)</f>
        <v/>
      </c>
    </row>
    <row r="7">
      <c r="A7" s="8" t="inlineStr">
        <is>
          <t>Bishkek Fly</t>
        </is>
      </c>
      <c r="B7" s="14" t="n">
        <v>-883308.3799999999</v>
      </c>
      <c r="C7" s="14" t="n">
        <v>-265149.11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-13526</v>
      </c>
      <c r="I7" s="14" t="n">
        <v>-1094.700000000001</v>
      </c>
      <c r="J7" s="14" t="n">
        <v>37.42999999999665</v>
      </c>
      <c r="K7" s="14" t="n">
        <v>0</v>
      </c>
      <c r="L7" s="14" t="n">
        <v>0</v>
      </c>
      <c r="M7" s="14" t="n">
        <v>0</v>
      </c>
      <c r="N7" s="14" t="n">
        <v>-12976</v>
      </c>
      <c r="O7" s="14" t="n">
        <v>0</v>
      </c>
      <c r="P7" s="14" t="n">
        <v>0</v>
      </c>
      <c r="Q7" s="14" t="n">
        <v>0</v>
      </c>
      <c r="R7" s="14" t="n">
        <v>-590600</v>
      </c>
      <c r="S7" s="14" t="n">
        <v>0</v>
      </c>
      <c r="T7" s="14" t="n">
        <v>0</v>
      </c>
      <c r="U7" s="14" t="n">
        <v>0</v>
      </c>
      <c r="V7" s="18">
        <f>SUM(C7:U7)</f>
        <v/>
      </c>
      <c r="W7" s="19">
        <f>ROUND(B7-V7,4)</f>
        <v/>
      </c>
    </row>
    <row r="8">
      <c r="A8" s="8" t="inlineStr">
        <is>
          <t>Blue Bird Travel</t>
        </is>
      </c>
      <c r="B8" s="14" t="n">
        <v>-234553.8199999999</v>
      </c>
      <c r="C8" s="14" t="n">
        <v>-1.091393642127514e-11</v>
      </c>
      <c r="D8" s="14" t="n">
        <v>0</v>
      </c>
      <c r="E8" s="14" t="n">
        <v>0</v>
      </c>
      <c r="F8" s="14" t="n">
        <v>-8.003553375601768e-11</v>
      </c>
      <c r="G8" s="14" t="n">
        <v>-1.455191522836685e-11</v>
      </c>
      <c r="H8" s="14" t="n">
        <v>7200</v>
      </c>
      <c r="I8" s="14" t="n">
        <v>-16352.10000000001</v>
      </c>
      <c r="J8" s="14" t="n">
        <v>-4235.839999999993</v>
      </c>
      <c r="K8" s="14" t="n">
        <v>0</v>
      </c>
      <c r="L8" s="14" t="n">
        <v>0</v>
      </c>
      <c r="M8" s="14" t="n">
        <v>0</v>
      </c>
      <c r="N8" s="14" t="n">
        <v>-197465.88</v>
      </c>
      <c r="O8" s="14" t="n">
        <v>0</v>
      </c>
      <c r="P8" s="14" t="n">
        <v>0</v>
      </c>
      <c r="Q8" s="14" t="n">
        <v>0</v>
      </c>
      <c r="R8" s="14" t="n">
        <v>-149400</v>
      </c>
      <c r="S8" s="14" t="n">
        <v>125700</v>
      </c>
      <c r="T8" s="14" t="n">
        <v>0</v>
      </c>
      <c r="U8" s="14" t="n">
        <v>0</v>
      </c>
      <c r="V8" s="18">
        <f>SUM(C8:U8)</f>
        <v/>
      </c>
      <c r="W8" s="19">
        <f>ROUND(B8-V8,4)</f>
        <v/>
      </c>
    </row>
    <row r="9">
      <c r="A9" s="8" t="inlineStr">
        <is>
          <t>Issyk-Kul Air</t>
        </is>
      </c>
      <c r="B9" s="14" t="n">
        <v>-807992.7199999997</v>
      </c>
      <c r="C9" s="14" t="n">
        <v>1.164153218269348e-10</v>
      </c>
      <c r="D9" s="14" t="n">
        <v>0</v>
      </c>
      <c r="E9" s="14" t="n">
        <v>0</v>
      </c>
      <c r="F9" s="14" t="n">
        <v>1.164153218269348e-10</v>
      </c>
      <c r="G9" s="14" t="n">
        <v>-3.149999999972351</v>
      </c>
      <c r="H9" s="14" t="n">
        <v>8171.369999999995</v>
      </c>
      <c r="I9" s="14" t="n">
        <v>0</v>
      </c>
      <c r="J9" s="14" t="n">
        <v>60.05999999999767</v>
      </c>
      <c r="K9" s="14" t="n">
        <v>0</v>
      </c>
      <c r="L9" s="14" t="n">
        <v>0</v>
      </c>
      <c r="M9" s="14" t="n">
        <v>0</v>
      </c>
      <c r="N9" s="14" t="n">
        <v>-117621</v>
      </c>
      <c r="O9" s="14" t="n">
        <v>0</v>
      </c>
      <c r="P9" s="14" t="n">
        <v>0</v>
      </c>
      <c r="Q9" s="14" t="n">
        <v>0</v>
      </c>
      <c r="R9" s="14" t="n">
        <v>-698600</v>
      </c>
      <c r="S9" s="14" t="n">
        <v>0</v>
      </c>
      <c r="T9" s="14" t="n">
        <v>0</v>
      </c>
      <c r="U9" s="14" t="n">
        <v>0</v>
      </c>
      <c r="V9" s="18">
        <f>SUM(C9:U9)</f>
        <v/>
      </c>
      <c r="W9" s="19">
        <f>ROUND(B9-V9,4)</f>
        <v/>
      </c>
    </row>
    <row r="10">
      <c r="A10" s="8" t="inlineStr">
        <is>
          <t>Jailoo Trip</t>
        </is>
      </c>
      <c r="B10" s="14" t="n">
        <v>58975.46000000005</v>
      </c>
      <c r="C10" s="14" t="n">
        <v>5.820766091346741e-11</v>
      </c>
      <c r="D10" s="14" t="n">
        <v>0</v>
      </c>
      <c r="E10" s="14" t="n">
        <v>0</v>
      </c>
      <c r="F10" s="14" t="n">
        <v>-1.455191522836685e-10</v>
      </c>
      <c r="G10" s="14" t="n">
        <v>1.455191522836685e-11</v>
      </c>
      <c r="H10" s="14" t="n">
        <v>-800</v>
      </c>
      <c r="I10" s="14" t="n">
        <v>7189.480000000003</v>
      </c>
      <c r="J10" s="14" t="n">
        <v>101.3199999999997</v>
      </c>
      <c r="K10" s="14" t="n">
        <v>0</v>
      </c>
      <c r="L10" s="14" t="n">
        <v>73085.03999999999</v>
      </c>
      <c r="M10" s="14" t="n">
        <v>0</v>
      </c>
      <c r="N10" s="14" t="n">
        <v>-20600.38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8">
        <f>SUM(C10:U10)</f>
        <v/>
      </c>
      <c r="W10" s="19">
        <f>ROUND(B10-V10,4)</f>
        <v/>
      </c>
    </row>
    <row r="11">
      <c r="A11" s="8" t="inlineStr">
        <is>
          <t>Karakol Express</t>
        </is>
      </c>
      <c r="B11" s="14" t="n">
        <v>-3899769.49</v>
      </c>
      <c r="C11" s="14" t="n">
        <v>23846.29999999999</v>
      </c>
      <c r="D11" s="14" t="n">
        <v>0</v>
      </c>
      <c r="E11" s="14" t="n">
        <v>0</v>
      </c>
      <c r="F11" s="14" t="n">
        <v>-3.492459654808044e-10</v>
      </c>
      <c r="G11" s="14" t="n">
        <v>-4.650000000081491</v>
      </c>
      <c r="H11" s="14" t="n">
        <v>342534.01</v>
      </c>
      <c r="I11" s="14" t="n">
        <v>-8013.700000000008</v>
      </c>
      <c r="J11" s="14" t="n">
        <v>26014.83</v>
      </c>
      <c r="K11" s="14" t="n">
        <v>-65928.59999999999</v>
      </c>
      <c r="L11" s="14" t="n">
        <v>270524.17</v>
      </c>
      <c r="M11" s="14" t="n">
        <v>0</v>
      </c>
      <c r="N11" s="14" t="n">
        <v>-718741.85</v>
      </c>
      <c r="O11" s="14" t="n">
        <v>0</v>
      </c>
      <c r="P11" s="14" t="n">
        <v>0</v>
      </c>
      <c r="Q11" s="14" t="n">
        <v>0</v>
      </c>
      <c r="R11" s="14" t="n">
        <v>-4274600</v>
      </c>
      <c r="S11" s="14" t="n">
        <v>504600</v>
      </c>
      <c r="T11" s="14" t="n">
        <v>0</v>
      </c>
      <c r="U11" s="14" t="n">
        <v>0</v>
      </c>
      <c r="V11" s="18">
        <f>SUM(C11:U11)</f>
        <v/>
      </c>
      <c r="W11" s="19">
        <f>ROUND(B11-V11,4)</f>
        <v/>
      </c>
    </row>
    <row r="12">
      <c r="A12" s="8" t="inlineStr">
        <is>
          <t>Kumtor Tours</t>
        </is>
      </c>
      <c r="B12" s="14" t="n">
        <v>-1370580.22</v>
      </c>
      <c r="C12" s="14" t="n">
        <v>0</v>
      </c>
      <c r="D12" s="14" t="n">
        <v>0</v>
      </c>
      <c r="E12" s="14" t="n">
        <v>0</v>
      </c>
      <c r="F12" s="14" t="n">
        <v>5.820766091346741e-11</v>
      </c>
      <c r="G12" s="14" t="n">
        <v>-1.091393642127514e-11</v>
      </c>
      <c r="H12" s="14" t="n">
        <v>0</v>
      </c>
      <c r="I12" s="14" t="n">
        <v>-27000</v>
      </c>
      <c r="J12" s="14" t="n">
        <v>-256.4199999999983</v>
      </c>
      <c r="K12" s="14" t="n">
        <v>-28223.8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-1315100</v>
      </c>
      <c r="S12" s="14" t="n">
        <v>0</v>
      </c>
      <c r="T12" s="14" t="n">
        <v>0</v>
      </c>
      <c r="U12" s="14" t="n">
        <v>0</v>
      </c>
      <c r="V12" s="18">
        <f>SUM(C12:U12)</f>
        <v/>
      </c>
      <c r="W12" s="19">
        <f>ROUND(B12-V12,4)</f>
        <v/>
      </c>
    </row>
    <row r="13">
      <c r="A13" s="8" t="inlineStr">
        <is>
          <t>Nomad Trip</t>
        </is>
      </c>
      <c r="B13" s="14" t="n">
        <v>24188.38000000029</v>
      </c>
      <c r="C13" s="14" t="n">
        <v>0</v>
      </c>
      <c r="D13" s="14" t="n">
        <v>107557.1</v>
      </c>
      <c r="E13" s="14" t="n">
        <v>0</v>
      </c>
      <c r="F13" s="14" t="n">
        <v>-6.548361852765083e-11</v>
      </c>
      <c r="G13" s="14" t="n">
        <v>1.455191522836685e-11</v>
      </c>
      <c r="H13" s="14" t="n">
        <v>0</v>
      </c>
      <c r="I13" s="14" t="n">
        <v>424.6399999999994</v>
      </c>
      <c r="J13" s="14" t="n">
        <v>-123.9500000000044</v>
      </c>
      <c r="K13" s="14" t="n">
        <v>0</v>
      </c>
      <c r="L13" s="14" t="n">
        <v>0</v>
      </c>
      <c r="M13" s="14" t="n">
        <v>0</v>
      </c>
      <c r="N13" s="14" t="n">
        <v>-83669.41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8">
        <f>SUM(C13:U13)</f>
        <v/>
      </c>
      <c r="W13" s="19">
        <f>ROUND(B13-V13,4)</f>
        <v/>
      </c>
    </row>
    <row r="14">
      <c r="A14" s="8" t="inlineStr">
        <is>
          <t>Silk Route Air</t>
        </is>
      </c>
      <c r="B14" s="14" t="n">
        <v>97886.44</v>
      </c>
      <c r="C14" s="14" t="n">
        <v>170347.21</v>
      </c>
      <c r="D14" s="14" t="n">
        <v>0</v>
      </c>
      <c r="E14" s="14" t="n">
        <v>0</v>
      </c>
      <c r="F14" s="14" t="n">
        <v>0</v>
      </c>
      <c r="G14" s="14" t="n">
        <v>-7.275957614183426e-12</v>
      </c>
      <c r="H14" s="14" t="n">
        <v>1345.549999999999</v>
      </c>
      <c r="I14" s="14" t="n">
        <v>2648.449999999999</v>
      </c>
      <c r="J14" s="14" t="n">
        <v>450.3400000000038</v>
      </c>
      <c r="K14" s="14" t="n">
        <v>-19682</v>
      </c>
      <c r="L14" s="14" t="n">
        <v>0</v>
      </c>
      <c r="M14" s="14" t="n">
        <v>0</v>
      </c>
      <c r="N14" s="14" t="n">
        <v>-57223.11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8">
        <f>SUM(C14:U14)</f>
        <v/>
      </c>
      <c r="W14" s="19">
        <f>ROUND(B14-V14,4)</f>
        <v/>
      </c>
    </row>
    <row r="15">
      <c r="A15" s="8" t="inlineStr">
        <is>
          <t>SkyWay Travel</t>
        </is>
      </c>
      <c r="B15" s="14" t="n">
        <v>-8740000</v>
      </c>
      <c r="C15" s="14" t="n">
        <v>0</v>
      </c>
      <c r="D15" s="14" t="n">
        <v>27500</v>
      </c>
      <c r="E15" s="14" t="n">
        <v>0</v>
      </c>
      <c r="F15" s="14" t="n">
        <v>1.939042704179883e-09</v>
      </c>
      <c r="G15" s="14" t="n">
        <v>-4.9100000000617</v>
      </c>
      <c r="H15" s="14" t="n">
        <v>-224084.64</v>
      </c>
      <c r="I15" s="14" t="n">
        <v>-2384.480000000007</v>
      </c>
      <c r="J15" s="14" t="n">
        <v>-27327.16999999997</v>
      </c>
      <c r="K15" s="14" t="n">
        <v>-128165.95</v>
      </c>
      <c r="L15" s="14" t="n">
        <v>354548.84</v>
      </c>
      <c r="M15" s="14" t="n">
        <v>0</v>
      </c>
      <c r="N15" s="14" t="n">
        <v>-1109681.69</v>
      </c>
      <c r="O15" s="14" t="n">
        <v>0</v>
      </c>
      <c r="P15" s="14" t="n">
        <v>0</v>
      </c>
      <c r="Q15" s="14" t="n">
        <v>0</v>
      </c>
      <c r="R15" s="14" t="n">
        <v>-8041200</v>
      </c>
      <c r="S15" s="14" t="n">
        <v>410800</v>
      </c>
      <c r="T15" s="14" t="n">
        <v>0</v>
      </c>
      <c r="U15" s="14" t="n">
        <v>0</v>
      </c>
      <c r="V15" s="18">
        <f>SUM(C15:U15)</f>
        <v/>
      </c>
      <c r="W15" s="19">
        <f>ROUND(B15-V15,4)</f>
        <v/>
      </c>
    </row>
    <row r="16">
      <c r="A16" s="8" t="inlineStr">
        <is>
          <t>Steppe Travel</t>
        </is>
      </c>
      <c r="B16" s="14" t="n">
        <v>2374699.06</v>
      </c>
      <c r="C16" s="14" t="n">
        <v>3309463.73</v>
      </c>
      <c r="D16" s="14" t="n">
        <v>0</v>
      </c>
      <c r="E16" s="14" t="n">
        <v>0</v>
      </c>
      <c r="F16" s="14" t="n">
        <v>1.564330887049437e-10</v>
      </c>
      <c r="G16" s="14" t="n">
        <v>-7.275957614183426e-12</v>
      </c>
      <c r="H16" s="14" t="n">
        <v>2700</v>
      </c>
      <c r="I16" s="14" t="n">
        <v>0</v>
      </c>
      <c r="J16" s="14" t="n">
        <v>-37.38000000000102</v>
      </c>
      <c r="K16" s="14" t="n">
        <v>-56402.58</v>
      </c>
      <c r="L16" s="14" t="n">
        <v>43556.5</v>
      </c>
      <c r="M16" s="14" t="n">
        <v>0</v>
      </c>
      <c r="N16" s="14" t="n">
        <v>-117181.21</v>
      </c>
      <c r="O16" s="14" t="n">
        <v>0</v>
      </c>
      <c r="P16" s="14" t="n">
        <v>0</v>
      </c>
      <c r="Q16" s="14" t="n">
        <v>0</v>
      </c>
      <c r="R16" s="14" t="n">
        <v>-807400</v>
      </c>
      <c r="S16" s="14" t="n">
        <v>0</v>
      </c>
      <c r="T16" s="14" t="n">
        <v>0</v>
      </c>
      <c r="U16" s="14" t="n">
        <v>0</v>
      </c>
      <c r="V16" s="18">
        <f>SUM(C16:U16)</f>
        <v/>
      </c>
      <c r="W16" s="19">
        <f>ROUND(B16-V16,4)</f>
        <v/>
      </c>
    </row>
    <row r="17">
      <c r="A17" s="8" t="inlineStr">
        <is>
          <t>Sunrise Tours</t>
        </is>
      </c>
      <c r="B17" s="14" t="n">
        <v>-965356.7699999999</v>
      </c>
      <c r="C17" s="14" t="n">
        <v>78399.39999999999</v>
      </c>
      <c r="D17" s="14" t="n">
        <v>263</v>
      </c>
      <c r="E17" s="14" t="n">
        <v>0</v>
      </c>
      <c r="F17" s="14" t="n">
        <v>-2.91038304567337e-11</v>
      </c>
      <c r="G17" s="14" t="n">
        <v>7.275957614183426e-12</v>
      </c>
      <c r="H17" s="14" t="n">
        <v>-20700</v>
      </c>
      <c r="I17" s="14" t="n">
        <v>-579.1299999999974</v>
      </c>
      <c r="J17" s="14" t="n">
        <v>322.9800000000105</v>
      </c>
      <c r="K17" s="14" t="n">
        <v>-73063.02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-950000</v>
      </c>
      <c r="S17" s="14" t="n">
        <v>0</v>
      </c>
      <c r="T17" s="14" t="n">
        <v>0</v>
      </c>
      <c r="U17" s="14" t="n">
        <v>0</v>
      </c>
      <c r="V17" s="18">
        <f>SUM(C17:U17)</f>
        <v/>
      </c>
      <c r="W17" s="19">
        <f>ROUND(B17-V17,4)</f>
        <v/>
      </c>
    </row>
    <row r="18">
      <c r="A18" s="8" t="inlineStr">
        <is>
          <t>Tengri Trip</t>
        </is>
      </c>
      <c r="B18" s="14" t="n">
        <v>-675730.1399999999</v>
      </c>
      <c r="C18" s="14" t="n">
        <v>0</v>
      </c>
      <c r="D18" s="14" t="n">
        <v>0</v>
      </c>
      <c r="E18" s="14" t="n">
        <v>0</v>
      </c>
      <c r="F18" s="14" t="n">
        <v>8.731149137020111e-11</v>
      </c>
      <c r="G18" s="14" t="n">
        <v>2.399999999994179</v>
      </c>
      <c r="H18" s="14" t="n">
        <v>0</v>
      </c>
      <c r="I18" s="14" t="n">
        <v>0</v>
      </c>
      <c r="J18" s="14" t="n">
        <v>2915.239999999998</v>
      </c>
      <c r="K18" s="14" t="n">
        <v>0</v>
      </c>
      <c r="L18" s="14" t="n">
        <v>22586.06</v>
      </c>
      <c r="M18" s="14" t="n">
        <v>0</v>
      </c>
      <c r="N18" s="14" t="n">
        <v>-107233.84</v>
      </c>
      <c r="O18" s="14" t="n">
        <v>0</v>
      </c>
      <c r="P18" s="14" t="n">
        <v>0</v>
      </c>
      <c r="Q18" s="14" t="n">
        <v>0</v>
      </c>
      <c r="R18" s="14" t="n">
        <v>-594000</v>
      </c>
      <c r="S18" s="14" t="n">
        <v>0</v>
      </c>
      <c r="T18" s="14" t="n">
        <v>0</v>
      </c>
      <c r="U18" s="14" t="n">
        <v>0</v>
      </c>
      <c r="V18" s="18">
        <f>SUM(C18:U18)</f>
        <v/>
      </c>
      <c r="W18" s="19">
        <f>ROUND(B18-V18,4)</f>
        <v/>
      </c>
    </row>
    <row r="19">
      <c r="A19" s="8" t="inlineStr">
        <is>
          <t>Абдылда уулу Б.</t>
        </is>
      </c>
      <c r="B19" s="14" t="n">
        <v>-1349195.81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-4.001776687800884e-11</v>
      </c>
      <c r="H19" s="14" t="n">
        <v>22813.63</v>
      </c>
      <c r="I19" s="14" t="n">
        <v>-28108.77</v>
      </c>
      <c r="J19" s="14" t="n">
        <v>-955.0299999999806</v>
      </c>
      <c r="K19" s="14" t="n">
        <v>0</v>
      </c>
      <c r="L19" s="14" t="n">
        <v>290892.87</v>
      </c>
      <c r="M19" s="14" t="n">
        <v>0</v>
      </c>
      <c r="N19" s="14" t="n">
        <v>-297738.51</v>
      </c>
      <c r="O19" s="14" t="n">
        <v>0</v>
      </c>
      <c r="P19" s="14" t="n">
        <v>0</v>
      </c>
      <c r="Q19" s="14" t="n">
        <v>0</v>
      </c>
      <c r="R19" s="14" t="n">
        <v>-1667600</v>
      </c>
      <c r="S19" s="14" t="n">
        <v>331500</v>
      </c>
      <c r="T19" s="14" t="n">
        <v>0</v>
      </c>
      <c r="U19" s="14" t="n">
        <v>0</v>
      </c>
      <c r="V19" s="18">
        <f>SUM(C19:U19)</f>
        <v/>
      </c>
      <c r="W19" s="19">
        <f>ROUND(B19-V19,4)</f>
        <v/>
      </c>
    </row>
    <row r="20">
      <c r="A20" s="8" t="inlineStr">
        <is>
          <t>Абдылдаов Д. М.</t>
        </is>
      </c>
      <c r="B20" s="14" t="n">
        <v>-300901.9300000002</v>
      </c>
      <c r="C20" s="14" t="n">
        <v>0</v>
      </c>
      <c r="D20" s="14" t="n">
        <v>0</v>
      </c>
      <c r="E20" s="14" t="n">
        <v>0</v>
      </c>
      <c r="F20" s="14" t="n">
        <v>7.275957614183426e-12</v>
      </c>
      <c r="G20" s="14" t="n">
        <v>1.818989403545856e-11</v>
      </c>
      <c r="H20" s="14" t="n">
        <v>-10000</v>
      </c>
      <c r="I20" s="14" t="n">
        <v>-7333.380000000001</v>
      </c>
      <c r="J20" s="14" t="n">
        <v>-68.55000000000291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-283500</v>
      </c>
      <c r="S20" s="14" t="n">
        <v>0</v>
      </c>
      <c r="T20" s="14" t="n">
        <v>0</v>
      </c>
      <c r="U20" s="14" t="n">
        <v>0</v>
      </c>
      <c r="V20" s="18">
        <f>SUM(C20:U20)</f>
        <v/>
      </c>
      <c r="W20" s="19">
        <f>ROUND(B20-V20,4)</f>
        <v/>
      </c>
    </row>
    <row r="21">
      <c r="A21" s="8" t="inlineStr">
        <is>
          <t>Абдыраманова Д. А.</t>
        </is>
      </c>
      <c r="B21" s="14" t="n">
        <v>-921359.1999999997</v>
      </c>
      <c r="C21" s="14" t="n">
        <v>0</v>
      </c>
      <c r="D21" s="14" t="n">
        <v>0</v>
      </c>
      <c r="E21" s="14" t="n">
        <v>0</v>
      </c>
      <c r="F21" s="14" t="n">
        <v>-2.91038304567337e-11</v>
      </c>
      <c r="G21" s="14" t="n">
        <v>2.91038304567337e-11</v>
      </c>
      <c r="H21" s="14" t="n">
        <v>1800</v>
      </c>
      <c r="I21" s="14" t="n">
        <v>-2767.709999999999</v>
      </c>
      <c r="J21" s="14" t="n">
        <v>-12500.67</v>
      </c>
      <c r="K21" s="14" t="n">
        <v>0</v>
      </c>
      <c r="L21" s="14" t="n">
        <v>29649</v>
      </c>
      <c r="M21" s="14" t="n">
        <v>0</v>
      </c>
      <c r="N21" s="14" t="n">
        <v>-95039.81999999999</v>
      </c>
      <c r="O21" s="14" t="n">
        <v>0</v>
      </c>
      <c r="P21" s="14" t="n">
        <v>0</v>
      </c>
      <c r="Q21" s="14" t="n">
        <v>0</v>
      </c>
      <c r="R21" s="14" t="n">
        <v>-842500</v>
      </c>
      <c r="S21" s="14" t="n">
        <v>0</v>
      </c>
      <c r="T21" s="14" t="n">
        <v>0</v>
      </c>
      <c r="U21" s="14" t="n">
        <v>0</v>
      </c>
      <c r="V21" s="18">
        <f>SUM(C21:U21)</f>
        <v/>
      </c>
      <c r="W21" s="19">
        <f>ROUND(B21-V21,4)</f>
        <v/>
      </c>
    </row>
    <row r="22">
      <c r="A22" s="8" t="inlineStr">
        <is>
          <t>Ак-Куу Авиа</t>
        </is>
      </c>
      <c r="B22" s="14" t="n">
        <v>-1147683.200000001</v>
      </c>
      <c r="C22" s="14" t="n">
        <v>453547.35</v>
      </c>
      <c r="D22" s="14" t="n">
        <v>0</v>
      </c>
      <c r="E22" s="14" t="n">
        <v>0</v>
      </c>
      <c r="F22" s="14" t="n">
        <v>2.619344741106033e-10</v>
      </c>
      <c r="G22" s="14" t="n">
        <v>-6.769999999984066</v>
      </c>
      <c r="H22" s="14" t="n">
        <v>45833.78000000002</v>
      </c>
      <c r="I22" s="14" t="n">
        <v>-40094.26000000001</v>
      </c>
      <c r="J22" s="14" t="n">
        <v>-14355.18000000001</v>
      </c>
      <c r="K22" s="14" t="n">
        <v>-48374</v>
      </c>
      <c r="L22" s="14" t="n">
        <v>244366.44</v>
      </c>
      <c r="M22" s="14" t="n">
        <v>0</v>
      </c>
      <c r="N22" s="14" t="n">
        <v>-384100.56</v>
      </c>
      <c r="O22" s="14" t="n">
        <v>0</v>
      </c>
      <c r="P22" s="14" t="n">
        <v>0</v>
      </c>
      <c r="Q22" s="14" t="n">
        <v>0</v>
      </c>
      <c r="R22" s="14" t="n">
        <v>-1769600</v>
      </c>
      <c r="S22" s="14" t="n">
        <v>365100</v>
      </c>
      <c r="T22" s="14" t="n">
        <v>0</v>
      </c>
      <c r="U22" s="14" t="n">
        <v>0</v>
      </c>
      <c r="V22" s="18">
        <f>SUM(C22:U22)</f>
        <v/>
      </c>
      <c r="W22" s="19">
        <f>ROUND(B22-V22,4)</f>
        <v/>
      </c>
    </row>
    <row r="23">
      <c r="A23" s="8" t="inlineStr">
        <is>
          <t>Ак-Куу Тур</t>
        </is>
      </c>
      <c r="B23" s="14" t="n">
        <v>-924681.8500000001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-4.001776687800884e-11</v>
      </c>
      <c r="H23" s="14" t="n">
        <v>-277452.2</v>
      </c>
      <c r="I23" s="14" t="n">
        <v>-47008.20000000001</v>
      </c>
      <c r="J23" s="14" t="n">
        <v>-5296.23</v>
      </c>
      <c r="K23" s="14" t="n">
        <v>0</v>
      </c>
      <c r="L23" s="14" t="n">
        <v>0</v>
      </c>
      <c r="M23" s="14" t="n">
        <v>0</v>
      </c>
      <c r="N23" s="14" t="n">
        <v>-264625.22</v>
      </c>
      <c r="O23" s="14" t="n">
        <v>0</v>
      </c>
      <c r="P23" s="14" t="n">
        <v>0</v>
      </c>
      <c r="Q23" s="14" t="n">
        <v>0</v>
      </c>
      <c r="R23" s="14" t="n">
        <v>-330300</v>
      </c>
      <c r="S23" s="14" t="n">
        <v>0</v>
      </c>
      <c r="T23" s="14" t="n">
        <v>0</v>
      </c>
      <c r="U23" s="14" t="n">
        <v>0</v>
      </c>
      <c r="V23" s="18">
        <f>SUM(C23:U23)</f>
        <v/>
      </c>
      <c r="W23" s="19">
        <f>ROUND(B23-V23,4)</f>
        <v/>
      </c>
    </row>
    <row r="24">
      <c r="A24" s="8" t="inlineStr">
        <is>
          <t>Ала-Арча Авиакасса</t>
        </is>
      </c>
      <c r="B24" s="14" t="n">
        <v>-690732.5400000002</v>
      </c>
      <c r="C24" s="14" t="n">
        <v>0</v>
      </c>
      <c r="D24" s="14" t="n">
        <v>0</v>
      </c>
      <c r="E24" s="14" t="n">
        <v>0</v>
      </c>
      <c r="F24" s="14" t="n">
        <v>-7.275957614183426e-11</v>
      </c>
      <c r="G24" s="14" t="n">
        <v>-1.455191522836685e-11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35207.46</v>
      </c>
      <c r="M24" s="14" t="n">
        <v>0</v>
      </c>
      <c r="N24" s="14" t="n">
        <v>-10840</v>
      </c>
      <c r="O24" s="14" t="n">
        <v>0</v>
      </c>
      <c r="P24" s="14" t="n">
        <v>0</v>
      </c>
      <c r="Q24" s="14" t="n">
        <v>0</v>
      </c>
      <c r="R24" s="14" t="n">
        <v>-715100</v>
      </c>
      <c r="S24" s="14" t="n">
        <v>0</v>
      </c>
      <c r="T24" s="14" t="n">
        <v>0</v>
      </c>
      <c r="U24" s="14" t="n">
        <v>0</v>
      </c>
      <c r="V24" s="18">
        <f>SUM(C24:U24)</f>
        <v/>
      </c>
      <c r="W24" s="19">
        <f>ROUND(B24-V24,4)</f>
        <v/>
      </c>
    </row>
    <row r="25">
      <c r="A25" s="8" t="inlineStr">
        <is>
          <t>Ала-Арча Тревел</t>
        </is>
      </c>
      <c r="B25" s="14" t="n">
        <v>-963.0699999999488</v>
      </c>
      <c r="C25" s="14" t="n">
        <v>-12653.79999999993</v>
      </c>
      <c r="D25" s="14" t="n">
        <v>0</v>
      </c>
      <c r="E25" s="14" t="n">
        <v>0</v>
      </c>
      <c r="F25" s="14" t="n">
        <v>-3.492459654808044e-10</v>
      </c>
      <c r="G25" s="14" t="n">
        <v>-7.275957614183426e-12</v>
      </c>
      <c r="H25" s="14" t="n">
        <v>7100</v>
      </c>
      <c r="I25" s="14" t="n">
        <v>4590.730000000018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8">
        <f>SUM(C25:U25)</f>
        <v/>
      </c>
      <c r="W25" s="19">
        <f>ROUND(B25-V25,4)</f>
        <v/>
      </c>
    </row>
    <row r="26">
      <c r="A26" s="8" t="inlineStr">
        <is>
          <t>Асанов Кубат Чынаревич</t>
        </is>
      </c>
      <c r="B26" s="14" t="n">
        <v>-403058.9199999999</v>
      </c>
      <c r="C26" s="14" t="n">
        <v>0</v>
      </c>
      <c r="D26" s="14" t="n">
        <v>0</v>
      </c>
      <c r="E26" s="14" t="n">
        <v>-192896</v>
      </c>
      <c r="F26" s="14" t="n">
        <v>-1.164153218269348e-10</v>
      </c>
      <c r="G26" s="14" t="n">
        <v>1.455191522836685e-11</v>
      </c>
      <c r="H26" s="14" t="n">
        <v>0</v>
      </c>
      <c r="I26" s="14" t="n">
        <v>0</v>
      </c>
      <c r="J26" s="14" t="n">
        <v>109.0200000000004</v>
      </c>
      <c r="K26" s="14" t="n">
        <v>0</v>
      </c>
      <c r="L26" s="14" t="n">
        <v>0</v>
      </c>
      <c r="M26" s="14" t="n">
        <v>0</v>
      </c>
      <c r="N26" s="14" t="n">
        <v>-115067.94</v>
      </c>
      <c r="O26" s="14" t="n">
        <v>0</v>
      </c>
      <c r="P26" s="14" t="n">
        <v>-44204</v>
      </c>
      <c r="Q26" s="14" t="n">
        <v>0</v>
      </c>
      <c r="R26" s="14" t="n">
        <v>-288100</v>
      </c>
      <c r="S26" s="14" t="n">
        <v>0</v>
      </c>
      <c r="T26" s="14" t="n">
        <v>0</v>
      </c>
      <c r="U26" s="14" t="n">
        <v>237100</v>
      </c>
      <c r="V26" s="18">
        <f>SUM(C26:U26)</f>
        <v/>
      </c>
      <c r="W26" s="19">
        <f>ROUND(B26-V26,4)</f>
        <v/>
      </c>
    </row>
    <row r="27">
      <c r="A27" s="8" t="inlineStr">
        <is>
          <t>Асанова Каныкей Эсенбекевна</t>
        </is>
      </c>
      <c r="B27" s="14" t="n">
        <v>-327069.4399999999</v>
      </c>
      <c r="C27" s="14" t="n">
        <v>-320853.24</v>
      </c>
      <c r="D27" s="14" t="n">
        <v>0</v>
      </c>
      <c r="E27" s="14" t="n">
        <v>0</v>
      </c>
      <c r="F27" s="14" t="n">
        <v>1.455191522836685e-11</v>
      </c>
      <c r="G27" s="14" t="n">
        <v>-1.455191522836685e-11</v>
      </c>
      <c r="H27" s="14" t="n">
        <v>5131</v>
      </c>
      <c r="I27" s="14" t="n">
        <v>4291.600000000002</v>
      </c>
      <c r="J27" s="14" t="n">
        <v>0</v>
      </c>
      <c r="K27" s="14" t="n">
        <v>-32704</v>
      </c>
      <c r="L27" s="14" t="n">
        <v>17065.2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8">
        <f>SUM(C27:U27)</f>
        <v/>
      </c>
      <c r="W27" s="19">
        <f>ROUND(B27-V27,4)</f>
        <v/>
      </c>
    </row>
    <row r="28">
      <c r="A28" s="8" t="inlineStr">
        <is>
          <t>БАЙТУР ТУРИЗМ</t>
        </is>
      </c>
      <c r="B28" s="14" t="n">
        <v>-497630.87</v>
      </c>
      <c r="C28" s="14" t="n">
        <v>0</v>
      </c>
      <c r="D28" s="14" t="n">
        <v>0</v>
      </c>
      <c r="E28" s="14" t="n">
        <v>0</v>
      </c>
      <c r="F28" s="14" t="n">
        <v>-2.91038304567337e-11</v>
      </c>
      <c r="G28" s="14" t="n">
        <v>-1.455191522836685e-11</v>
      </c>
      <c r="H28" s="14" t="n">
        <v>9706.859999999997</v>
      </c>
      <c r="I28" s="14" t="n">
        <v>-101.7299999999996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-197836</v>
      </c>
      <c r="O28" s="14" t="n">
        <v>0</v>
      </c>
      <c r="P28" s="14" t="n">
        <v>0</v>
      </c>
      <c r="Q28" s="14" t="n">
        <v>0</v>
      </c>
      <c r="R28" s="14" t="n">
        <v>-309400</v>
      </c>
      <c r="S28" s="14" t="n">
        <v>0</v>
      </c>
      <c r="T28" s="14" t="n">
        <v>0</v>
      </c>
      <c r="U28" s="14" t="n">
        <v>0</v>
      </c>
      <c r="V28" s="18">
        <f>SUM(C28:U28)</f>
        <v/>
      </c>
      <c r="W28" s="19">
        <f>ROUND(B28-V28,4)</f>
        <v/>
      </c>
    </row>
    <row r="29">
      <c r="A29" s="8" t="inlineStr">
        <is>
          <t>Байтур Трип</t>
        </is>
      </c>
      <c r="B29" s="14" t="n">
        <v>-1135319.54</v>
      </c>
      <c r="C29" s="14" t="n">
        <v>0</v>
      </c>
      <c r="D29" s="14" t="n">
        <v>0</v>
      </c>
      <c r="E29" s="14" t="n">
        <v>0</v>
      </c>
      <c r="F29" s="14" t="n">
        <v>-6.548361852765083e-11</v>
      </c>
      <c r="G29" s="14" t="n">
        <v>2.91038304567337e-11</v>
      </c>
      <c r="H29" s="14" t="n">
        <v>19175.42000000001</v>
      </c>
      <c r="I29" s="14" t="n">
        <v>-2961.900000000001</v>
      </c>
      <c r="J29" s="14" t="n">
        <v>-89281.59999999999</v>
      </c>
      <c r="K29" s="14" t="n">
        <v>0</v>
      </c>
      <c r="L29" s="14" t="n">
        <v>19216.27</v>
      </c>
      <c r="M29" s="14" t="n">
        <v>0</v>
      </c>
      <c r="N29" s="14" t="n">
        <v>-201767.73</v>
      </c>
      <c r="O29" s="14" t="n">
        <v>0</v>
      </c>
      <c r="P29" s="14" t="n">
        <v>0</v>
      </c>
      <c r="Q29" s="14" t="n">
        <v>0</v>
      </c>
      <c r="R29" s="14" t="n">
        <v>-879700</v>
      </c>
      <c r="S29" s="14" t="n">
        <v>0</v>
      </c>
      <c r="T29" s="14" t="n">
        <v>0</v>
      </c>
      <c r="U29" s="14" t="n">
        <v>0</v>
      </c>
      <c r="V29" s="18">
        <f>SUM(C29:U29)</f>
        <v/>
      </c>
      <c r="W29" s="19">
        <f>ROUND(B29-V29,4)</f>
        <v/>
      </c>
    </row>
    <row r="30">
      <c r="A30" s="8" t="inlineStr">
        <is>
          <t>Бейшенова Н. Ч.</t>
        </is>
      </c>
      <c r="B30" s="14" t="n">
        <v>-1023080.67</v>
      </c>
      <c r="C30" s="14" t="n">
        <v>0</v>
      </c>
      <c r="D30" s="14" t="n">
        <v>107557.1</v>
      </c>
      <c r="E30" s="14" t="n">
        <v>0</v>
      </c>
      <c r="F30" s="14" t="n">
        <v>2.91038304567337e-11</v>
      </c>
      <c r="G30" s="14" t="n">
        <v>-2.91038304567337e-11</v>
      </c>
      <c r="H30" s="14" t="n">
        <v>-10000</v>
      </c>
      <c r="I30" s="14" t="n">
        <v>0</v>
      </c>
      <c r="J30" s="14" t="n">
        <v>-413.7099999999991</v>
      </c>
      <c r="K30" s="14" t="n">
        <v>0</v>
      </c>
      <c r="L30" s="14" t="n">
        <v>30594.29</v>
      </c>
      <c r="M30" s="14" t="n">
        <v>0</v>
      </c>
      <c r="N30" s="14" t="n">
        <v>-44018.35000000001</v>
      </c>
      <c r="O30" s="14" t="n">
        <v>0</v>
      </c>
      <c r="P30" s="14" t="n">
        <v>0</v>
      </c>
      <c r="Q30" s="14" t="n">
        <v>0</v>
      </c>
      <c r="R30" s="14" t="n">
        <v>-1106800</v>
      </c>
      <c r="S30" s="14" t="n">
        <v>0</v>
      </c>
      <c r="T30" s="14" t="n">
        <v>0</v>
      </c>
      <c r="U30" s="14" t="n">
        <v>0</v>
      </c>
      <c r="V30" s="18">
        <f>SUM(C30:U30)</f>
        <v/>
      </c>
      <c r="W30" s="19">
        <f>ROUND(B30-V30,4)</f>
        <v/>
      </c>
    </row>
    <row r="31">
      <c r="A31" s="8" t="inlineStr">
        <is>
          <t>Бирлик Трип</t>
        </is>
      </c>
      <c r="B31" s="14" t="n">
        <v>-373396.0899999998</v>
      </c>
      <c r="C31" s="14" t="n">
        <v>0</v>
      </c>
      <c r="D31" s="14" t="n">
        <v>0</v>
      </c>
      <c r="E31" s="14" t="n">
        <v>0</v>
      </c>
      <c r="F31" s="14" t="n">
        <v>1.455191522836685e-10</v>
      </c>
      <c r="G31" s="14" t="n">
        <v>7.275957614183426e-12</v>
      </c>
      <c r="H31" s="14" t="n">
        <v>-26997.4</v>
      </c>
      <c r="I31" s="14" t="n">
        <v>0</v>
      </c>
      <c r="J31" s="14" t="n">
        <v>-92.65000000000509</v>
      </c>
      <c r="K31" s="14" t="n">
        <v>0</v>
      </c>
      <c r="L31" s="14" t="n">
        <v>15393.96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-522100</v>
      </c>
      <c r="S31" s="14" t="n">
        <v>160400</v>
      </c>
      <c r="T31" s="14" t="n">
        <v>0</v>
      </c>
      <c r="U31" s="14" t="n">
        <v>0</v>
      </c>
      <c r="V31" s="18">
        <f>SUM(C31:U31)</f>
        <v/>
      </c>
      <c r="W31" s="19">
        <f>ROUND(B31-V31,4)</f>
        <v/>
      </c>
    </row>
    <row r="32">
      <c r="A32" s="8" t="inlineStr">
        <is>
          <t>Джолдош уулу Руслан</t>
        </is>
      </c>
      <c r="B32" s="14" t="n">
        <v>-4467449.86</v>
      </c>
      <c r="C32" s="14" t="n">
        <v>-3723651.61</v>
      </c>
      <c r="D32" s="14" t="n">
        <v>0</v>
      </c>
      <c r="E32" s="14" t="n">
        <v>0</v>
      </c>
      <c r="F32" s="14" t="n">
        <v>-1.600710675120354e-10</v>
      </c>
      <c r="G32" s="14" t="n">
        <v>0</v>
      </c>
      <c r="H32" s="14" t="n">
        <v>-10000</v>
      </c>
      <c r="I32" s="14" t="n">
        <v>0</v>
      </c>
      <c r="J32" s="14" t="n">
        <v>-521.3499999999985</v>
      </c>
      <c r="K32" s="14" t="n">
        <v>-26676.9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-706600</v>
      </c>
      <c r="S32" s="14" t="n">
        <v>0</v>
      </c>
      <c r="T32" s="14" t="n">
        <v>0</v>
      </c>
      <c r="U32" s="14" t="n">
        <v>0</v>
      </c>
      <c r="V32" s="18">
        <f>SUM(C32:U32)</f>
        <v/>
      </c>
      <c r="W32" s="19">
        <f>ROUND(B32-V32,4)</f>
        <v/>
      </c>
    </row>
    <row r="33">
      <c r="A33" s="8" t="inlineStr">
        <is>
          <t>Джолдош уулу Эмир</t>
        </is>
      </c>
      <c r="B33" s="14" t="n">
        <v>-1000296.35</v>
      </c>
      <c r="C33" s="14" t="n">
        <v>0</v>
      </c>
      <c r="D33" s="14" t="n">
        <v>107557.1000000001</v>
      </c>
      <c r="E33" s="14" t="n">
        <v>0</v>
      </c>
      <c r="F33" s="14" t="n">
        <v>3.492459654808044e-10</v>
      </c>
      <c r="G33" s="14" t="n">
        <v>-1.455191522836685e-11</v>
      </c>
      <c r="H33" s="14" t="n">
        <v>-1000</v>
      </c>
      <c r="I33" s="14" t="n">
        <v>-14483.81</v>
      </c>
      <c r="J33" s="14" t="n">
        <v>230.3600000000151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-1092600</v>
      </c>
      <c r="S33" s="14" t="n">
        <v>0</v>
      </c>
      <c r="T33" s="14" t="n">
        <v>0</v>
      </c>
      <c r="U33" s="14" t="n">
        <v>0</v>
      </c>
      <c r="V33" s="18">
        <f>SUM(C33:U33)</f>
        <v/>
      </c>
      <c r="W33" s="19">
        <f>ROUND(B33-V33,4)</f>
        <v/>
      </c>
    </row>
    <row r="34">
      <c r="A34" s="8" t="inlineStr">
        <is>
          <t>Джолдошова Салтанат Сатаревна</t>
        </is>
      </c>
      <c r="B34" s="14" t="n">
        <v>-2501581.59</v>
      </c>
      <c r="C34" s="14" t="n">
        <v>-703393.53</v>
      </c>
      <c r="D34" s="14" t="n">
        <v>4800</v>
      </c>
      <c r="E34" s="14" t="n">
        <v>0</v>
      </c>
      <c r="F34" s="14" t="n">
        <v>2.328306436538696e-10</v>
      </c>
      <c r="G34" s="14" t="n">
        <v>-1.455191522836685e-11</v>
      </c>
      <c r="H34" s="14" t="n">
        <v>4941.760000000002</v>
      </c>
      <c r="I34" s="14" t="n">
        <v>0</v>
      </c>
      <c r="J34" s="14" t="n">
        <v>11760.67999999999</v>
      </c>
      <c r="K34" s="14" t="n">
        <v>-19356</v>
      </c>
      <c r="L34" s="14" t="n">
        <v>108596.27</v>
      </c>
      <c r="M34" s="14" t="n">
        <v>0</v>
      </c>
      <c r="N34" s="14" t="n">
        <v>-485830.77</v>
      </c>
      <c r="O34" s="14" t="n">
        <v>0</v>
      </c>
      <c r="P34" s="14" t="n">
        <v>0</v>
      </c>
      <c r="Q34" s="14" t="n">
        <v>0</v>
      </c>
      <c r="R34" s="14" t="n">
        <v>-1423100</v>
      </c>
      <c r="S34" s="14" t="n">
        <v>0</v>
      </c>
      <c r="T34" s="14" t="n">
        <v>0</v>
      </c>
      <c r="U34" s="14" t="n">
        <v>0</v>
      </c>
      <c r="V34" s="18">
        <f>SUM(C34:U34)</f>
        <v/>
      </c>
      <c r="W34" s="19">
        <f>ROUND(B34-V34,4)</f>
        <v/>
      </c>
    </row>
    <row r="35">
      <c r="A35" s="8" t="inlineStr">
        <is>
          <t>Жибек Авиакасса</t>
        </is>
      </c>
      <c r="B35" s="14" t="n">
        <v>-695485.76</v>
      </c>
      <c r="C35" s="14" t="n">
        <v>0</v>
      </c>
      <c r="D35" s="14" t="n">
        <v>0</v>
      </c>
      <c r="E35" s="14" t="n">
        <v>0</v>
      </c>
      <c r="F35" s="14" t="n">
        <v>-5.820766091346741e-11</v>
      </c>
      <c r="G35" s="14" t="n">
        <v>2.250000000023647</v>
      </c>
      <c r="H35" s="14" t="n">
        <v>73587.75</v>
      </c>
      <c r="I35" s="14" t="n">
        <v>0</v>
      </c>
      <c r="J35" s="14" t="n">
        <v>-1.410000000003492</v>
      </c>
      <c r="K35" s="14" t="n">
        <v>-72296.06</v>
      </c>
      <c r="L35" s="14" t="n">
        <v>60875.99000000001</v>
      </c>
      <c r="M35" s="14" t="n">
        <v>0</v>
      </c>
      <c r="N35" s="14" t="n">
        <v>-78554.28</v>
      </c>
      <c r="O35" s="14" t="n">
        <v>0</v>
      </c>
      <c r="P35" s="14" t="n">
        <v>0</v>
      </c>
      <c r="Q35" s="14" t="n">
        <v>0</v>
      </c>
      <c r="R35" s="14" t="n">
        <v>-679100</v>
      </c>
      <c r="S35" s="14" t="n">
        <v>0</v>
      </c>
      <c r="T35" s="14" t="n">
        <v>0</v>
      </c>
      <c r="U35" s="14" t="n">
        <v>0</v>
      </c>
      <c r="V35" s="18">
        <f>SUM(C35:U35)</f>
        <v/>
      </c>
      <c r="W35" s="19">
        <f>ROUND(B35-V35,4)</f>
        <v/>
      </c>
    </row>
    <row r="36">
      <c r="A36" s="8" t="inlineStr">
        <is>
          <t>Жибек Вояж</t>
        </is>
      </c>
      <c r="B36" s="14" t="n">
        <v>-181710.9500000001</v>
      </c>
      <c r="C36" s="14" t="n">
        <v>0</v>
      </c>
      <c r="D36" s="14" t="n">
        <v>0</v>
      </c>
      <c r="E36" s="14" t="n">
        <v>304648.06</v>
      </c>
      <c r="F36" s="14" t="n">
        <v>-3.637978807091713e-11</v>
      </c>
      <c r="G36" s="14" t="n">
        <v>3.637978807091713e-12</v>
      </c>
      <c r="H36" s="14" t="n">
        <v>14620</v>
      </c>
      <c r="I36" s="14" t="n">
        <v>-28395.56999999999</v>
      </c>
      <c r="J36" s="14" t="n">
        <v>2042.199999999997</v>
      </c>
      <c r="K36" s="14" t="n">
        <v>0</v>
      </c>
      <c r="L36" s="14" t="n">
        <v>50183</v>
      </c>
      <c r="M36" s="14" t="n">
        <v>0</v>
      </c>
      <c r="N36" s="14" t="n">
        <v>0</v>
      </c>
      <c r="O36" s="14" t="n">
        <v>0</v>
      </c>
      <c r="P36" s="14" t="n">
        <v>-321208.64</v>
      </c>
      <c r="Q36" s="14" t="n">
        <v>0</v>
      </c>
      <c r="R36" s="14" t="n">
        <v>-203600</v>
      </c>
      <c r="S36" s="14" t="n">
        <v>0</v>
      </c>
      <c r="T36" s="14" t="n">
        <v>0</v>
      </c>
      <c r="U36" s="14" t="n">
        <v>0</v>
      </c>
      <c r="V36" s="18">
        <f>SUM(C36:U36)</f>
        <v/>
      </c>
      <c r="W36" s="19">
        <f>ROUND(B36-V36,4)</f>
        <v/>
      </c>
    </row>
    <row r="37">
      <c r="A37" s="8" t="inlineStr">
        <is>
          <t>Жибек Эйр</t>
        </is>
      </c>
      <c r="B37" s="14" t="n">
        <v>-539022.6400000002</v>
      </c>
      <c r="C37" s="14" t="n">
        <v>253712.49</v>
      </c>
      <c r="D37" s="14" t="n">
        <v>0</v>
      </c>
      <c r="E37" s="14" t="n">
        <v>879946.3800000001</v>
      </c>
      <c r="F37" s="14" t="n">
        <v>2.037268131971359e-10</v>
      </c>
      <c r="G37" s="14" t="n">
        <v>1.818989403545856e-11</v>
      </c>
      <c r="H37" s="14" t="n">
        <v>-18942.31999999999</v>
      </c>
      <c r="I37" s="14" t="n">
        <v>-48160.53</v>
      </c>
      <c r="J37" s="14" t="n">
        <v>-57736.34</v>
      </c>
      <c r="K37" s="14" t="n">
        <v>0</v>
      </c>
      <c r="L37" s="14" t="n">
        <v>34165.12</v>
      </c>
      <c r="M37" s="14" t="n">
        <v>0</v>
      </c>
      <c r="N37" s="14" t="n">
        <v>0</v>
      </c>
      <c r="O37" s="14" t="n">
        <v>0</v>
      </c>
      <c r="P37" s="14" t="n">
        <v>-3443407.440000001</v>
      </c>
      <c r="Q37" s="14" t="n">
        <v>0</v>
      </c>
      <c r="R37" s="14" t="n">
        <v>-965800</v>
      </c>
      <c r="S37" s="14" t="n">
        <v>249400</v>
      </c>
      <c r="T37" s="14" t="n">
        <v>0</v>
      </c>
      <c r="U37" s="14" t="n">
        <v>2577800</v>
      </c>
      <c r="V37" s="18">
        <f>SUM(C37:U37)</f>
        <v/>
      </c>
      <c r="W37" s="19">
        <f>ROUND(B37-V37,4)</f>
        <v/>
      </c>
    </row>
    <row r="38">
      <c r="A38" s="8" t="inlineStr">
        <is>
          <t>Жолчу кызы А.</t>
        </is>
      </c>
      <c r="B38" s="14" t="n">
        <v>-1054427.74</v>
      </c>
      <c r="C38" s="14" t="n">
        <v>0</v>
      </c>
      <c r="D38" s="14" t="n">
        <v>0</v>
      </c>
      <c r="E38" s="14" t="n">
        <v>-591271.6500000001</v>
      </c>
      <c r="F38" s="14" t="n">
        <v>0</v>
      </c>
      <c r="G38" s="14" t="n">
        <v>0</v>
      </c>
      <c r="H38" s="14" t="n">
        <v>32135.54999999999</v>
      </c>
      <c r="I38" s="14" t="n">
        <v>0</v>
      </c>
      <c r="J38" s="14" t="n">
        <v>-11975.44</v>
      </c>
      <c r="K38" s="14" t="n">
        <v>0</v>
      </c>
      <c r="L38" s="14" t="n">
        <v>0</v>
      </c>
      <c r="M38" s="14" t="n">
        <v>0</v>
      </c>
      <c r="N38" s="14" t="n">
        <v>-141801.6</v>
      </c>
      <c r="O38" s="14" t="n">
        <v>0</v>
      </c>
      <c r="P38" s="14" t="n">
        <v>-692414.6</v>
      </c>
      <c r="Q38" s="14" t="n">
        <v>0</v>
      </c>
      <c r="R38" s="14" t="n">
        <v>-823200</v>
      </c>
      <c r="S38" s="14" t="n">
        <v>0</v>
      </c>
      <c r="T38" s="14" t="n">
        <v>0</v>
      </c>
      <c r="U38" s="14" t="n">
        <v>1174100</v>
      </c>
      <c r="V38" s="18">
        <f>SUM(C38:U38)</f>
        <v/>
      </c>
      <c r="W38" s="19">
        <f>ROUND(B38-V38,4)</f>
        <v/>
      </c>
    </row>
    <row r="39">
      <c r="A39" s="8" t="inlineStr">
        <is>
          <t>Жумабек кызы Умут</t>
        </is>
      </c>
      <c r="B39" s="14" t="n">
        <v>-167809.1800000001</v>
      </c>
      <c r="C39" s="14" t="n">
        <v>-85204.09999999998</v>
      </c>
      <c r="D39" s="14" t="n">
        <v>4800</v>
      </c>
      <c r="E39" s="14" t="n">
        <v>0</v>
      </c>
      <c r="F39" s="14" t="n">
        <v>-1.091393642127514e-10</v>
      </c>
      <c r="G39" s="14" t="n">
        <v>2.999999999994543</v>
      </c>
      <c r="H39" s="14" t="n">
        <v>-98550</v>
      </c>
      <c r="I39" s="14" t="n">
        <v>1800</v>
      </c>
      <c r="J39" s="14" t="n">
        <v>-296.0799999999945</v>
      </c>
      <c r="K39" s="14" t="n">
        <v>-16001</v>
      </c>
      <c r="L39" s="14" t="n">
        <v>25639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8">
        <f>SUM(C39:U39)</f>
        <v/>
      </c>
      <c r="W39" s="19">
        <f>ROUND(B39-V39,4)</f>
        <v/>
      </c>
    </row>
    <row r="40">
      <c r="A40" s="8" t="inlineStr">
        <is>
          <t>ИП Абдылдаова У. О.</t>
        </is>
      </c>
      <c r="B40" s="14" t="n">
        <v>-729398.09</v>
      </c>
      <c r="C40" s="14" t="n">
        <v>0</v>
      </c>
      <c r="D40" s="14" t="n">
        <v>0</v>
      </c>
      <c r="E40" s="14" t="n">
        <v>0</v>
      </c>
      <c r="F40" s="14" t="n">
        <v>2.328306436538696e-10</v>
      </c>
      <c r="G40" s="14" t="n">
        <v>7.275957614183426e-12</v>
      </c>
      <c r="H40" s="14" t="n">
        <v>0</v>
      </c>
      <c r="I40" s="14" t="n">
        <v>-12786.06999999999</v>
      </c>
      <c r="J40" s="14" t="n">
        <v>-4312.019999999993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-712300</v>
      </c>
      <c r="S40" s="14" t="n">
        <v>0</v>
      </c>
      <c r="T40" s="14" t="n">
        <v>0</v>
      </c>
      <c r="U40" s="14" t="n">
        <v>0</v>
      </c>
      <c r="V40" s="18">
        <f>SUM(C40:U40)</f>
        <v/>
      </c>
      <c r="W40" s="19">
        <f>ROUND(B40-V40,4)</f>
        <v/>
      </c>
    </row>
    <row r="41">
      <c r="A41" s="8" t="inlineStr">
        <is>
          <t>ИП Абдыраманова Ж. Д.</t>
        </is>
      </c>
      <c r="B41" s="14" t="n">
        <v>-57104.62000000014</v>
      </c>
      <c r="C41" s="14" t="n">
        <v>0</v>
      </c>
      <c r="D41" s="14" t="n">
        <v>0</v>
      </c>
      <c r="E41" s="14" t="n">
        <v>0</v>
      </c>
      <c r="F41" s="14" t="n">
        <v>-8.731149137020111e-11</v>
      </c>
      <c r="G41" s="14" t="n">
        <v>0</v>
      </c>
      <c r="H41" s="14" t="n">
        <v>0</v>
      </c>
      <c r="I41" s="14" t="n">
        <v>0</v>
      </c>
      <c r="J41" s="14" t="n">
        <v>-166.8399999999965</v>
      </c>
      <c r="K41" s="14" t="n">
        <v>0</v>
      </c>
      <c r="L41" s="14" t="n">
        <v>32171.09</v>
      </c>
      <c r="M41" s="14" t="n">
        <v>0</v>
      </c>
      <c r="N41" s="14" t="n">
        <v>-89108.87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8">
        <f>SUM(C41:U41)</f>
        <v/>
      </c>
      <c r="W41" s="19">
        <f>ROUND(B41-V41,4)</f>
        <v/>
      </c>
    </row>
    <row r="42">
      <c r="A42" s="8" t="inlineStr">
        <is>
          <t>ИП Асанов К. Б.</t>
        </is>
      </c>
      <c r="B42" s="14" t="n">
        <v>-329894.3400000001</v>
      </c>
      <c r="C42" s="14" t="n">
        <v>0</v>
      </c>
      <c r="D42" s="14" t="n">
        <v>0</v>
      </c>
      <c r="E42" s="14" t="n">
        <v>12867.14999999999</v>
      </c>
      <c r="F42" s="14" t="n">
        <v>1.236912794411182e-10</v>
      </c>
      <c r="G42" s="14" t="n">
        <v>-3.637978807091713e-12</v>
      </c>
      <c r="H42" s="14" t="n">
        <v>0</v>
      </c>
      <c r="I42" s="14" t="n">
        <v>-1602.390000000003</v>
      </c>
      <c r="J42" s="14" t="n">
        <v>-107383.17</v>
      </c>
      <c r="K42" s="14" t="n">
        <v>0</v>
      </c>
      <c r="L42" s="14" t="n">
        <v>0</v>
      </c>
      <c r="M42" s="14" t="n">
        <v>0</v>
      </c>
      <c r="N42" s="14" t="n">
        <v>-125841.06</v>
      </c>
      <c r="O42" s="14" t="n">
        <v>0</v>
      </c>
      <c r="P42" s="14" t="n">
        <v>-176634.87</v>
      </c>
      <c r="Q42" s="14" t="n">
        <v>0</v>
      </c>
      <c r="R42" s="14" t="n">
        <v>-199600</v>
      </c>
      <c r="S42" s="14" t="n">
        <v>0</v>
      </c>
      <c r="T42" s="14" t="n">
        <v>0</v>
      </c>
      <c r="U42" s="14" t="n">
        <v>268300</v>
      </c>
      <c r="V42" s="18">
        <f>SUM(C42:U42)</f>
        <v/>
      </c>
      <c r="W42" s="19">
        <f>ROUND(B42-V42,4)</f>
        <v/>
      </c>
    </row>
    <row r="43">
      <c r="A43" s="8" t="inlineStr">
        <is>
          <t>ИП Бейшенова Д. О.</t>
        </is>
      </c>
      <c r="B43" s="14" t="n">
        <v>-377401.4799999998</v>
      </c>
      <c r="C43" s="14" t="n">
        <v>0</v>
      </c>
      <c r="D43" s="14" t="n">
        <v>0</v>
      </c>
      <c r="E43" s="14" t="n">
        <v>0</v>
      </c>
      <c r="F43" s="14" t="n">
        <v>1.527951098978519e-10</v>
      </c>
      <c r="G43" s="14" t="n">
        <v>1.455191522836685e-11</v>
      </c>
      <c r="H43" s="14" t="n">
        <v>0</v>
      </c>
      <c r="I43" s="14" t="n">
        <v>0</v>
      </c>
      <c r="J43" s="14" t="n">
        <v>141.2299999999959</v>
      </c>
      <c r="K43" s="14" t="n">
        <v>0</v>
      </c>
      <c r="L43" s="14" t="n">
        <v>72945</v>
      </c>
      <c r="M43" s="14" t="n">
        <v>0</v>
      </c>
      <c r="N43" s="14" t="n">
        <v>-194587.71</v>
      </c>
      <c r="O43" s="14" t="n">
        <v>0</v>
      </c>
      <c r="P43" s="14" t="n">
        <v>0</v>
      </c>
      <c r="Q43" s="14" t="n">
        <v>0</v>
      </c>
      <c r="R43" s="14" t="n">
        <v>-644500</v>
      </c>
      <c r="S43" s="14" t="n">
        <v>388600</v>
      </c>
      <c r="T43" s="14" t="n">
        <v>0</v>
      </c>
      <c r="U43" s="14" t="n">
        <v>0</v>
      </c>
      <c r="V43" s="18">
        <f>SUM(C43:U43)</f>
        <v/>
      </c>
      <c r="W43" s="19">
        <f>ROUND(B43-V43,4)</f>
        <v/>
      </c>
    </row>
    <row r="44">
      <c r="A44" s="8" t="inlineStr">
        <is>
          <t>ИП Джолдошов Д. У.</t>
        </is>
      </c>
      <c r="B44" s="14" t="n">
        <v>-533236.5000000002</v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2759.860000000001</v>
      </c>
      <c r="J44" s="14" t="n">
        <v>-96.35999999999694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-535900</v>
      </c>
      <c r="S44" s="14" t="n">
        <v>0</v>
      </c>
      <c r="T44" s="14" t="n">
        <v>0</v>
      </c>
      <c r="U44" s="14" t="n">
        <v>0</v>
      </c>
      <c r="V44" s="18">
        <f>SUM(C44:U44)</f>
        <v/>
      </c>
      <c r="W44" s="19">
        <f>ROUND(B44-V44,4)</f>
        <v/>
      </c>
    </row>
    <row r="45">
      <c r="A45" s="8" t="inlineStr">
        <is>
          <t>ИП Жумабекова Б. Н.</t>
        </is>
      </c>
      <c r="B45" s="14" t="n">
        <v>-21070.95000000013</v>
      </c>
      <c r="C45" s="14" t="n">
        <v>-2.91038304567337e-11</v>
      </c>
      <c r="D45" s="14" t="n">
        <v>283308.99</v>
      </c>
      <c r="E45" s="14" t="n">
        <v>-170653.13</v>
      </c>
      <c r="F45" s="14" t="n">
        <v>5.093170329928398e-11</v>
      </c>
      <c r="G45" s="14" t="n">
        <v>0</v>
      </c>
      <c r="H45" s="14" t="n">
        <v>-333.8399999999965</v>
      </c>
      <c r="I45" s="14" t="n">
        <v>-680.7899999999936</v>
      </c>
      <c r="J45" s="14" t="n">
        <v>0</v>
      </c>
      <c r="K45" s="14" t="n">
        <v>0</v>
      </c>
      <c r="L45" s="14" t="n">
        <v>40167.04</v>
      </c>
      <c r="M45" s="14" t="n">
        <v>0</v>
      </c>
      <c r="N45" s="14" t="n">
        <v>-20432.35</v>
      </c>
      <c r="O45" s="14" t="n">
        <v>0</v>
      </c>
      <c r="P45" s="14" t="n">
        <v>-683646.8700000001</v>
      </c>
      <c r="Q45" s="14" t="n">
        <v>0</v>
      </c>
      <c r="R45" s="14" t="n">
        <v>-323100</v>
      </c>
      <c r="S45" s="14" t="n">
        <v>0</v>
      </c>
      <c r="T45" s="14" t="n">
        <v>0</v>
      </c>
      <c r="U45" s="14" t="n">
        <v>854300</v>
      </c>
      <c r="V45" s="18">
        <f>SUM(C45:U45)</f>
        <v/>
      </c>
      <c r="W45" s="19">
        <f>ROUND(B45-V45,4)</f>
        <v/>
      </c>
    </row>
    <row r="46">
      <c r="A46" s="8" t="inlineStr">
        <is>
          <t>ИП Мамбетова Ч. Э.</t>
        </is>
      </c>
      <c r="B46" s="14" t="n">
        <v>-102521.9099999999</v>
      </c>
      <c r="C46" s="14" t="n">
        <v>0</v>
      </c>
      <c r="D46" s="14" t="n">
        <v>107557.1</v>
      </c>
      <c r="E46" s="14" t="n">
        <v>0</v>
      </c>
      <c r="F46" s="14" t="n">
        <v>-1.455191522836685e-11</v>
      </c>
      <c r="G46" s="14" t="n">
        <v>3.637978807091713e-12</v>
      </c>
      <c r="H46" s="14" t="n">
        <v>-6907.409999999996</v>
      </c>
      <c r="I46" s="14" t="n">
        <v>-28480.61</v>
      </c>
      <c r="J46" s="14" t="n">
        <v>-216.8399999999965</v>
      </c>
      <c r="K46" s="14" t="n">
        <v>0</v>
      </c>
      <c r="L46" s="14" t="n">
        <v>22823.4</v>
      </c>
      <c r="M46" s="14" t="n">
        <v>0</v>
      </c>
      <c r="N46" s="14" t="n">
        <v>-23197.55</v>
      </c>
      <c r="O46" s="14" t="n">
        <v>0</v>
      </c>
      <c r="P46" s="14" t="n">
        <v>0</v>
      </c>
      <c r="Q46" s="14" t="n">
        <v>0</v>
      </c>
      <c r="R46" s="14" t="n">
        <v>-174100</v>
      </c>
      <c r="S46" s="14" t="n">
        <v>0</v>
      </c>
      <c r="T46" s="14" t="n">
        <v>0</v>
      </c>
      <c r="U46" s="14" t="n">
        <v>0</v>
      </c>
      <c r="V46" s="18">
        <f>SUM(C46:U46)</f>
        <v/>
      </c>
      <c r="W46" s="19">
        <f>ROUND(B46-V46,4)</f>
        <v/>
      </c>
    </row>
    <row r="47">
      <c r="A47" s="8" t="inlineStr">
        <is>
          <t>ИП Муратов Э. У.</t>
        </is>
      </c>
      <c r="B47" s="14" t="n">
        <v>-498809.3700000003</v>
      </c>
      <c r="C47" s="14" t="n">
        <v>0</v>
      </c>
      <c r="D47" s="14" t="n">
        <v>0</v>
      </c>
      <c r="E47" s="14" t="n">
        <v>-306527.79</v>
      </c>
      <c r="F47" s="14" t="n">
        <v>-6.984919309616089e-10</v>
      </c>
      <c r="G47" s="14" t="n">
        <v>7.275957614183426e-12</v>
      </c>
      <c r="H47" s="14" t="n">
        <v>-45481.96000000001</v>
      </c>
      <c r="I47" s="14" t="n">
        <v>40360.26</v>
      </c>
      <c r="J47" s="14" t="n">
        <v>27939.51</v>
      </c>
      <c r="K47" s="14" t="n">
        <v>0</v>
      </c>
      <c r="L47" s="14" t="n">
        <v>21871.58</v>
      </c>
      <c r="M47" s="14" t="n">
        <v>0</v>
      </c>
      <c r="N47" s="14" t="n">
        <v>0</v>
      </c>
      <c r="O47" s="14" t="n">
        <v>0</v>
      </c>
      <c r="P47" s="14" t="n">
        <v>-594270.97</v>
      </c>
      <c r="Q47" s="14" t="n">
        <v>0</v>
      </c>
      <c r="R47" s="14" t="n">
        <v>-564200</v>
      </c>
      <c r="S47" s="14" t="n">
        <v>0</v>
      </c>
      <c r="T47" s="14" t="n">
        <v>0</v>
      </c>
      <c r="U47" s="14" t="n">
        <v>921500</v>
      </c>
      <c r="V47" s="18">
        <f>SUM(C47:U47)</f>
        <v/>
      </c>
      <c r="W47" s="19">
        <f>ROUND(B47-V47,4)</f>
        <v/>
      </c>
    </row>
    <row r="48">
      <c r="A48" s="8" t="inlineStr">
        <is>
          <t>ИП Токтосун кызы Н.</t>
        </is>
      </c>
      <c r="B48" s="14" t="n">
        <v>2741200.45</v>
      </c>
      <c r="C48" s="14" t="n">
        <v>3674160.7</v>
      </c>
      <c r="D48" s="14" t="n">
        <v>0</v>
      </c>
      <c r="E48" s="14" t="n">
        <v>987108.01</v>
      </c>
      <c r="F48" s="14" t="n">
        <v>2.91038304567337e-10</v>
      </c>
      <c r="G48" s="14" t="n">
        <v>1.300000000035652</v>
      </c>
      <c r="H48" s="14" t="n">
        <v>-18470</v>
      </c>
      <c r="I48" s="14" t="n">
        <v>-3020.699999999997</v>
      </c>
      <c r="J48" s="14" t="n">
        <v>-142.9000000000015</v>
      </c>
      <c r="K48" s="14" t="n">
        <v>-41829.16999999998</v>
      </c>
      <c r="L48" s="14" t="n">
        <v>0</v>
      </c>
      <c r="M48" s="14" t="n">
        <v>0</v>
      </c>
      <c r="N48" s="14" t="n">
        <v>-46554.84</v>
      </c>
      <c r="O48" s="14" t="n">
        <v>0</v>
      </c>
      <c r="P48" s="14" t="n">
        <v>-1586851.95</v>
      </c>
      <c r="Q48" s="14" t="n">
        <v>174500</v>
      </c>
      <c r="R48" s="14" t="n">
        <v>-923000</v>
      </c>
      <c r="S48" s="14" t="n">
        <v>0</v>
      </c>
      <c r="T48" s="14" t="n">
        <v>0</v>
      </c>
      <c r="U48" s="14" t="n">
        <v>525300</v>
      </c>
      <c r="V48" s="18">
        <f>SUM(C48:U48)</f>
        <v/>
      </c>
      <c r="W48" s="19">
        <f>ROUND(B48-V48,4)</f>
        <v/>
      </c>
    </row>
    <row r="49">
      <c r="A49" s="8" t="inlineStr">
        <is>
          <t>ИП Турсунов Т. А.</t>
        </is>
      </c>
      <c r="B49" s="14" t="n">
        <v>-499892.7600000004</v>
      </c>
      <c r="C49" s="14" t="n">
        <v>0</v>
      </c>
      <c r="D49" s="14" t="n">
        <v>0</v>
      </c>
      <c r="E49" s="14" t="n">
        <v>0</v>
      </c>
      <c r="F49" s="14" t="n">
        <v>-1.164153218269348e-10</v>
      </c>
      <c r="G49" s="14" t="n">
        <v>2.546585164964199e-11</v>
      </c>
      <c r="H49" s="14" t="n">
        <v>4286.860000000001</v>
      </c>
      <c r="I49" s="14" t="n">
        <v>120.380000000001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-504300</v>
      </c>
      <c r="S49" s="14" t="n">
        <v>0</v>
      </c>
      <c r="T49" s="14" t="n">
        <v>0</v>
      </c>
      <c r="U49" s="14" t="n">
        <v>0</v>
      </c>
      <c r="V49" s="18">
        <f>SUM(C49:U49)</f>
        <v/>
      </c>
      <c r="W49" s="19">
        <f>ROUND(B49-V49,4)</f>
        <v/>
      </c>
    </row>
    <row r="50">
      <c r="A50" s="8" t="inlineStr">
        <is>
          <t>ИП Элдиярова А. Ч.</t>
        </is>
      </c>
      <c r="B50" s="14" t="n">
        <v>-157391.1</v>
      </c>
      <c r="C50" s="14" t="n">
        <v>0</v>
      </c>
      <c r="D50" s="14" t="n">
        <v>0</v>
      </c>
      <c r="E50" s="14" t="n">
        <v>0</v>
      </c>
      <c r="F50" s="14" t="n">
        <v>5.820766091346741e-11</v>
      </c>
      <c r="G50" s="14" t="n">
        <v>0</v>
      </c>
      <c r="H50" s="14" t="n">
        <v>0</v>
      </c>
      <c r="I50" s="14" t="n">
        <v>0</v>
      </c>
      <c r="J50" s="14" t="n">
        <v>1108.9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-158500</v>
      </c>
      <c r="S50" s="14" t="n">
        <v>0</v>
      </c>
      <c r="T50" s="14" t="n">
        <v>0</v>
      </c>
      <c r="U50" s="14" t="n">
        <v>0</v>
      </c>
      <c r="V50" s="18">
        <f>SUM(C50:U50)</f>
        <v/>
      </c>
      <c r="W50" s="19">
        <f>ROUND(B50-V50,4)</f>
        <v/>
      </c>
    </row>
    <row r="51">
      <c r="A51" s="8" t="inlineStr">
        <is>
          <t>ИССЫК ТРИП</t>
        </is>
      </c>
      <c r="B51" s="14" t="n">
        <v>-1979507.299999999</v>
      </c>
      <c r="C51" s="14" t="n">
        <v>0</v>
      </c>
      <c r="D51" s="14" t="n">
        <v>0</v>
      </c>
      <c r="E51" s="14" t="n">
        <v>-2278911.93</v>
      </c>
      <c r="F51" s="14" t="n">
        <v>4.656612873077393e-10</v>
      </c>
      <c r="G51" s="14" t="n">
        <v>-0.9499999999788997</v>
      </c>
      <c r="H51" s="14" t="n">
        <v>-102916.39</v>
      </c>
      <c r="I51" s="14" t="n">
        <v>-7232.549999999999</v>
      </c>
      <c r="J51" s="14" t="n">
        <v>-1007.23000000001</v>
      </c>
      <c r="K51" s="14" t="n">
        <v>-40443.91999999999</v>
      </c>
      <c r="L51" s="14" t="n">
        <v>180467.65</v>
      </c>
      <c r="M51" s="14" t="n">
        <v>0</v>
      </c>
      <c r="N51" s="14" t="n">
        <v>-262746.74</v>
      </c>
      <c r="O51" s="14" t="n">
        <v>0</v>
      </c>
      <c r="P51" s="14" t="n">
        <v>-1697615.24</v>
      </c>
      <c r="Q51" s="14" t="n">
        <v>0</v>
      </c>
      <c r="R51" s="14" t="n">
        <v>-1548200</v>
      </c>
      <c r="S51" s="14" t="n">
        <v>347500</v>
      </c>
      <c r="T51" s="14" t="n">
        <v>0</v>
      </c>
      <c r="U51" s="14" t="n">
        <v>3431600</v>
      </c>
      <c r="V51" s="18">
        <f>SUM(C51:U51)</f>
        <v/>
      </c>
      <c r="W51" s="19">
        <f>ROUND(B51-V51,4)</f>
        <v/>
      </c>
    </row>
    <row r="52">
      <c r="A52" s="8" t="inlineStr">
        <is>
          <t>Иссык Вояж</t>
        </is>
      </c>
      <c r="B52" s="14" t="n">
        <v>-149923.3700000001</v>
      </c>
      <c r="C52" s="14" t="n">
        <v>-107659.1900000001</v>
      </c>
      <c r="D52" s="14" t="n">
        <v>0</v>
      </c>
      <c r="E52" s="14" t="n">
        <v>0</v>
      </c>
      <c r="F52" s="14" t="n">
        <v>1.746229827404022e-10</v>
      </c>
      <c r="G52" s="14" t="n">
        <v>7.275957614183426e-12</v>
      </c>
      <c r="H52" s="14" t="n">
        <v>10000</v>
      </c>
      <c r="I52" s="14" t="n">
        <v>-270.179999999993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-51994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8">
        <f>SUM(C52:U52)</f>
        <v/>
      </c>
      <c r="W52" s="19">
        <f>ROUND(B52-V52,4)</f>
        <v/>
      </c>
    </row>
    <row r="53">
      <c r="A53" s="8" t="inlineStr">
        <is>
          <t>КУТ ЭЙР</t>
        </is>
      </c>
      <c r="B53" s="14" t="n">
        <v>-973150.6200000002</v>
      </c>
      <c r="C53" s="14" t="n">
        <v>350463.58</v>
      </c>
      <c r="D53" s="14" t="n">
        <v>0</v>
      </c>
      <c r="E53" s="14" t="n">
        <v>0</v>
      </c>
      <c r="F53" s="14" t="n">
        <v>-5.820766091346741e-11</v>
      </c>
      <c r="G53" s="14" t="n">
        <v>2.546585164964199e-11</v>
      </c>
      <c r="H53" s="14" t="n">
        <v>8955.589999999997</v>
      </c>
      <c r="I53" s="14" t="n">
        <v>-1000</v>
      </c>
      <c r="J53" s="14" t="n">
        <v>3903.32</v>
      </c>
      <c r="K53" s="14" t="n">
        <v>0</v>
      </c>
      <c r="L53" s="14" t="n">
        <v>0</v>
      </c>
      <c r="M53" s="14" t="n">
        <v>0</v>
      </c>
      <c r="N53" s="14" t="n">
        <v>-67573.11</v>
      </c>
      <c r="O53" s="14" t="n">
        <v>0</v>
      </c>
      <c r="P53" s="14" t="n">
        <v>0</v>
      </c>
      <c r="Q53" s="14" t="n">
        <v>0</v>
      </c>
      <c r="R53" s="14" t="n">
        <v>-1267900</v>
      </c>
      <c r="S53" s="14" t="n">
        <v>0</v>
      </c>
      <c r="T53" s="14" t="n">
        <v>0</v>
      </c>
      <c r="U53" s="14" t="n">
        <v>0</v>
      </c>
      <c r="V53" s="18">
        <f>SUM(C53:U53)</f>
        <v/>
      </c>
      <c r="W53" s="19">
        <f>ROUND(B53-V53,4)</f>
        <v/>
      </c>
    </row>
    <row r="54">
      <c r="A54" s="8" t="inlineStr">
        <is>
          <t>Кадырова Айнура Жумабекевна</t>
        </is>
      </c>
      <c r="B54" s="14" t="n">
        <v>-1954142.91</v>
      </c>
      <c r="C54" s="14" t="n">
        <v>0</v>
      </c>
      <c r="D54" s="14" t="n">
        <v>-27500</v>
      </c>
      <c r="E54" s="14" t="n">
        <v>0</v>
      </c>
      <c r="F54" s="14" t="n">
        <v>-4.074536263942719e-10</v>
      </c>
      <c r="G54" s="14" t="n">
        <v>0.4999999999345164</v>
      </c>
      <c r="H54" s="14" t="n">
        <v>1817.030000000001</v>
      </c>
      <c r="I54" s="14" t="n">
        <v>85.54999999999927</v>
      </c>
      <c r="J54" s="14" t="n">
        <v>160.6800000000003</v>
      </c>
      <c r="K54" s="14" t="n">
        <v>0</v>
      </c>
      <c r="L54" s="14" t="n">
        <v>76376.72</v>
      </c>
      <c r="M54" s="14" t="n">
        <v>0</v>
      </c>
      <c r="N54" s="14" t="n">
        <v>-235883.39</v>
      </c>
      <c r="O54" s="14" t="n">
        <v>0</v>
      </c>
      <c r="P54" s="14" t="n">
        <v>0</v>
      </c>
      <c r="Q54" s="14" t="n">
        <v>0</v>
      </c>
      <c r="R54" s="14" t="n">
        <v>-1769200</v>
      </c>
      <c r="S54" s="14" t="n">
        <v>0</v>
      </c>
      <c r="T54" s="14" t="n">
        <v>0</v>
      </c>
      <c r="U54" s="14" t="n">
        <v>0</v>
      </c>
      <c r="V54" s="18">
        <f>SUM(C54:U54)</f>
        <v/>
      </c>
      <c r="W54" s="19">
        <f>ROUND(B54-V54,4)</f>
        <v/>
      </c>
    </row>
    <row r="55">
      <c r="A55" s="8" t="inlineStr">
        <is>
          <t>Кенешова Чолпон Таалайовна</t>
        </is>
      </c>
      <c r="B55" s="14" t="n">
        <v>-329379.6299999999</v>
      </c>
      <c r="C55" s="14" t="n">
        <v>0</v>
      </c>
      <c r="D55" s="14" t="n">
        <v>0</v>
      </c>
      <c r="E55" s="14" t="n">
        <v>0</v>
      </c>
      <c r="F55" s="14" t="n">
        <v>1.164153218269348e-10</v>
      </c>
      <c r="G55" s="14" t="n">
        <v>1.818989403545856e-11</v>
      </c>
      <c r="H55" s="14" t="n">
        <v>-44999.99999999999</v>
      </c>
      <c r="I55" s="14" t="n">
        <v>5041.619999999995</v>
      </c>
      <c r="J55" s="14" t="n">
        <v>-357.7100000000028</v>
      </c>
      <c r="K55" s="14" t="n">
        <v>0</v>
      </c>
      <c r="L55" s="14" t="n">
        <v>116129.76</v>
      </c>
      <c r="M55" s="14" t="n">
        <v>0</v>
      </c>
      <c r="N55" s="14" t="n">
        <v>-161693.3</v>
      </c>
      <c r="O55" s="14" t="n">
        <v>0</v>
      </c>
      <c r="P55" s="14" t="n">
        <v>0</v>
      </c>
      <c r="Q55" s="14" t="n">
        <v>0</v>
      </c>
      <c r="R55" s="14" t="n">
        <v>-243500</v>
      </c>
      <c r="S55" s="14" t="n">
        <v>0</v>
      </c>
      <c r="T55" s="14" t="n">
        <v>0</v>
      </c>
      <c r="U55" s="14" t="n">
        <v>0</v>
      </c>
      <c r="V55" s="18">
        <f>SUM(C55:U55)</f>
        <v/>
      </c>
      <c r="W55" s="19">
        <f>ROUND(B55-V55,4)</f>
        <v/>
      </c>
    </row>
    <row r="56">
      <c r="A56" s="8" t="inlineStr">
        <is>
          <t>МУРАС ТРИП</t>
        </is>
      </c>
      <c r="B56" s="14" t="n">
        <v>-3218410.209999999</v>
      </c>
      <c r="C56" s="14" t="n">
        <v>-2130878.82</v>
      </c>
      <c r="D56" s="14" t="n">
        <v>0</v>
      </c>
      <c r="E56" s="14" t="n">
        <v>594458.3100000001</v>
      </c>
      <c r="F56" s="14" t="n">
        <v>1.455191522836685e-10</v>
      </c>
      <c r="G56" s="14" t="n">
        <v>1.455191522836685e-11</v>
      </c>
      <c r="H56" s="14" t="n">
        <v>-86403.89999999999</v>
      </c>
      <c r="I56" s="14" t="n">
        <v>-3836.12000000001</v>
      </c>
      <c r="J56" s="14" t="n">
        <v>11379.8</v>
      </c>
      <c r="K56" s="14" t="n">
        <v>-19358.53</v>
      </c>
      <c r="L56" s="14" t="n">
        <v>0</v>
      </c>
      <c r="M56" s="14" t="n">
        <v>0</v>
      </c>
      <c r="N56" s="14" t="n">
        <v>-72080.34</v>
      </c>
      <c r="O56" s="14" t="n">
        <v>0</v>
      </c>
      <c r="P56" s="14" t="n">
        <v>-780890.6100000001</v>
      </c>
      <c r="Q56" s="14" t="n">
        <v>0</v>
      </c>
      <c r="R56" s="14" t="n">
        <v>-896100</v>
      </c>
      <c r="S56" s="14" t="n">
        <v>0</v>
      </c>
      <c r="T56" s="14" t="n">
        <v>0</v>
      </c>
      <c r="U56" s="14" t="n">
        <v>165300</v>
      </c>
      <c r="V56" s="18">
        <f>SUM(C56:U56)</f>
        <v/>
      </c>
      <c r="W56" s="19">
        <f>ROUND(B56-V56,4)</f>
        <v/>
      </c>
    </row>
    <row r="57">
      <c r="A57" s="8" t="inlineStr">
        <is>
          <t>Мамбет уулу Чынгыз</t>
        </is>
      </c>
      <c r="B57" s="14" t="n">
        <v>72497.73999999982</v>
      </c>
      <c r="C57" s="14" t="n">
        <v>114616.29</v>
      </c>
      <c r="D57" s="14" t="n">
        <v>0</v>
      </c>
      <c r="E57" s="14" t="n">
        <v>0</v>
      </c>
      <c r="F57" s="14" t="n">
        <v>5.820766091346741e-11</v>
      </c>
      <c r="G57" s="14" t="n">
        <v>1.455191522836685e-11</v>
      </c>
      <c r="H57" s="14" t="n">
        <v>5155.489999999998</v>
      </c>
      <c r="I57" s="14" t="n">
        <v>-47373.27999999999</v>
      </c>
      <c r="J57" s="14" t="n">
        <v>99.23999999999796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8">
        <f>SUM(C57:U57)</f>
        <v/>
      </c>
      <c r="W57" s="19">
        <f>ROUND(B57-V57,4)</f>
        <v/>
      </c>
    </row>
    <row r="58">
      <c r="A58" s="8" t="inlineStr">
        <is>
          <t>Манас Вояж</t>
        </is>
      </c>
      <c r="B58" s="14" t="n">
        <v>-148790.6999999999</v>
      </c>
      <c r="C58" s="14" t="n">
        <v>0</v>
      </c>
      <c r="D58" s="14" t="n">
        <v>0</v>
      </c>
      <c r="E58" s="14" t="n">
        <v>0</v>
      </c>
      <c r="F58" s="14" t="n">
        <v>8.36735125631094e-11</v>
      </c>
      <c r="G58" s="14" t="n">
        <v>1.455191522836685e-11</v>
      </c>
      <c r="H58" s="14" t="n">
        <v>-3055.820000000003</v>
      </c>
      <c r="I58" s="14" t="n">
        <v>8178.209999999992</v>
      </c>
      <c r="J58" s="14" t="n">
        <v>4397.520000000019</v>
      </c>
      <c r="K58" s="14" t="n">
        <v>0</v>
      </c>
      <c r="L58" s="14" t="n">
        <v>0</v>
      </c>
      <c r="M58" s="14" t="n">
        <v>0</v>
      </c>
      <c r="N58" s="14" t="n">
        <v>-158310.61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8">
        <f>SUM(C58:U58)</f>
        <v/>
      </c>
      <c r="W58" s="19">
        <f>ROUND(B58-V58,4)</f>
        <v/>
      </c>
    </row>
    <row r="59">
      <c r="A59" s="8" t="inlineStr">
        <is>
          <t>Манас Тревел</t>
        </is>
      </c>
      <c r="B59" s="14" t="n">
        <v>727989.0099999999</v>
      </c>
      <c r="C59" s="14" t="n">
        <v>1737199.16</v>
      </c>
      <c r="D59" s="14" t="n">
        <v>0</v>
      </c>
      <c r="E59" s="14" t="n">
        <v>0</v>
      </c>
      <c r="F59" s="14" t="n">
        <v>2.91038304567337e-11</v>
      </c>
      <c r="G59" s="14" t="n">
        <v>-0.04999999996653059</v>
      </c>
      <c r="H59" s="14" t="n">
        <v>-66559.89999999999</v>
      </c>
      <c r="I59" s="14" t="n">
        <v>-14803.84</v>
      </c>
      <c r="J59" s="14" t="n">
        <v>1626.629999999999</v>
      </c>
      <c r="K59" s="14" t="n">
        <v>0</v>
      </c>
      <c r="L59" s="14" t="n">
        <v>218498.58</v>
      </c>
      <c r="M59" s="14" t="n">
        <v>0</v>
      </c>
      <c r="N59" s="14" t="n">
        <v>-454971.57</v>
      </c>
      <c r="O59" s="14" t="n">
        <v>0</v>
      </c>
      <c r="P59" s="14" t="n">
        <v>0</v>
      </c>
      <c r="Q59" s="14" t="n">
        <v>0</v>
      </c>
      <c r="R59" s="14" t="n">
        <v>-693000</v>
      </c>
      <c r="S59" s="14" t="n">
        <v>0</v>
      </c>
      <c r="T59" s="14" t="n">
        <v>0</v>
      </c>
      <c r="U59" s="14" t="n">
        <v>0</v>
      </c>
      <c r="V59" s="18">
        <f>SUM(C59:U59)</f>
        <v/>
      </c>
      <c r="W59" s="19">
        <f>ROUND(B59-V59,4)</f>
        <v/>
      </c>
    </row>
    <row r="60">
      <c r="A60" s="8" t="inlineStr">
        <is>
          <t>Манас Тур</t>
        </is>
      </c>
      <c r="B60" s="14" t="n">
        <v>-507459.8599999999</v>
      </c>
      <c r="C60" s="14" t="n">
        <v>195994.52</v>
      </c>
      <c r="D60" s="14" t="n">
        <v>0</v>
      </c>
      <c r="E60" s="14" t="n">
        <v>0</v>
      </c>
      <c r="F60" s="14" t="n">
        <v>-2.328306436538696e-10</v>
      </c>
      <c r="G60" s="14" t="n">
        <v>-7.275957614183426e-12</v>
      </c>
      <c r="H60" s="14" t="n">
        <v>36450</v>
      </c>
      <c r="I60" s="14" t="n">
        <v>745.2999999999993</v>
      </c>
      <c r="J60" s="14" t="n">
        <v>-217.3600000000006</v>
      </c>
      <c r="K60" s="14" t="n">
        <v>0</v>
      </c>
      <c r="L60" s="14" t="n">
        <v>0</v>
      </c>
      <c r="M60" s="14" t="n">
        <v>0</v>
      </c>
      <c r="N60" s="14" t="n">
        <v>-133032.32</v>
      </c>
      <c r="O60" s="14" t="n">
        <v>0</v>
      </c>
      <c r="P60" s="14" t="n">
        <v>0</v>
      </c>
      <c r="Q60" s="14" t="n">
        <v>0</v>
      </c>
      <c r="R60" s="14" t="n">
        <v>-607400</v>
      </c>
      <c r="S60" s="14" t="n">
        <v>0</v>
      </c>
      <c r="T60" s="14" t="n">
        <v>0</v>
      </c>
      <c r="U60" s="14" t="n">
        <v>0</v>
      </c>
      <c r="V60" s="18">
        <f>SUM(C60:U60)</f>
        <v/>
      </c>
      <c r="W60" s="19">
        <f>ROUND(B60-V60,4)</f>
        <v/>
      </c>
    </row>
    <row r="61">
      <c r="A61" s="8" t="inlineStr">
        <is>
          <t>Манас Туризм</t>
        </is>
      </c>
      <c r="B61" s="14" t="n">
        <v>-297776.3200000001</v>
      </c>
      <c r="C61" s="14" t="n">
        <v>0</v>
      </c>
      <c r="D61" s="14" t="n">
        <v>0</v>
      </c>
      <c r="E61" s="14" t="n">
        <v>121532.45</v>
      </c>
      <c r="F61" s="14" t="n">
        <v>2.91038304567337e-11</v>
      </c>
      <c r="G61" s="14" t="n">
        <v>0</v>
      </c>
      <c r="H61" s="14" t="n">
        <v>-35999.99999999999</v>
      </c>
      <c r="I61" s="14" t="n">
        <v>0</v>
      </c>
      <c r="J61" s="14" t="n">
        <v>15717.82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-623226.59</v>
      </c>
      <c r="Q61" s="14" t="n">
        <v>0</v>
      </c>
      <c r="R61" s="14" t="n">
        <v>-234600</v>
      </c>
      <c r="S61" s="14" t="n">
        <v>0</v>
      </c>
      <c r="T61" s="14" t="n">
        <v>0</v>
      </c>
      <c r="U61" s="14" t="n">
        <v>458800</v>
      </c>
      <c r="V61" s="18">
        <f>SUM(C61:U61)</f>
        <v/>
      </c>
      <c r="W61" s="19">
        <f>ROUND(B61-V61,4)</f>
        <v/>
      </c>
    </row>
    <row r="62">
      <c r="A62" s="8" t="inlineStr">
        <is>
          <t>Небо Авиа</t>
        </is>
      </c>
      <c r="B62" s="14" t="n">
        <v>-54046.81999999995</v>
      </c>
      <c r="C62" s="14" t="n">
        <v>-53386.52000000002</v>
      </c>
      <c r="D62" s="14" t="n">
        <v>0</v>
      </c>
      <c r="E62" s="14" t="n">
        <v>0</v>
      </c>
      <c r="F62" s="14" t="n">
        <v>0</v>
      </c>
      <c r="G62" s="14" t="n">
        <v>-2.91038304567337e-11</v>
      </c>
      <c r="H62" s="14" t="n">
        <v>0</v>
      </c>
      <c r="I62" s="14" t="n">
        <v>0</v>
      </c>
      <c r="J62" s="14" t="n">
        <v>-660.2999999999993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8">
        <f>SUM(C62:U62)</f>
        <v/>
      </c>
      <c r="W62" s="19">
        <f>ROUND(B62-V62,4)</f>
        <v/>
      </c>
    </row>
    <row r="63">
      <c r="A63" s="8" t="inlineStr">
        <is>
          <t>Ниязбеков Кубат Таалайевич</t>
        </is>
      </c>
      <c r="B63" s="14" t="n">
        <v>-429168.52</v>
      </c>
      <c r="C63" s="14" t="n">
        <v>-411896.58</v>
      </c>
      <c r="D63" s="14" t="n">
        <v>0</v>
      </c>
      <c r="E63" s="14" t="n">
        <v>0</v>
      </c>
      <c r="F63" s="14" t="n">
        <v>5.275069270282984e-11</v>
      </c>
      <c r="G63" s="14" t="n">
        <v>0</v>
      </c>
      <c r="H63" s="14" t="n">
        <v>1591</v>
      </c>
      <c r="I63" s="14" t="n">
        <v>0</v>
      </c>
      <c r="J63" s="14" t="n">
        <v>13.16999999999825</v>
      </c>
      <c r="K63" s="14" t="n">
        <v>0</v>
      </c>
      <c r="L63" s="14" t="n">
        <v>0</v>
      </c>
      <c r="M63" s="14" t="n">
        <v>0</v>
      </c>
      <c r="N63" s="14" t="n">
        <v>-18876.11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8">
        <f>SUM(C63:U63)</f>
        <v/>
      </c>
      <c r="W63" s="19">
        <f>ROUND(B63-V63,4)</f>
        <v/>
      </c>
    </row>
    <row r="64">
      <c r="A64" s="8" t="inlineStr">
        <is>
          <t>Ниязбекова Асель Сатаровна</t>
        </is>
      </c>
      <c r="B64" s="14" t="n">
        <v>-61104.43000000004</v>
      </c>
      <c r="C64" s="14" t="n">
        <v>0</v>
      </c>
      <c r="D64" s="14" t="n">
        <v>0</v>
      </c>
      <c r="E64" s="14" t="n">
        <v>0</v>
      </c>
      <c r="F64" s="14" t="n">
        <v>8.003553375601768e-11</v>
      </c>
      <c r="G64" s="14" t="n">
        <v>-2.25</v>
      </c>
      <c r="H64" s="14" t="n">
        <v>8476.059999999998</v>
      </c>
      <c r="I64" s="14" t="n">
        <v>0</v>
      </c>
      <c r="J64" s="14" t="n">
        <v>6080.449999999997</v>
      </c>
      <c r="K64" s="14" t="n">
        <v>-32254.68999999999</v>
      </c>
      <c r="L64" s="14" t="n">
        <v>0</v>
      </c>
      <c r="M64" s="14" t="n">
        <v>0</v>
      </c>
      <c r="N64" s="14" t="n">
        <v>-43404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8">
        <f>SUM(C64:U64)</f>
        <v/>
      </c>
      <c r="W64" s="19">
        <f>ROUND(B64-V64,4)</f>
        <v/>
      </c>
    </row>
    <row r="65">
      <c r="A65" s="8" t="inlineStr">
        <is>
          <t>ОсОО Ала-Арча Авиа</t>
        </is>
      </c>
      <c r="B65" s="14" t="n">
        <v>3072665.39</v>
      </c>
      <c r="C65" s="14" t="n">
        <v>3582785.68</v>
      </c>
      <c r="D65" s="14" t="n">
        <v>0</v>
      </c>
      <c r="E65" s="14" t="n">
        <v>0</v>
      </c>
      <c r="F65" s="14" t="n">
        <v>-5.093170329928398e-11</v>
      </c>
      <c r="G65" s="14" t="n">
        <v>2.91038304567337e-11</v>
      </c>
      <c r="H65" s="14" t="n">
        <v>0</v>
      </c>
      <c r="I65" s="14" t="n">
        <v>0</v>
      </c>
      <c r="J65" s="14" t="n">
        <v>2253.260000000002</v>
      </c>
      <c r="K65" s="14" t="n">
        <v>0</v>
      </c>
      <c r="L65" s="14" t="n">
        <v>22566.6</v>
      </c>
      <c r="M65" s="14" t="n">
        <v>0</v>
      </c>
      <c r="N65" s="14" t="n">
        <v>-88040.14999999999</v>
      </c>
      <c r="O65" s="14" t="n">
        <v>0</v>
      </c>
      <c r="P65" s="14" t="n">
        <v>0</v>
      </c>
      <c r="Q65" s="14" t="n">
        <v>0</v>
      </c>
      <c r="R65" s="14" t="n">
        <v>-446900</v>
      </c>
      <c r="S65" s="14" t="n">
        <v>0</v>
      </c>
      <c r="T65" s="14" t="n">
        <v>0</v>
      </c>
      <c r="U65" s="14" t="n">
        <v>0</v>
      </c>
      <c r="V65" s="18">
        <f>SUM(C65:U65)</f>
        <v/>
      </c>
      <c r="W65" s="19">
        <f>ROUND(B65-V65,4)</f>
        <v/>
      </c>
    </row>
    <row r="66">
      <c r="A66" s="8" t="inlineStr">
        <is>
          <t>ОсОО Ала-Арча Трип</t>
        </is>
      </c>
      <c r="B66" s="14" t="n">
        <v>119617.25</v>
      </c>
      <c r="C66" s="14" t="n">
        <v>0</v>
      </c>
      <c r="D66" s="14" t="n">
        <v>283308.99</v>
      </c>
      <c r="E66" s="14" t="n">
        <v>0</v>
      </c>
      <c r="F66" s="14" t="n">
        <v>6.548361852765083e-11</v>
      </c>
      <c r="G66" s="14" t="n">
        <v>1.455191522836685e-11</v>
      </c>
      <c r="H66" s="14" t="n">
        <v>2479.029999999999</v>
      </c>
      <c r="I66" s="14" t="n">
        <v>-10000</v>
      </c>
      <c r="J66" s="14" t="n">
        <v>29.22999999999956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-156200</v>
      </c>
      <c r="S66" s="14" t="n">
        <v>0</v>
      </c>
      <c r="T66" s="14" t="n">
        <v>0</v>
      </c>
      <c r="U66" s="14" t="n">
        <v>0</v>
      </c>
      <c r="V66" s="18">
        <f>SUM(C66:U66)</f>
        <v/>
      </c>
      <c r="W66" s="19">
        <f>ROUND(B66-V66,4)</f>
        <v/>
      </c>
    </row>
    <row r="67">
      <c r="A67" s="8" t="inlineStr">
        <is>
          <t>ОсОО Ала-Тоо Эйр</t>
        </is>
      </c>
      <c r="B67" s="14" t="n">
        <v>-1271085.93</v>
      </c>
      <c r="C67" s="14" t="n">
        <v>-1194328.23</v>
      </c>
      <c r="D67" s="14" t="n">
        <v>-283308.99</v>
      </c>
      <c r="E67" s="14" t="n">
        <v>0</v>
      </c>
      <c r="F67" s="14" t="n">
        <v>1.600710675120354e-10</v>
      </c>
      <c r="G67" s="14" t="n">
        <v>-1.455191522836685e-11</v>
      </c>
      <c r="H67" s="14" t="n">
        <v>1025.1</v>
      </c>
      <c r="I67" s="14" t="n">
        <v>-347.8100000000031</v>
      </c>
      <c r="J67" s="14" t="n">
        <v>-68</v>
      </c>
      <c r="K67" s="14" t="n">
        <v>0</v>
      </c>
      <c r="L67" s="14" t="n">
        <v>17142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188800</v>
      </c>
      <c r="T67" s="14" t="n">
        <v>0</v>
      </c>
      <c r="U67" s="14" t="n">
        <v>0</v>
      </c>
      <c r="V67" s="18">
        <f>SUM(C67:U67)</f>
        <v/>
      </c>
      <c r="W67" s="19">
        <f>ROUND(B67-V67,4)</f>
        <v/>
      </c>
    </row>
    <row r="68">
      <c r="A68" s="8" t="inlineStr">
        <is>
          <t>ОсОО Алтын Эйр</t>
        </is>
      </c>
      <c r="B68" s="14" t="n">
        <v>-1047879.49</v>
      </c>
      <c r="C68" s="14" t="n">
        <v>0</v>
      </c>
      <c r="D68" s="14" t="n">
        <v>0</v>
      </c>
      <c r="E68" s="14" t="n">
        <v>0</v>
      </c>
      <c r="F68" s="14" t="n">
        <v>-3.492459654808044e-10</v>
      </c>
      <c r="G68" s="14" t="n">
        <v>2.91038304567337e-11</v>
      </c>
      <c r="H68" s="14" t="n">
        <v>-1252.440000000002</v>
      </c>
      <c r="I68" s="14" t="n">
        <v>-10000</v>
      </c>
      <c r="J68" s="14" t="n">
        <v>-2337.830000000005</v>
      </c>
      <c r="K68" s="14" t="n">
        <v>0</v>
      </c>
      <c r="L68" s="14" t="n">
        <v>0</v>
      </c>
      <c r="M68" s="14" t="n">
        <v>0</v>
      </c>
      <c r="N68" s="14" t="n">
        <v>-67289.22</v>
      </c>
      <c r="O68" s="14" t="n">
        <v>0</v>
      </c>
      <c r="P68" s="14" t="n">
        <v>0</v>
      </c>
      <c r="Q68" s="14" t="n">
        <v>0</v>
      </c>
      <c r="R68" s="14" t="n">
        <v>-967000</v>
      </c>
      <c r="S68" s="14" t="n">
        <v>0</v>
      </c>
      <c r="T68" s="14" t="n">
        <v>0</v>
      </c>
      <c r="U68" s="14" t="n">
        <v>0</v>
      </c>
      <c r="V68" s="18">
        <f>SUM(C68:U68)</f>
        <v/>
      </c>
      <c r="W68" s="19">
        <f>ROUND(B68-V68,4)</f>
        <v/>
      </c>
    </row>
    <row r="69">
      <c r="A69" s="8" t="inlineStr">
        <is>
          <t>ОсОО Иссык Тур</t>
        </is>
      </c>
      <c r="B69" s="14" t="n">
        <v>-605052.8499999999</v>
      </c>
      <c r="C69" s="14" t="n">
        <v>-149434.14</v>
      </c>
      <c r="D69" s="14" t="n">
        <v>0</v>
      </c>
      <c r="E69" s="14" t="n">
        <v>0</v>
      </c>
      <c r="F69" s="14" t="n">
        <v>2.255546860396862e-10</v>
      </c>
      <c r="G69" s="14" t="n">
        <v>-3.399999999990541</v>
      </c>
      <c r="H69" s="14" t="n">
        <v>10000</v>
      </c>
      <c r="I69" s="14" t="n">
        <v>542.2200000000012</v>
      </c>
      <c r="J69" s="14" t="n">
        <v>-2492.050000000007</v>
      </c>
      <c r="K69" s="14" t="n">
        <v>-25311.5</v>
      </c>
      <c r="L69" s="14" t="n">
        <v>27212.42</v>
      </c>
      <c r="M69" s="14" t="n">
        <v>0</v>
      </c>
      <c r="N69" s="14" t="n">
        <v>-36366.4</v>
      </c>
      <c r="O69" s="14" t="n">
        <v>0</v>
      </c>
      <c r="P69" s="14" t="n">
        <v>0</v>
      </c>
      <c r="Q69" s="14" t="n">
        <v>0</v>
      </c>
      <c r="R69" s="14" t="n">
        <v>-748500</v>
      </c>
      <c r="S69" s="14" t="n">
        <v>319300</v>
      </c>
      <c r="T69" s="14" t="n">
        <v>0</v>
      </c>
      <c r="U69" s="14" t="n">
        <v>0</v>
      </c>
      <c r="V69" s="18">
        <f>SUM(C69:U69)</f>
        <v/>
      </c>
      <c r="W69" s="19">
        <f>ROUND(B69-V69,4)</f>
        <v/>
      </c>
    </row>
    <row r="70">
      <c r="A70" s="8" t="inlineStr">
        <is>
          <t>ОсОО Кара-Кол Трип</t>
        </is>
      </c>
      <c r="B70" s="14" t="n">
        <v>160339.0600000003</v>
      </c>
      <c r="C70" s="14" t="n">
        <v>278432.52</v>
      </c>
      <c r="D70" s="14" t="n">
        <v>0</v>
      </c>
      <c r="E70" s="14" t="n">
        <v>0</v>
      </c>
      <c r="F70" s="14" t="n">
        <v>-1.455191522836685e-10</v>
      </c>
      <c r="G70" s="14" t="n">
        <v>7.275957614183426e-12</v>
      </c>
      <c r="H70" s="14" t="n">
        <v>0</v>
      </c>
      <c r="I70" s="14" t="n">
        <v>557.3199999999997</v>
      </c>
      <c r="J70" s="14" t="n">
        <v>2610.500000000007</v>
      </c>
      <c r="K70" s="14" t="n">
        <v>0</v>
      </c>
      <c r="L70" s="14" t="n">
        <v>0</v>
      </c>
      <c r="M70" s="14" t="n">
        <v>0</v>
      </c>
      <c r="N70" s="14" t="n">
        <v>-121261.28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8">
        <f>SUM(C70:U70)</f>
        <v/>
      </c>
      <c r="W70" s="19">
        <f>ROUND(B70-V70,4)</f>
        <v/>
      </c>
    </row>
    <row r="71">
      <c r="A71" s="8" t="inlineStr">
        <is>
          <t>ОсОО Кок-Жайык Вояж</t>
        </is>
      </c>
      <c r="B71" s="14" t="n">
        <v>-250963.79</v>
      </c>
      <c r="C71" s="14" t="n">
        <v>0</v>
      </c>
      <c r="D71" s="14" t="n">
        <v>0</v>
      </c>
      <c r="E71" s="14" t="n">
        <v>0</v>
      </c>
      <c r="F71" s="14" t="n">
        <v>-8.731149137020111e-11</v>
      </c>
      <c r="G71" s="14" t="n">
        <v>-3.94999999996071</v>
      </c>
      <c r="H71" s="14" t="n">
        <v>0</v>
      </c>
      <c r="I71" s="14" t="n">
        <v>-108098.53</v>
      </c>
      <c r="J71" s="14" t="n">
        <v>192.3199999999997</v>
      </c>
      <c r="K71" s="14" t="n">
        <v>0</v>
      </c>
      <c r="L71" s="14" t="n">
        <v>96923.2</v>
      </c>
      <c r="M71" s="14" t="n">
        <v>0</v>
      </c>
      <c r="N71" s="14" t="n">
        <v>-94176.83</v>
      </c>
      <c r="O71" s="14" t="n">
        <v>0</v>
      </c>
      <c r="P71" s="14" t="n">
        <v>0</v>
      </c>
      <c r="Q71" s="14" t="n">
        <v>0</v>
      </c>
      <c r="R71" s="14" t="n">
        <v>-145800</v>
      </c>
      <c r="S71" s="14" t="n">
        <v>0</v>
      </c>
      <c r="T71" s="14" t="n">
        <v>0</v>
      </c>
      <c r="U71" s="14" t="n">
        <v>0</v>
      </c>
      <c r="V71" s="18">
        <f>SUM(C71:U71)</f>
        <v/>
      </c>
      <c r="W71" s="19">
        <f>ROUND(B71-V71,4)</f>
        <v/>
      </c>
    </row>
    <row r="72">
      <c r="A72" s="8" t="inlineStr">
        <is>
          <t>ОсОО Кок-Жайык Лайн</t>
        </is>
      </c>
      <c r="B72" s="14" t="n">
        <v>-472618.6199999999</v>
      </c>
      <c r="C72" s="14" t="n">
        <v>0</v>
      </c>
      <c r="D72" s="14" t="n">
        <v>0</v>
      </c>
      <c r="E72" s="14" t="n">
        <v>0</v>
      </c>
      <c r="F72" s="14" t="n">
        <v>1.382431946694851e-10</v>
      </c>
      <c r="G72" s="14" t="n">
        <v>-1.818989403545856e-11</v>
      </c>
      <c r="H72" s="14" t="n">
        <v>-1781.619999999999</v>
      </c>
      <c r="I72" s="14" t="n">
        <v>-16517.2</v>
      </c>
      <c r="J72" s="14" t="n">
        <v>10322.12</v>
      </c>
      <c r="K72" s="14" t="n">
        <v>-27317.92</v>
      </c>
      <c r="L72" s="14" t="n">
        <v>0</v>
      </c>
      <c r="M72" s="14" t="n">
        <v>0</v>
      </c>
      <c r="N72" s="14" t="n">
        <v>-44424</v>
      </c>
      <c r="O72" s="14" t="n">
        <v>0</v>
      </c>
      <c r="P72" s="14" t="n">
        <v>0</v>
      </c>
      <c r="Q72" s="14" t="n">
        <v>0</v>
      </c>
      <c r="R72" s="14" t="n">
        <v>-392900</v>
      </c>
      <c r="S72" s="14" t="n">
        <v>0</v>
      </c>
      <c r="T72" s="14" t="n">
        <v>0</v>
      </c>
      <c r="U72" s="14" t="n">
        <v>0</v>
      </c>
      <c r="V72" s="18">
        <f>SUM(C72:U72)</f>
        <v/>
      </c>
      <c r="W72" s="19">
        <f>ROUND(B72-V72,4)</f>
        <v/>
      </c>
    </row>
    <row r="73">
      <c r="A73" s="8" t="inlineStr">
        <is>
          <t>ОсОО Тянь-Шань Вояж</t>
        </is>
      </c>
      <c r="B73" s="14" t="n">
        <v>-3913364.38</v>
      </c>
      <c r="C73" s="14" t="n">
        <v>-3914150.59</v>
      </c>
      <c r="D73" s="14" t="n">
        <v>0</v>
      </c>
      <c r="E73" s="14" t="n">
        <v>0</v>
      </c>
      <c r="F73" s="14" t="n">
        <v>-1.164153218269348e-10</v>
      </c>
      <c r="G73" s="14" t="n">
        <v>7.275957614183426e-12</v>
      </c>
      <c r="H73" s="14" t="n">
        <v>19000</v>
      </c>
      <c r="I73" s="14" t="n">
        <v>-18213.79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8">
        <f>SUM(C73:U73)</f>
        <v/>
      </c>
      <c r="W73" s="19">
        <f>ROUND(B73-V73,4)</f>
        <v/>
      </c>
    </row>
    <row r="74">
      <c r="A74" s="8" t="inlineStr">
        <is>
          <t>ОсОО Чолпон Авиакасса</t>
        </is>
      </c>
      <c r="B74" s="14" t="n">
        <v>-652894.1999999997</v>
      </c>
      <c r="C74" s="14" t="n">
        <v>0</v>
      </c>
      <c r="D74" s="14" t="n">
        <v>-4800</v>
      </c>
      <c r="E74" s="14" t="n">
        <v>0</v>
      </c>
      <c r="F74" s="14" t="n">
        <v>-8.731149137020111e-11</v>
      </c>
      <c r="G74" s="14" t="n">
        <v>1.818989403545856e-11</v>
      </c>
      <c r="H74" s="14" t="n">
        <v>-4369.899999999994</v>
      </c>
      <c r="I74" s="14" t="n">
        <v>2489.000000000002</v>
      </c>
      <c r="J74" s="14" t="n">
        <v>-19376.86000000002</v>
      </c>
      <c r="K74" s="14" t="n">
        <v>-24443</v>
      </c>
      <c r="L74" s="14" t="n">
        <v>0</v>
      </c>
      <c r="M74" s="14" t="n">
        <v>0</v>
      </c>
      <c r="N74" s="14" t="n">
        <v>-52193.44</v>
      </c>
      <c r="O74" s="14" t="n">
        <v>0</v>
      </c>
      <c r="P74" s="14" t="n">
        <v>0</v>
      </c>
      <c r="Q74" s="14" t="n">
        <v>0</v>
      </c>
      <c r="R74" s="14" t="n">
        <v>-550200</v>
      </c>
      <c r="S74" s="14" t="n">
        <v>0</v>
      </c>
      <c r="T74" s="14" t="n">
        <v>0</v>
      </c>
      <c r="U74" s="14" t="n">
        <v>0</v>
      </c>
      <c r="V74" s="18">
        <f>SUM(C74:U74)</f>
        <v/>
      </c>
      <c r="W74" s="19">
        <f>ROUND(B74-V74,4)</f>
        <v/>
      </c>
    </row>
    <row r="75">
      <c r="A75" s="8" t="inlineStr">
        <is>
          <t>Осмонова А. Н.</t>
        </is>
      </c>
      <c r="B75" s="14" t="n">
        <v>-541422.25</v>
      </c>
      <c r="C75" s="14" t="n">
        <v>0</v>
      </c>
      <c r="D75" s="14" t="n">
        <v>0</v>
      </c>
      <c r="E75" s="14" t="n">
        <v>0</v>
      </c>
      <c r="F75" s="14" t="n">
        <v>-7.275957614183426e-11</v>
      </c>
      <c r="G75" s="14" t="n">
        <v>-1.455191522836685e-11</v>
      </c>
      <c r="H75" s="14" t="n">
        <v>27000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-75122.25</v>
      </c>
      <c r="O75" s="14" t="n">
        <v>0</v>
      </c>
      <c r="P75" s="14" t="n">
        <v>0</v>
      </c>
      <c r="Q75" s="14" t="n">
        <v>0</v>
      </c>
      <c r="R75" s="14" t="n">
        <v>-493300</v>
      </c>
      <c r="S75" s="14" t="n">
        <v>0</v>
      </c>
      <c r="T75" s="14" t="n">
        <v>0</v>
      </c>
      <c r="U75" s="14" t="n">
        <v>0</v>
      </c>
      <c r="V75" s="18">
        <f>SUM(C75:U75)</f>
        <v/>
      </c>
      <c r="W75" s="19">
        <f>ROUND(B75-V75,4)</f>
        <v/>
      </c>
    </row>
    <row r="76">
      <c r="A76" s="8" t="inlineStr">
        <is>
          <t>САЛАМ ВОЯЖ</t>
        </is>
      </c>
      <c r="B76" s="14" t="n">
        <v>141941.6900000001</v>
      </c>
      <c r="C76" s="14" t="n">
        <v>0</v>
      </c>
      <c r="D76" s="14" t="n">
        <v>283308.99</v>
      </c>
      <c r="E76" s="14" t="n">
        <v>0</v>
      </c>
      <c r="F76" s="14" t="n">
        <v>-2.91038304567337e-11</v>
      </c>
      <c r="G76" s="14" t="n">
        <v>7.275957614183426e-12</v>
      </c>
      <c r="H76" s="14" t="n">
        <v>-2473.299999999999</v>
      </c>
      <c r="I76" s="14" t="n">
        <v>89088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-40282</v>
      </c>
      <c r="O76" s="14" t="n">
        <v>0</v>
      </c>
      <c r="P76" s="14" t="n">
        <v>0</v>
      </c>
      <c r="Q76" s="14" t="n">
        <v>0</v>
      </c>
      <c r="R76" s="14" t="n">
        <v>-187700</v>
      </c>
      <c r="S76" s="14" t="n">
        <v>0</v>
      </c>
      <c r="T76" s="14" t="n">
        <v>0</v>
      </c>
      <c r="U76" s="14" t="n">
        <v>0</v>
      </c>
      <c r="V76" s="18">
        <f>SUM(C76:U76)</f>
        <v/>
      </c>
      <c r="W76" s="19">
        <f>ROUND(B76-V76,4)</f>
        <v/>
      </c>
    </row>
    <row r="77">
      <c r="A77" s="8" t="inlineStr">
        <is>
          <t>САЛАМ ЭЙР</t>
        </is>
      </c>
      <c r="B77" s="14" t="n">
        <v>-326737.55</v>
      </c>
      <c r="C77" s="14" t="n">
        <v>-1.164153218269348e-10</v>
      </c>
      <c r="D77" s="14" t="n">
        <v>0</v>
      </c>
      <c r="E77" s="14" t="n">
        <v>0</v>
      </c>
      <c r="F77" s="14" t="n">
        <v>0</v>
      </c>
      <c r="G77" s="14" t="n">
        <v>7.275957614183426e-12</v>
      </c>
      <c r="H77" s="14" t="n">
        <v>6437</v>
      </c>
      <c r="I77" s="14" t="n">
        <v>20470.8</v>
      </c>
      <c r="J77" s="14" t="n">
        <v>-4020.999999999993</v>
      </c>
      <c r="K77" s="14" t="n">
        <v>-28804.5</v>
      </c>
      <c r="L77" s="14" t="n">
        <v>0</v>
      </c>
      <c r="M77" s="14" t="n">
        <v>0</v>
      </c>
      <c r="N77" s="14" t="n">
        <v>-320819.85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8">
        <f>SUM(C77:U77)</f>
        <v/>
      </c>
      <c r="W77" s="19">
        <f>ROUND(B77-V77,4)</f>
        <v/>
      </c>
    </row>
    <row r="78">
      <c r="A78" s="8" t="inlineStr">
        <is>
          <t>СОН-КУЛЬ ТУР</t>
        </is>
      </c>
      <c r="B78" s="14" t="n">
        <v>-278350.2800000001</v>
      </c>
      <c r="C78" s="14" t="n">
        <v>-1.164153218269348e-10</v>
      </c>
      <c r="D78" s="14" t="n">
        <v>0</v>
      </c>
      <c r="E78" s="14" t="n">
        <v>0</v>
      </c>
      <c r="F78" s="14" t="n">
        <v>7.275957614183426e-12</v>
      </c>
      <c r="G78" s="14" t="n">
        <v>-2.600000000036744</v>
      </c>
      <c r="H78" s="14" t="n">
        <v>2506.470000000001</v>
      </c>
      <c r="I78" s="14" t="n">
        <v>2068.700000000001</v>
      </c>
      <c r="J78" s="14" t="n">
        <v>-122.8500000000058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-282800</v>
      </c>
      <c r="S78" s="14" t="n">
        <v>0</v>
      </c>
      <c r="T78" s="14" t="n">
        <v>0</v>
      </c>
      <c r="U78" s="14" t="n">
        <v>0</v>
      </c>
      <c r="V78" s="18">
        <f>SUM(C78:U78)</f>
        <v/>
      </c>
      <c r="W78" s="19">
        <f>ROUND(B78-V78,4)</f>
        <v/>
      </c>
    </row>
    <row r="79">
      <c r="A79" s="8" t="inlineStr">
        <is>
          <t>Сагын кызы Б.</t>
        </is>
      </c>
      <c r="B79" s="14" t="n">
        <v>-3498.339999999967</v>
      </c>
      <c r="C79" s="14" t="n">
        <v>0</v>
      </c>
      <c r="D79" s="14" t="n">
        <v>0</v>
      </c>
      <c r="E79" s="14" t="n">
        <v>0</v>
      </c>
      <c r="F79" s="14" t="n">
        <v>-4.365574568510056e-11</v>
      </c>
      <c r="G79" s="14" t="n">
        <v>0</v>
      </c>
      <c r="H79" s="14" t="n">
        <v>0</v>
      </c>
      <c r="I79" s="14" t="n">
        <v>-3324.529999999999</v>
      </c>
      <c r="J79" s="14" t="n">
        <v>-173.8099999999977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8">
        <f>SUM(C79:U79)</f>
        <v/>
      </c>
      <c r="W79" s="19">
        <f>ROUND(B79-V79,4)</f>
        <v/>
      </c>
    </row>
    <row r="80">
      <c r="A80" s="8" t="inlineStr">
        <is>
          <t>Салам Авиакасса</t>
        </is>
      </c>
      <c r="B80" s="14" t="n">
        <v>-102982.7599999996</v>
      </c>
      <c r="C80" s="14" t="n">
        <v>0</v>
      </c>
      <c r="D80" s="14" t="n">
        <v>0</v>
      </c>
      <c r="E80" s="14" t="n">
        <v>0</v>
      </c>
      <c r="F80" s="14" t="n">
        <v>7.275957614183426e-11</v>
      </c>
      <c r="G80" s="14" t="n">
        <v>-2.91038304567337e-11</v>
      </c>
      <c r="H80" s="14" t="n">
        <v>0</v>
      </c>
      <c r="I80" s="14" t="n">
        <v>-216.7500000000036</v>
      </c>
      <c r="J80" s="14" t="n">
        <v>-60.94000000000415</v>
      </c>
      <c r="K80" s="14" t="n">
        <v>-39161.34999999999</v>
      </c>
      <c r="L80" s="14" t="n">
        <v>0</v>
      </c>
      <c r="M80" s="14" t="n">
        <v>0</v>
      </c>
      <c r="N80" s="14" t="n">
        <v>-22443.72</v>
      </c>
      <c r="O80" s="14" t="n">
        <v>0</v>
      </c>
      <c r="P80" s="14" t="n">
        <v>0</v>
      </c>
      <c r="Q80" s="14" t="n">
        <v>253600</v>
      </c>
      <c r="R80" s="14" t="n">
        <v>-470400</v>
      </c>
      <c r="S80" s="14" t="n">
        <v>175700</v>
      </c>
      <c r="T80" s="14" t="n">
        <v>0</v>
      </c>
      <c r="U80" s="14" t="n">
        <v>0</v>
      </c>
      <c r="V80" s="18">
        <f>SUM(C80:U80)</f>
        <v/>
      </c>
      <c r="W80" s="19">
        <f>ROUND(B80-V80,4)</f>
        <v/>
      </c>
    </row>
    <row r="81">
      <c r="A81" s="8" t="inlineStr">
        <is>
          <t>Салам Экспресс</t>
        </is>
      </c>
      <c r="B81" s="14" t="n">
        <v>2767104.07</v>
      </c>
      <c r="C81" s="14" t="n">
        <v>2800828.5</v>
      </c>
      <c r="D81" s="14" t="n">
        <v>0</v>
      </c>
      <c r="E81" s="14" t="n">
        <v>0</v>
      </c>
      <c r="F81" s="14" t="n">
        <v>3.637978807091713e-11</v>
      </c>
      <c r="G81" s="14" t="n">
        <v>-7.275957614183426e-12</v>
      </c>
      <c r="H81" s="14" t="n">
        <v>0</v>
      </c>
      <c r="I81" s="14" t="n">
        <v>-502.7000000000007</v>
      </c>
      <c r="J81" s="14" t="n">
        <v>177.4799999999996</v>
      </c>
      <c r="K81" s="14" t="n">
        <v>0</v>
      </c>
      <c r="L81" s="14" t="n">
        <v>0</v>
      </c>
      <c r="M81" s="14" t="n">
        <v>0</v>
      </c>
      <c r="N81" s="14" t="n">
        <v>-60699.21</v>
      </c>
      <c r="O81" s="14" t="n">
        <v>0</v>
      </c>
      <c r="P81" s="14" t="n">
        <v>0</v>
      </c>
      <c r="Q81" s="14" t="n">
        <v>0</v>
      </c>
      <c r="R81" s="14" t="n">
        <v>-173000</v>
      </c>
      <c r="S81" s="14" t="n">
        <v>200300</v>
      </c>
      <c r="T81" s="14" t="n">
        <v>0</v>
      </c>
      <c r="U81" s="14" t="n">
        <v>0</v>
      </c>
      <c r="V81" s="18">
        <f>SUM(C81:U81)</f>
        <v/>
      </c>
      <c r="W81" s="19">
        <f>ROUND(B81-V81,4)</f>
        <v/>
      </c>
    </row>
    <row r="82">
      <c r="A82" s="8" t="inlineStr">
        <is>
          <t>Сатар уулу Санжар</t>
        </is>
      </c>
      <c r="B82" s="14" t="n">
        <v>1019007.970000001</v>
      </c>
      <c r="C82" s="14" t="n">
        <v>3273224.37</v>
      </c>
      <c r="D82" s="14" t="n">
        <v>0</v>
      </c>
      <c r="E82" s="14" t="n">
        <v>-1997266.14</v>
      </c>
      <c r="F82" s="14" t="n">
        <v>-2.037268131971359e-10</v>
      </c>
      <c r="G82" s="14" t="n">
        <v>-4.400000000008731</v>
      </c>
      <c r="H82" s="14" t="n">
        <v>264877.43</v>
      </c>
      <c r="I82" s="14" t="n">
        <v>-8125.080000000002</v>
      </c>
      <c r="J82" s="14" t="n">
        <v>109234.73</v>
      </c>
      <c r="K82" s="14" t="n">
        <v>-42702.56</v>
      </c>
      <c r="L82" s="14" t="n">
        <v>161449</v>
      </c>
      <c r="M82" s="14" t="n">
        <v>0</v>
      </c>
      <c r="N82" s="14" t="n">
        <v>-80012.66</v>
      </c>
      <c r="O82" s="14" t="n">
        <v>0</v>
      </c>
      <c r="P82" s="14" t="n">
        <v>-4867766.720000001</v>
      </c>
      <c r="Q82" s="14" t="n">
        <v>0</v>
      </c>
      <c r="R82" s="14" t="n">
        <v>-1740300</v>
      </c>
      <c r="S82" s="14" t="n">
        <v>375900</v>
      </c>
      <c r="T82" s="14" t="n">
        <v>185000</v>
      </c>
      <c r="U82" s="14" t="n">
        <v>5385500</v>
      </c>
      <c r="V82" s="18">
        <f>SUM(C82:U82)</f>
        <v/>
      </c>
      <c r="W82" s="19">
        <f>ROUND(B82-V82,4)</f>
        <v/>
      </c>
    </row>
    <row r="83">
      <c r="A83" s="8" t="inlineStr">
        <is>
          <t>Сатарова А. О.</t>
        </is>
      </c>
      <c r="B83" s="14" t="n">
        <v>115054.94</v>
      </c>
      <c r="C83" s="14" t="n">
        <v>0</v>
      </c>
      <c r="D83" s="14" t="n">
        <v>0</v>
      </c>
      <c r="E83" s="14" t="n">
        <v>0</v>
      </c>
      <c r="F83" s="14" t="n">
        <v>-9.822542779147625e-11</v>
      </c>
      <c r="G83" s="14" t="n">
        <v>-0.8000000000029104</v>
      </c>
      <c r="H83" s="14" t="n">
        <v>0</v>
      </c>
      <c r="I83" s="14" t="n">
        <v>0</v>
      </c>
      <c r="J83" s="14" t="n">
        <v>69.47999999999956</v>
      </c>
      <c r="K83" s="14" t="n">
        <v>0</v>
      </c>
      <c r="L83" s="14" t="n">
        <v>114986.26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8">
        <f>SUM(C83:U83)</f>
        <v/>
      </c>
      <c r="W83" s="19">
        <f>ROUND(B83-V83,4)</f>
        <v/>
      </c>
    </row>
    <row r="84">
      <c r="A84" s="8" t="inlineStr">
        <is>
          <t>Сатарова Жылдыз Жумабековна</t>
        </is>
      </c>
      <c r="B84" s="14" t="n">
        <v>-99722.72999999992</v>
      </c>
      <c r="C84" s="14" t="n">
        <v>0</v>
      </c>
      <c r="D84" s="14" t="n">
        <v>0</v>
      </c>
      <c r="E84" s="14" t="n">
        <v>0</v>
      </c>
      <c r="F84" s="14" t="n">
        <v>5.820766091346741e-11</v>
      </c>
      <c r="G84" s="14" t="n">
        <v>-3.637978807091713e-12</v>
      </c>
      <c r="H84" s="14" t="n">
        <v>0</v>
      </c>
      <c r="I84" s="14" t="n">
        <v>0</v>
      </c>
      <c r="J84" s="14" t="n">
        <v>-891.7299999999923</v>
      </c>
      <c r="K84" s="14" t="n">
        <v>0</v>
      </c>
      <c r="L84" s="14" t="n">
        <v>0</v>
      </c>
      <c r="M84" s="14" t="n">
        <v>0</v>
      </c>
      <c r="N84" s="14" t="n">
        <v>-98831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8">
        <f>SUM(C84:U84)</f>
        <v/>
      </c>
      <c r="W84" s="19">
        <f>ROUND(B84-V84,4)</f>
        <v/>
      </c>
    </row>
    <row r="85">
      <c r="A85" s="8" t="inlineStr">
        <is>
          <t>Сыдыков С. У.</t>
        </is>
      </c>
      <c r="B85" s="14" t="n">
        <v>-4563.599999999975</v>
      </c>
      <c r="C85" s="14" t="n">
        <v>0</v>
      </c>
      <c r="D85" s="14" t="n">
        <v>0</v>
      </c>
      <c r="E85" s="14" t="n">
        <v>-63131.92999999999</v>
      </c>
      <c r="F85" s="14" t="n">
        <v>2.364686224609613e-11</v>
      </c>
      <c r="G85" s="14" t="n">
        <v>0</v>
      </c>
      <c r="H85" s="14" t="n">
        <v>63172.01</v>
      </c>
      <c r="I85" s="14" t="n">
        <v>0</v>
      </c>
      <c r="J85" s="14" t="n">
        <v>0</v>
      </c>
      <c r="K85" s="14" t="n">
        <v>-23083.73</v>
      </c>
      <c r="L85" s="14" t="n">
        <v>91517.13</v>
      </c>
      <c r="M85" s="14" t="n">
        <v>0</v>
      </c>
      <c r="N85" s="14" t="n">
        <v>-71197</v>
      </c>
      <c r="O85" s="14" t="n">
        <v>0</v>
      </c>
      <c r="P85" s="14" t="n">
        <v>-436840.08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435000</v>
      </c>
      <c r="V85" s="18">
        <f>SUM(C85:U85)</f>
        <v/>
      </c>
      <c r="W85" s="19">
        <f>ROUND(B85-V85,4)</f>
        <v/>
      </c>
    </row>
    <row r="86">
      <c r="A86" s="8" t="inlineStr">
        <is>
          <t>ТАЛАС ВОЯЖ</t>
        </is>
      </c>
      <c r="B86" s="14" t="n">
        <v>-291809.8400000001</v>
      </c>
      <c r="C86" s="14" t="n">
        <v>-318941</v>
      </c>
      <c r="D86" s="14" t="n">
        <v>27500</v>
      </c>
      <c r="E86" s="14" t="n">
        <v>0</v>
      </c>
      <c r="F86" s="14" t="n">
        <v>-4.365574568510056e-11</v>
      </c>
      <c r="G86" s="14" t="n">
        <v>0</v>
      </c>
      <c r="H86" s="14" t="n">
        <v>10800</v>
      </c>
      <c r="I86" s="14" t="n">
        <v>-11168.84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8">
        <f>SUM(C86:U86)</f>
        <v/>
      </c>
      <c r="W86" s="19">
        <f>ROUND(B86-V86,4)</f>
        <v/>
      </c>
    </row>
    <row r="87">
      <c r="A87" s="8" t="inlineStr">
        <is>
          <t>ТАЛАС ЛАЙН</t>
        </is>
      </c>
      <c r="B87" s="14" t="n">
        <v>-1552513.33</v>
      </c>
      <c r="C87" s="14" t="n">
        <v>0</v>
      </c>
      <c r="D87" s="14" t="n">
        <v>0</v>
      </c>
      <c r="E87" s="14" t="n">
        <v>0</v>
      </c>
      <c r="F87" s="14" t="n">
        <v>-1.01863406598568e-10</v>
      </c>
      <c r="G87" s="14" t="n">
        <v>2.182787284255028e-11</v>
      </c>
      <c r="H87" s="14" t="n">
        <v>-39996.3</v>
      </c>
      <c r="I87" s="14" t="n">
        <v>-3716.040000000005</v>
      </c>
      <c r="J87" s="14" t="n">
        <v>-45100.25</v>
      </c>
      <c r="K87" s="14" t="n">
        <v>-81739.38</v>
      </c>
      <c r="L87" s="14" t="n">
        <v>0</v>
      </c>
      <c r="M87" s="14" t="n">
        <v>0</v>
      </c>
      <c r="N87" s="14" t="n">
        <v>-82061.36</v>
      </c>
      <c r="O87" s="14" t="n">
        <v>0</v>
      </c>
      <c r="P87" s="14" t="n">
        <v>0</v>
      </c>
      <c r="Q87" s="14" t="n">
        <v>0</v>
      </c>
      <c r="R87" s="14" t="n">
        <v>-1299900</v>
      </c>
      <c r="S87" s="14" t="n">
        <v>0</v>
      </c>
      <c r="T87" s="14" t="n">
        <v>0</v>
      </c>
      <c r="U87" s="14" t="n">
        <v>0</v>
      </c>
      <c r="V87" s="18">
        <f>SUM(C87:U87)</f>
        <v/>
      </c>
      <c r="W87" s="19">
        <f>ROUND(B87-V87,4)</f>
        <v/>
      </c>
    </row>
    <row r="88">
      <c r="A88" s="8" t="inlineStr">
        <is>
          <t>ТАЛАС ЭЙР</t>
        </is>
      </c>
      <c r="B88" s="14" t="n">
        <v>96990.56999999983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-1.455191522836685e-11</v>
      </c>
      <c r="H88" s="14" t="n">
        <v>0</v>
      </c>
      <c r="I88" s="14" t="n">
        <v>0</v>
      </c>
      <c r="J88" s="14" t="n">
        <v>0</v>
      </c>
      <c r="K88" s="14" t="n">
        <v>-44913.25</v>
      </c>
      <c r="L88" s="14" t="n">
        <v>0</v>
      </c>
      <c r="M88" s="14" t="n">
        <v>0</v>
      </c>
      <c r="N88" s="14" t="n">
        <v>-63496.18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205400</v>
      </c>
      <c r="T88" s="14" t="n">
        <v>0</v>
      </c>
      <c r="U88" s="14" t="n">
        <v>0</v>
      </c>
      <c r="V88" s="18">
        <f>SUM(C88:U88)</f>
        <v/>
      </c>
      <c r="W88" s="19">
        <f>ROUND(B88-V88,4)</f>
        <v/>
      </c>
    </row>
    <row r="89">
      <c r="A89" s="8" t="inlineStr">
        <is>
          <t>ТЯНЬ-ШАНЬ ЭКСПРЕСС</t>
        </is>
      </c>
      <c r="B89" s="14" t="n">
        <v>-634394.8300000001</v>
      </c>
      <c r="C89" s="14" t="n">
        <v>0</v>
      </c>
      <c r="D89" s="14" t="n">
        <v>0</v>
      </c>
      <c r="E89" s="14" t="n">
        <v>0</v>
      </c>
      <c r="F89" s="14" t="n">
        <v>4.656612873077393e-10</v>
      </c>
      <c r="G89" s="14" t="n">
        <v>5.820766091346741e-11</v>
      </c>
      <c r="H89" s="14" t="n">
        <v>-505.8999999999996</v>
      </c>
      <c r="I89" s="14" t="n">
        <v>-45000</v>
      </c>
      <c r="J89" s="14" t="n">
        <v>-24.25999999998749</v>
      </c>
      <c r="K89" s="14" t="n">
        <v>-27503.87</v>
      </c>
      <c r="L89" s="14" t="n">
        <v>88848</v>
      </c>
      <c r="M89" s="14" t="n">
        <v>0</v>
      </c>
      <c r="N89" s="14" t="n">
        <v>-321108.8</v>
      </c>
      <c r="O89" s="14" t="n">
        <v>0</v>
      </c>
      <c r="P89" s="14" t="n">
        <v>0</v>
      </c>
      <c r="Q89" s="14" t="n">
        <v>0</v>
      </c>
      <c r="R89" s="14" t="n">
        <v>-329100</v>
      </c>
      <c r="S89" s="14" t="n">
        <v>0</v>
      </c>
      <c r="T89" s="14" t="n">
        <v>0</v>
      </c>
      <c r="U89" s="14" t="n">
        <v>0</v>
      </c>
      <c r="V89" s="18">
        <f>SUM(C89:U89)</f>
        <v/>
      </c>
      <c r="W89" s="19">
        <f>ROUND(B89-V89,4)</f>
        <v/>
      </c>
    </row>
    <row r="90">
      <c r="A90" s="8" t="inlineStr">
        <is>
          <t>Тянь-Шань Тур</t>
        </is>
      </c>
      <c r="B90" s="14" t="n">
        <v>259874.0799999999</v>
      </c>
      <c r="C90" s="14" t="n">
        <v>0</v>
      </c>
      <c r="D90" s="14" t="n">
        <v>0</v>
      </c>
      <c r="E90" s="14" t="n">
        <v>-501003.0900000001</v>
      </c>
      <c r="F90" s="14" t="n">
        <v>2.91038304567337e-11</v>
      </c>
      <c r="G90" s="14" t="n">
        <v>-3.637978807091713e-12</v>
      </c>
      <c r="H90" s="14" t="n">
        <v>-11971.96999999999</v>
      </c>
      <c r="I90" s="14" t="n">
        <v>-9000</v>
      </c>
      <c r="J90" s="14" t="n">
        <v>60925.3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-672776.16</v>
      </c>
      <c r="Q90" s="14" t="n">
        <v>0</v>
      </c>
      <c r="R90" s="14" t="n">
        <v>0</v>
      </c>
      <c r="S90" s="14" t="n">
        <v>288600</v>
      </c>
      <c r="T90" s="14" t="n">
        <v>0</v>
      </c>
      <c r="U90" s="14" t="n">
        <v>1105100</v>
      </c>
      <c r="V90" s="18">
        <f>SUM(C90:U90)</f>
        <v/>
      </c>
      <c r="W90" s="19">
        <f>ROUND(B90-V90,4)</f>
        <v/>
      </c>
    </row>
    <row r="91">
      <c r="A91" s="8" t="inlineStr">
        <is>
          <t>Урматов Эрлан Сагынович</t>
        </is>
      </c>
      <c r="B91" s="14" t="n">
        <v>-574937.84</v>
      </c>
      <c r="C91" s="14" t="n">
        <v>-8157.110000000004</v>
      </c>
      <c r="D91" s="14" t="n">
        <v>0</v>
      </c>
      <c r="E91" s="14" t="n">
        <v>0</v>
      </c>
      <c r="F91" s="14" t="n">
        <v>-2.91038304567337e-11</v>
      </c>
      <c r="G91" s="14" t="n">
        <v>-2.182787284255028e-11</v>
      </c>
      <c r="H91" s="14" t="n">
        <v>18000</v>
      </c>
      <c r="I91" s="14" t="n">
        <v>12700</v>
      </c>
      <c r="J91" s="14" t="n">
        <v>-777.1499999999996</v>
      </c>
      <c r="K91" s="14" t="n">
        <v>-39376.3</v>
      </c>
      <c r="L91" s="14" t="n">
        <v>0</v>
      </c>
      <c r="M91" s="14" t="n">
        <v>0</v>
      </c>
      <c r="N91" s="14" t="n">
        <v>-52627.28</v>
      </c>
      <c r="O91" s="14" t="n">
        <v>0</v>
      </c>
      <c r="P91" s="14" t="n">
        <v>0</v>
      </c>
      <c r="Q91" s="14" t="n">
        <v>0</v>
      </c>
      <c r="R91" s="14" t="n">
        <v>-319700</v>
      </c>
      <c r="S91" s="14" t="n">
        <v>0</v>
      </c>
      <c r="T91" s="14" t="n">
        <v>-185000</v>
      </c>
      <c r="U91" s="14" t="n">
        <v>0</v>
      </c>
      <c r="V91" s="18">
        <f>SUM(C91:U91)</f>
        <v/>
      </c>
      <c r="W91" s="19">
        <f>ROUND(B91-V91,4)</f>
        <v/>
      </c>
    </row>
    <row r="92">
      <c r="A92" s="8" t="inlineStr">
        <is>
          <t>Урматова Айпери Нурбековна</t>
        </is>
      </c>
      <c r="B92" s="14" t="n">
        <v>-525719.0999999999</v>
      </c>
      <c r="C92" s="14" t="n">
        <v>0</v>
      </c>
      <c r="D92" s="14" t="n">
        <v>0</v>
      </c>
      <c r="E92" s="14" t="n">
        <v>0</v>
      </c>
      <c r="F92" s="14" t="n">
        <v>-1.455191522836685e-11</v>
      </c>
      <c r="G92" s="14" t="n">
        <v>3.637978807091713e-12</v>
      </c>
      <c r="H92" s="14" t="n">
        <v>-20266</v>
      </c>
      <c r="I92" s="14" t="n">
        <v>-61368</v>
      </c>
      <c r="J92" s="14" t="n">
        <v>17.65999999999622</v>
      </c>
      <c r="K92" s="14" t="n">
        <v>0</v>
      </c>
      <c r="L92" s="14" t="n">
        <v>117615.24</v>
      </c>
      <c r="M92" s="14" t="n">
        <v>0</v>
      </c>
      <c r="N92" s="14" t="n">
        <v>-86718</v>
      </c>
      <c r="O92" s="14" t="n">
        <v>0</v>
      </c>
      <c r="P92" s="14" t="n">
        <v>0</v>
      </c>
      <c r="Q92" s="14" t="n">
        <v>0</v>
      </c>
      <c r="R92" s="14" t="n">
        <v>-475000</v>
      </c>
      <c r="S92" s="14" t="n">
        <v>0</v>
      </c>
      <c r="T92" s="14" t="n">
        <v>0</v>
      </c>
      <c r="U92" s="14" t="n">
        <v>0</v>
      </c>
      <c r="V92" s="18">
        <f>SUM(C92:U92)</f>
        <v/>
      </c>
      <c r="W92" s="19">
        <f>ROUND(B92-V92,4)</f>
        <v/>
      </c>
    </row>
    <row r="93">
      <c r="A93" s="8" t="inlineStr">
        <is>
          <t>ЧОЛПОН ТУР</t>
        </is>
      </c>
      <c r="B93" s="14" t="n">
        <v>-1727139.08</v>
      </c>
      <c r="C93" s="14" t="n">
        <v>-404589.84</v>
      </c>
      <c r="D93" s="14" t="n">
        <v>0</v>
      </c>
      <c r="E93" s="14" t="n">
        <v>-158043.4300000001</v>
      </c>
      <c r="F93" s="14" t="n">
        <v>0</v>
      </c>
      <c r="G93" s="14" t="n">
        <v>0</v>
      </c>
      <c r="H93" s="14" t="n">
        <v>-45627.75</v>
      </c>
      <c r="I93" s="14" t="n">
        <v>-6108.199999999993</v>
      </c>
      <c r="J93" s="14" t="n">
        <v>36537.76000000001</v>
      </c>
      <c r="K93" s="14" t="n">
        <v>0</v>
      </c>
      <c r="L93" s="14" t="n">
        <v>22413.6</v>
      </c>
      <c r="M93" s="14" t="n">
        <v>0</v>
      </c>
      <c r="N93" s="14" t="n">
        <v>0</v>
      </c>
      <c r="O93" s="14" t="n">
        <v>0</v>
      </c>
      <c r="P93" s="14" t="n">
        <v>-1131921.22</v>
      </c>
      <c r="Q93" s="14" t="n">
        <v>0</v>
      </c>
      <c r="R93" s="14" t="n">
        <v>-977800</v>
      </c>
      <c r="S93" s="14" t="n">
        <v>0</v>
      </c>
      <c r="T93" s="14" t="n">
        <v>0</v>
      </c>
      <c r="U93" s="14" t="n">
        <v>938000</v>
      </c>
      <c r="V93" s="18">
        <f>SUM(C93:U93)</f>
        <v/>
      </c>
      <c r="W93" s="19">
        <f>ROUND(B93-V93,4)</f>
        <v/>
      </c>
    </row>
    <row r="94">
      <c r="A94" s="8" t="inlineStr">
        <is>
          <t>ЧОЛПОН ЭЙР</t>
        </is>
      </c>
      <c r="B94" s="14" t="n">
        <v>-643699.5599999998</v>
      </c>
      <c r="C94" s="14" t="n">
        <v>-52420.07999999996</v>
      </c>
      <c r="D94" s="14" t="n">
        <v>-283308.99</v>
      </c>
      <c r="E94" s="14" t="n">
        <v>0</v>
      </c>
      <c r="F94" s="14" t="n">
        <v>2.328306436538696e-10</v>
      </c>
      <c r="G94" s="14" t="n">
        <v>-7.275957614183426e-12</v>
      </c>
      <c r="H94" s="14" t="n">
        <v>-1253.099999999999</v>
      </c>
      <c r="I94" s="14" t="n">
        <v>4664.959999999999</v>
      </c>
      <c r="J94" s="14" t="n">
        <v>-28638.72999999998</v>
      </c>
      <c r="K94" s="14" t="n">
        <v>-13920</v>
      </c>
      <c r="L94" s="14" t="n">
        <v>0</v>
      </c>
      <c r="M94" s="14" t="n">
        <v>0</v>
      </c>
      <c r="N94" s="14" t="n">
        <v>-50923.62</v>
      </c>
      <c r="O94" s="14" t="n">
        <v>0</v>
      </c>
      <c r="P94" s="14" t="n">
        <v>0</v>
      </c>
      <c r="Q94" s="14" t="n">
        <v>0</v>
      </c>
      <c r="R94" s="14" t="n">
        <v>-553600</v>
      </c>
      <c r="S94" s="14" t="n">
        <v>335700</v>
      </c>
      <c r="T94" s="14" t="n">
        <v>0</v>
      </c>
      <c r="U94" s="14" t="n">
        <v>0</v>
      </c>
      <c r="V94" s="18">
        <f>SUM(C94:U94)</f>
        <v/>
      </c>
      <c r="W94" s="19">
        <f>ROUND(B94-V94,4)</f>
        <v/>
      </c>
    </row>
    <row r="95">
      <c r="A95" s="8" t="inlineStr">
        <is>
          <t>Чолпон Тревел</t>
        </is>
      </c>
      <c r="B95" s="14" t="n">
        <v>-260225.1</v>
      </c>
      <c r="C95" s="14" t="n">
        <v>0</v>
      </c>
      <c r="D95" s="14" t="n">
        <v>0</v>
      </c>
      <c r="E95" s="14" t="n">
        <v>-72669.98999999999</v>
      </c>
      <c r="F95" s="14" t="n">
        <v>-4.365574568510056e-11</v>
      </c>
      <c r="G95" s="14" t="n">
        <v>0</v>
      </c>
      <c r="H95" s="14" t="n">
        <v>-55058.69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-448296.42</v>
      </c>
      <c r="Q95" s="14" t="n">
        <v>0</v>
      </c>
      <c r="R95" s="14" t="n">
        <v>-260400</v>
      </c>
      <c r="S95" s="14" t="n">
        <v>0</v>
      </c>
      <c r="T95" s="14" t="n">
        <v>0</v>
      </c>
      <c r="U95" s="14" t="n">
        <v>576200</v>
      </c>
      <c r="V95" s="18">
        <f>SUM(C95:U95)</f>
        <v/>
      </c>
      <c r="W95" s="19">
        <f>ROUND(B95-V95,4)</f>
        <v/>
      </c>
    </row>
    <row r="96">
      <c r="A96" s="8" t="inlineStr">
        <is>
          <t>Чынар уулу Эмир</t>
        </is>
      </c>
      <c r="B96" s="14" t="n">
        <v>-395784.0399999999</v>
      </c>
      <c r="C96" s="14" t="n">
        <v>5.820766091346741e-11</v>
      </c>
      <c r="D96" s="14" t="n">
        <v>4800</v>
      </c>
      <c r="E96" s="14" t="n">
        <v>-1191817.6</v>
      </c>
      <c r="F96" s="14" t="n">
        <v>-1.382431946694851e-10</v>
      </c>
      <c r="G96" s="14" t="n">
        <v>0</v>
      </c>
      <c r="H96" s="14" t="n">
        <v>-28841.89</v>
      </c>
      <c r="I96" s="14" t="n">
        <v>-537.5999999999985</v>
      </c>
      <c r="J96" s="14" t="n">
        <v>41176.48</v>
      </c>
      <c r="K96" s="14" t="n">
        <v>-17141.58</v>
      </c>
      <c r="L96" s="14" t="n">
        <v>26072</v>
      </c>
      <c r="M96" s="14" t="n">
        <v>0</v>
      </c>
      <c r="N96" s="14" t="n">
        <v>-44158</v>
      </c>
      <c r="O96" s="14" t="n">
        <v>0</v>
      </c>
      <c r="P96" s="14" t="n">
        <v>-537935.85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1352600</v>
      </c>
      <c r="V96" s="18">
        <f>SUM(C96:U96)</f>
        <v/>
      </c>
      <c r="W96" s="19">
        <f>ROUND(B96-V96,4)</f>
        <v/>
      </c>
    </row>
    <row r="97">
      <c r="A97" s="8" t="inlineStr">
        <is>
          <t>Чынарова Бурул Джолдошовна</t>
        </is>
      </c>
      <c r="B97" s="14" t="n">
        <v>-251755.0799999998</v>
      </c>
      <c r="C97" s="14" t="n">
        <v>0</v>
      </c>
      <c r="D97" s="14" t="n">
        <v>0</v>
      </c>
      <c r="E97" s="14" t="n">
        <v>0</v>
      </c>
      <c r="F97" s="14" t="n">
        <v>1.164153218269348e-10</v>
      </c>
      <c r="G97" s="14" t="n">
        <v>7.275957614183426e-12</v>
      </c>
      <c r="H97" s="14" t="n">
        <v>19714.27</v>
      </c>
      <c r="I97" s="14" t="n">
        <v>0</v>
      </c>
      <c r="J97" s="14" t="n">
        <v>-16.56999999999971</v>
      </c>
      <c r="K97" s="14" t="n">
        <v>0</v>
      </c>
      <c r="L97" s="14" t="n">
        <v>51702</v>
      </c>
      <c r="M97" s="14" t="n">
        <v>0</v>
      </c>
      <c r="N97" s="14" t="n">
        <v>-47754.78</v>
      </c>
      <c r="O97" s="14" t="n">
        <v>0</v>
      </c>
      <c r="P97" s="14" t="n">
        <v>0</v>
      </c>
      <c r="Q97" s="14" t="n">
        <v>0</v>
      </c>
      <c r="R97" s="14" t="n">
        <v>-275400</v>
      </c>
      <c r="S97" s="14" t="n">
        <v>0</v>
      </c>
      <c r="T97" s="14" t="n">
        <v>0</v>
      </c>
      <c r="U97" s="14" t="n">
        <v>0</v>
      </c>
      <c r="V97" s="18">
        <f>SUM(C97:U97)</f>
        <v/>
      </c>
      <c r="W97" s="19">
        <f>ROUND(B97-V97,4)</f>
        <v/>
      </c>
    </row>
    <row r="98">
      <c r="A98" s="8" t="inlineStr">
        <is>
          <t>ЫЙЫК ЭКСПРЕСС</t>
        </is>
      </c>
      <c r="B98" s="14" t="n">
        <v>-456398.18</v>
      </c>
      <c r="C98" s="14" t="n">
        <v>-386181.95</v>
      </c>
      <c r="D98" s="14" t="n">
        <v>4800</v>
      </c>
      <c r="E98" s="14" t="n">
        <v>0</v>
      </c>
      <c r="F98" s="14" t="n">
        <v>-1.746229827404022e-10</v>
      </c>
      <c r="G98" s="14" t="n">
        <v>2.546585164964199e-11</v>
      </c>
      <c r="H98" s="14" t="n">
        <v>3427.279999999999</v>
      </c>
      <c r="I98" s="14" t="n">
        <v>-1576.279999999999</v>
      </c>
      <c r="J98" s="14" t="n">
        <v>176.5600000000013</v>
      </c>
      <c r="K98" s="14" t="n">
        <v>0</v>
      </c>
      <c r="L98" s="14" t="n">
        <v>94019.5</v>
      </c>
      <c r="M98" s="14" t="n">
        <v>0</v>
      </c>
      <c r="N98" s="14" t="n">
        <v>-105863.29</v>
      </c>
      <c r="O98" s="14" t="n">
        <v>0</v>
      </c>
      <c r="P98" s="14" t="n">
        <v>0</v>
      </c>
      <c r="Q98" s="14" t="n">
        <v>0</v>
      </c>
      <c r="R98" s="14" t="n">
        <v>-302600</v>
      </c>
      <c r="S98" s="14" t="n">
        <v>237400</v>
      </c>
      <c r="T98" s="14" t="n">
        <v>0</v>
      </c>
      <c r="U98" s="14" t="n">
        <v>0</v>
      </c>
      <c r="V98" s="18">
        <f>SUM(C98:U98)</f>
        <v/>
      </c>
      <c r="W98" s="19">
        <f>ROUND(B98-V98,4)</f>
        <v/>
      </c>
    </row>
    <row r="99">
      <c r="A99" s="8" t="inlineStr">
        <is>
          <t>Ыйык Авиакасса</t>
        </is>
      </c>
      <c r="B99" s="14" t="n">
        <v>-252719.8</v>
      </c>
      <c r="C99" s="14" t="n">
        <v>0</v>
      </c>
      <c r="D99" s="14" t="n">
        <v>72490</v>
      </c>
      <c r="E99" s="14" t="n">
        <v>0</v>
      </c>
      <c r="F99" s="14" t="n">
        <v>8.003553375601768e-11</v>
      </c>
      <c r="G99" s="14" t="n">
        <v>0</v>
      </c>
      <c r="H99" s="14" t="n">
        <v>0</v>
      </c>
      <c r="I99" s="14" t="n">
        <v>0</v>
      </c>
      <c r="J99" s="14" t="n">
        <v>-33.88000000000102</v>
      </c>
      <c r="K99" s="14" t="n">
        <v>0</v>
      </c>
      <c r="L99" s="14" t="n">
        <v>42824.08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-539900</v>
      </c>
      <c r="S99" s="14" t="n">
        <v>171900</v>
      </c>
      <c r="T99" s="14" t="n">
        <v>0</v>
      </c>
      <c r="U99" s="14" t="n">
        <v>0</v>
      </c>
      <c r="V99" s="18">
        <f>SUM(C99:U99)</f>
        <v/>
      </c>
      <c r="W99" s="19">
        <f>ROUND(B99-V99,4)</f>
        <v/>
      </c>
    </row>
    <row r="100">
      <c r="A100" s="8" t="inlineStr">
        <is>
          <t>Ыйык Тур</t>
        </is>
      </c>
      <c r="B100" s="14" t="n">
        <v>-1667561.34</v>
      </c>
      <c r="C100" s="14" t="n">
        <v>17858.87</v>
      </c>
      <c r="D100" s="14" t="n">
        <v>0</v>
      </c>
      <c r="E100" s="14" t="n">
        <v>0</v>
      </c>
      <c r="F100" s="14" t="n">
        <v>-4.365574568510056e-11</v>
      </c>
      <c r="G100" s="14" t="n">
        <v>2.182787284255028e-11</v>
      </c>
      <c r="H100" s="14" t="n">
        <v>-72039.20000000001</v>
      </c>
      <c r="I100" s="14" t="n">
        <v>-16709.47</v>
      </c>
      <c r="J100" s="14" t="n">
        <v>1122.519999999997</v>
      </c>
      <c r="K100" s="14" t="n">
        <v>-23687.49</v>
      </c>
      <c r="L100" s="14" t="n">
        <v>80999.67999999999</v>
      </c>
      <c r="M100" s="14" t="n">
        <v>0</v>
      </c>
      <c r="N100" s="14" t="n">
        <v>-99906.25</v>
      </c>
      <c r="O100" s="14" t="n">
        <v>0</v>
      </c>
      <c r="P100" s="14" t="n">
        <v>0</v>
      </c>
      <c r="Q100" s="14" t="n">
        <v>0</v>
      </c>
      <c r="R100" s="14" t="n">
        <v>-2330200</v>
      </c>
      <c r="S100" s="14" t="n">
        <v>775000</v>
      </c>
      <c r="T100" s="14" t="n">
        <v>0</v>
      </c>
      <c r="U100" s="14" t="n">
        <v>0</v>
      </c>
      <c r="V100" s="18">
        <f>SUM(C100:U100)</f>
        <v/>
      </c>
      <c r="W100" s="19">
        <f>ROUND(B100-V100,4)</f>
        <v/>
      </c>
    </row>
    <row r="101">
      <c r="A101" s="8" t="inlineStr">
        <is>
          <t>Эсенбек уулу Азамат</t>
        </is>
      </c>
      <c r="B101" s="14" t="n">
        <v>-236889.9799999999</v>
      </c>
      <c r="C101" s="14" t="n">
        <v>0</v>
      </c>
      <c r="D101" s="14" t="n">
        <v>0</v>
      </c>
      <c r="E101" s="14" t="n">
        <v>0</v>
      </c>
      <c r="F101" s="14" t="n">
        <v>5.820766091346741e-11</v>
      </c>
      <c r="G101" s="14" t="n">
        <v>0</v>
      </c>
      <c r="H101" s="14" t="n">
        <v>960.5799999999981</v>
      </c>
      <c r="I101" s="14" t="n">
        <v>0</v>
      </c>
      <c r="J101" s="14" t="n">
        <v>-43161</v>
      </c>
      <c r="K101" s="14" t="n">
        <v>0</v>
      </c>
      <c r="L101" s="14" t="n">
        <v>0</v>
      </c>
      <c r="M101" s="14" t="n">
        <v>0</v>
      </c>
      <c r="N101" s="14" t="n">
        <v>-25189.56</v>
      </c>
      <c r="O101" s="14" t="n">
        <v>0</v>
      </c>
      <c r="P101" s="14" t="n">
        <v>0</v>
      </c>
      <c r="Q101" s="14" t="n">
        <v>0</v>
      </c>
      <c r="R101" s="14" t="n">
        <v>-169500</v>
      </c>
      <c r="S101" s="14" t="n">
        <v>0</v>
      </c>
      <c r="T101" s="14" t="n">
        <v>0</v>
      </c>
      <c r="U101" s="14" t="n">
        <v>0</v>
      </c>
      <c r="V101" s="18">
        <f>SUM(C101:U101)</f>
        <v/>
      </c>
      <c r="W101" s="19">
        <f>ROUND(B101-V101,4)</f>
        <v/>
      </c>
    </row>
    <row r="102">
      <c r="A102" s="8" t="inlineStr">
        <is>
          <t>Эсенбеков Кубат Элдияревич</t>
        </is>
      </c>
      <c r="B102" s="14" t="n">
        <v>-750334.6200000002</v>
      </c>
      <c r="C102" s="14" t="n">
        <v>0</v>
      </c>
      <c r="D102" s="14" t="n">
        <v>0</v>
      </c>
      <c r="E102" s="14" t="n">
        <v>0</v>
      </c>
      <c r="F102" s="14" t="n">
        <v>-5.820766091346741e-11</v>
      </c>
      <c r="G102" s="14" t="n">
        <v>2.91038304567337e-11</v>
      </c>
      <c r="H102" s="14" t="n">
        <v>0</v>
      </c>
      <c r="I102" s="14" t="n">
        <v>753.5999999999985</v>
      </c>
      <c r="J102" s="14" t="n">
        <v>-1625.220000000012</v>
      </c>
      <c r="K102" s="14" t="n">
        <v>0</v>
      </c>
      <c r="L102" s="14" t="n">
        <v>35181</v>
      </c>
      <c r="M102" s="14" t="n">
        <v>0</v>
      </c>
      <c r="N102" s="14" t="n">
        <v>-68944</v>
      </c>
      <c r="O102" s="14" t="n">
        <v>0</v>
      </c>
      <c r="P102" s="14" t="n">
        <v>0</v>
      </c>
      <c r="Q102" s="14" t="n">
        <v>0</v>
      </c>
      <c r="R102" s="14" t="n">
        <v>-715700</v>
      </c>
      <c r="S102" s="14" t="n">
        <v>0</v>
      </c>
      <c r="T102" s="14" t="n">
        <v>0</v>
      </c>
      <c r="U102" s="14" t="n">
        <v>0</v>
      </c>
      <c r="V102" s="18">
        <f>SUM(C102:U102)</f>
        <v/>
      </c>
      <c r="W102" s="19">
        <f>ROUND(B102-V102,4)</f>
        <v/>
      </c>
    </row>
    <row r="103">
      <c r="A103" s="8" t="inlineStr">
        <is>
          <t>Эсенбекова Айгуль Нурбекевна</t>
        </is>
      </c>
      <c r="B103" s="14" t="n">
        <v>-448734.06</v>
      </c>
      <c r="C103" s="14" t="n">
        <v>0</v>
      </c>
      <c r="D103" s="14" t="n">
        <v>0</v>
      </c>
      <c r="E103" s="14" t="n">
        <v>0</v>
      </c>
      <c r="F103" s="14" t="n">
        <v>-2.000888343900442e-11</v>
      </c>
      <c r="G103" s="14" t="n">
        <v>0</v>
      </c>
      <c r="H103" s="14" t="n">
        <v>0</v>
      </c>
      <c r="I103" s="14" t="n">
        <v>407.7999999999956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-40641.86</v>
      </c>
      <c r="O103" s="14" t="n">
        <v>0</v>
      </c>
      <c r="P103" s="14" t="n">
        <v>0</v>
      </c>
      <c r="Q103" s="14" t="n">
        <v>0</v>
      </c>
      <c r="R103" s="14" t="n">
        <v>-408500</v>
      </c>
      <c r="S103" s="14" t="n">
        <v>0</v>
      </c>
      <c r="T103" s="14" t="n">
        <v>0</v>
      </c>
      <c r="U103" s="14" t="n">
        <v>0</v>
      </c>
      <c r="V103" s="18">
        <f>SUM(C103:U103)</f>
        <v/>
      </c>
      <c r="W103" s="19">
        <f>ROUND(B103-V103,4)</f>
        <v/>
      </c>
    </row>
    <row r="104">
      <c r="A104" s="20" t="inlineStr">
        <is>
          <t>ИТОГО</t>
        </is>
      </c>
      <c r="B104" s="17">
        <f>SUM(B4:B103)</f>
        <v/>
      </c>
      <c r="C104" s="17">
        <f>SUM(C4:C103)</f>
        <v/>
      </c>
      <c r="D104" s="17">
        <f>SUM(D4:D103)</f>
        <v/>
      </c>
      <c r="E104" s="17">
        <f>SUM(E4:E103)</f>
        <v/>
      </c>
      <c r="F104" s="17">
        <f>SUM(F4:F103)</f>
        <v/>
      </c>
      <c r="G104" s="17">
        <f>SUM(G4:G103)</f>
        <v/>
      </c>
      <c r="H104" s="17">
        <f>SUM(H4:H103)</f>
        <v/>
      </c>
      <c r="I104" s="17">
        <f>SUM(I4:I103)</f>
        <v/>
      </c>
      <c r="J104" s="17">
        <f>SUM(J4:J103)</f>
        <v/>
      </c>
      <c r="K104" s="17">
        <f>SUM(K4:K103)</f>
        <v/>
      </c>
      <c r="L104" s="17">
        <f>SUM(L4:L103)</f>
        <v/>
      </c>
      <c r="M104" s="17">
        <f>SUM(M4:M103)</f>
        <v/>
      </c>
      <c r="N104" s="17">
        <f>SUM(N4:N103)</f>
        <v/>
      </c>
      <c r="O104" s="17">
        <f>SUM(O4:O103)</f>
        <v/>
      </c>
      <c r="P104" s="17">
        <f>SUM(P4:P103)</f>
        <v/>
      </c>
      <c r="Q104" s="17">
        <f>SUM(Q4:Q103)</f>
        <v/>
      </c>
      <c r="R104" s="17">
        <f>SUM(R4:R103)</f>
        <v/>
      </c>
      <c r="S104" s="17">
        <f>SUM(S4:S103)</f>
        <v/>
      </c>
      <c r="T104" s="17">
        <f>SUM(T4:T103)</f>
        <v/>
      </c>
      <c r="U104" s="17">
        <f>SUM(U4:U103)</f>
        <v/>
      </c>
      <c r="V104" s="17">
        <f>SUM(V4:V103)</f>
        <v/>
      </c>
      <c r="W104" s="19">
        <f>SUM(W4:W103)</f>
        <v/>
      </c>
    </row>
  </sheetData>
  <autoFilter ref="A3:U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25" customWidth="1" min="9" max="9"/>
    <col width="25" customWidth="1" min="10" max="10"/>
    <col width="25" customWidth="1" min="11" max="11"/>
    <col width="17" customWidth="1" min="12" max="12"/>
    <col width="20" customWidth="1" min="13" max="13"/>
    <col width="22" customWidth="1" min="14" max="14"/>
  </cols>
  <sheetData>
    <row r="1">
      <c r="A1" s="1" t="inlineStr">
        <is>
          <t>Помесячная проверка тождества (без подгонки)</t>
        </is>
      </c>
    </row>
    <row r="2">
      <c r="A2" s="2" t="inlineStr">
        <is>
          <t>Изменение разрыва за месяц обязано равняться: арифметика акта + оборот 1С + оборот ETM. «Остаток тождества» — формула.</t>
        </is>
      </c>
    </row>
    <row r="3" ht="42" customHeight="1">
      <c r="A3" s="13" t="inlineStr">
        <is>
          <t>Субагент</t>
        </is>
      </c>
      <c r="B3" s="13" t="inlineStr">
        <is>
          <t>Месяц</t>
        </is>
      </c>
      <c r="C3" s="13" t="inlineStr">
        <is>
          <t>Сальдо 1С начало</t>
        </is>
      </c>
      <c r="D3" s="13" t="inlineStr">
        <is>
          <t>Сальдо 1С конец</t>
        </is>
      </c>
      <c r="E3" s="13" t="inlineStr">
        <is>
          <t>Оборот 1С</t>
        </is>
      </c>
      <c r="F3" s="13" t="inlineStr">
        <is>
          <t>Баланс ETM начало</t>
        </is>
      </c>
      <c r="G3" s="13" t="inlineStr">
        <is>
          <t>Баланс ETM конец</t>
        </is>
      </c>
      <c r="H3" s="13" t="inlineStr">
        <is>
          <t>Оборот ETM</t>
        </is>
      </c>
      <c r="I3" s="13" t="inlineStr">
        <is>
          <t>Разрыв начало</t>
        </is>
      </c>
      <c r="J3" s="13" t="inlineStr">
        <is>
          <t>Разрыв конец</t>
        </is>
      </c>
      <c r="K3" s="13" t="inlineStr">
        <is>
          <t>Арифметика акта</t>
        </is>
      </c>
      <c r="L3" s="13" t="inlineStr">
        <is>
          <t>Разрыв сальдо между актами?</t>
        </is>
      </c>
      <c r="M3" s="13" t="inlineStr">
        <is>
          <t>Скачок сальдо 1С на входе</t>
        </is>
      </c>
      <c r="N3" s="13" t="inlineStr">
        <is>
          <t>Остаток тождества (≈0)</t>
        </is>
      </c>
    </row>
    <row r="4">
      <c r="A4" s="8" t="inlineStr">
        <is>
          <t>Ak-Bulak Voyage</t>
        </is>
      </c>
      <c r="B4" s="8" t="inlineStr">
        <is>
          <t>2026-01</t>
        </is>
      </c>
      <c r="C4" s="14" t="n">
        <v>0</v>
      </c>
      <c r="D4" s="14" t="n">
        <v>-398788.25</v>
      </c>
      <c r="E4" s="14" t="n">
        <v>-398788.25</v>
      </c>
      <c r="F4" s="14" t="n">
        <v>0</v>
      </c>
      <c r="G4" s="14" t="n">
        <v>398781.33</v>
      </c>
      <c r="H4" s="14" t="n">
        <v>398781.33</v>
      </c>
      <c r="I4" s="14" t="n">
        <v>0</v>
      </c>
      <c r="J4" s="14" t="n">
        <v>-6.92000000004191</v>
      </c>
      <c r="K4" s="14" t="n">
        <v>0</v>
      </c>
      <c r="L4" s="8" t="b">
        <v>0</v>
      </c>
      <c r="M4" s="14" t="n">
        <v>0</v>
      </c>
      <c r="N4" s="19">
        <f>ROUND((J4-I4)-(K4+E4+H4),4)</f>
        <v/>
      </c>
    </row>
    <row r="5">
      <c r="A5" s="8" t="inlineStr">
        <is>
          <t>Ak-Bulak Voyage</t>
        </is>
      </c>
      <c r="B5" s="8" t="inlineStr">
        <is>
          <t>2026-03</t>
        </is>
      </c>
      <c r="C5" s="14" t="n">
        <v>102299.63</v>
      </c>
      <c r="D5" s="14" t="n">
        <v>-162591.5</v>
      </c>
      <c r="E5" s="14" t="n">
        <v>-264891.13</v>
      </c>
      <c r="F5" s="14" t="n">
        <v>-103591.35</v>
      </c>
      <c r="G5" s="14" t="n">
        <v>724099.78</v>
      </c>
      <c r="H5" s="14" t="n">
        <v>827691.13</v>
      </c>
      <c r="I5" s="14" t="n">
        <v>-1291.719999999972</v>
      </c>
      <c r="J5" s="14" t="n">
        <v>561508.28</v>
      </c>
      <c r="K5" s="14" t="n">
        <v>0</v>
      </c>
      <c r="L5" s="8" t="b">
        <v>0</v>
      </c>
      <c r="M5" s="14" t="n">
        <v>501087.88</v>
      </c>
      <c r="N5" s="19">
        <f>ROUND((J5-I5)-(K5+E5+H5),4)</f>
        <v/>
      </c>
    </row>
    <row r="6">
      <c r="A6" s="8" t="inlineStr">
        <is>
          <t>Ak-Bulak Voyage</t>
        </is>
      </c>
      <c r="B6" s="8" t="inlineStr">
        <is>
          <t>2026-04</t>
        </is>
      </c>
      <c r="C6" s="14" t="n">
        <v>-162591.5</v>
      </c>
      <c r="D6" s="14" t="n">
        <v>-253907.41</v>
      </c>
      <c r="E6" s="14" t="n">
        <v>-91315.90999999999</v>
      </c>
      <c r="F6" s="14" t="n">
        <v>724099.78</v>
      </c>
      <c r="G6" s="14" t="n">
        <v>815415.6900000001</v>
      </c>
      <c r="H6" s="14" t="n">
        <v>91315.91000000003</v>
      </c>
      <c r="I6" s="14" t="n">
        <v>561508.28</v>
      </c>
      <c r="J6" s="14" t="n">
        <v>561508.28</v>
      </c>
      <c r="K6" s="14" t="n">
        <v>-2.91038304567337e-11</v>
      </c>
      <c r="L6" s="8" t="b">
        <v>0</v>
      </c>
      <c r="M6" s="14" t="n">
        <v>0</v>
      </c>
      <c r="N6" s="19">
        <f>ROUND((J6-I6)-(K6+E6+H6),4)</f>
        <v/>
      </c>
    </row>
    <row r="7">
      <c r="A7" s="8" t="inlineStr">
        <is>
          <t>Ak-Bulak Voyage</t>
        </is>
      </c>
      <c r="B7" s="8" t="inlineStr">
        <is>
          <t>2026-05</t>
        </is>
      </c>
      <c r="C7" s="14" t="n">
        <v>-253907.41</v>
      </c>
      <c r="D7" s="14" t="n">
        <v>-610056.98</v>
      </c>
      <c r="E7" s="14" t="n">
        <v>-356149.5700000001</v>
      </c>
      <c r="F7" s="14" t="n">
        <v>815415.6899999997</v>
      </c>
      <c r="G7" s="14" t="n">
        <v>1171565.26</v>
      </c>
      <c r="H7" s="14" t="n">
        <v>356149.57</v>
      </c>
      <c r="I7" s="14" t="n">
        <v>561508.2799999997</v>
      </c>
      <c r="J7" s="14" t="n">
        <v>561508.2799999998</v>
      </c>
      <c r="K7" s="14" t="n">
        <v>1.164153218269348e-10</v>
      </c>
      <c r="L7" s="8" t="b">
        <v>0</v>
      </c>
      <c r="M7" s="14" t="n">
        <v>0</v>
      </c>
      <c r="N7" s="19">
        <f>ROUND((J7-I7)-(K7+E7+H7),4)</f>
        <v/>
      </c>
    </row>
    <row r="8">
      <c r="A8" s="8" t="inlineStr">
        <is>
          <t>Ak-Bulak Voyage</t>
        </is>
      </c>
      <c r="B8" s="8" t="inlineStr">
        <is>
          <t>2026-06</t>
        </is>
      </c>
      <c r="C8" s="14" t="n">
        <v>-610056.98</v>
      </c>
      <c r="D8" s="14" t="n">
        <v>-326732.13</v>
      </c>
      <c r="E8" s="14" t="n">
        <v>283324.85</v>
      </c>
      <c r="F8" s="14" t="n">
        <v>1171565.26</v>
      </c>
      <c r="G8" s="14" t="n">
        <v>888240.4099999998</v>
      </c>
      <c r="H8" s="14" t="n">
        <v>-283324.85</v>
      </c>
      <c r="I8" s="14" t="n">
        <v>561508.2799999998</v>
      </c>
      <c r="J8" s="14" t="n">
        <v>561508.2799999998</v>
      </c>
      <c r="K8" s="14" t="n">
        <v>0</v>
      </c>
      <c r="L8" s="8" t="b">
        <v>0</v>
      </c>
      <c r="M8" s="14" t="n">
        <v>0</v>
      </c>
      <c r="N8" s="19">
        <f>ROUND((J8-I8)-(K8+E8+H8),4)</f>
        <v/>
      </c>
    </row>
    <row r="9">
      <c r="A9" s="8" t="inlineStr">
        <is>
          <t>Ak-Bulak Voyage</t>
        </is>
      </c>
      <c r="B9" s="8" t="inlineStr">
        <is>
          <t>2026-07</t>
        </is>
      </c>
      <c r="C9" s="14" t="n">
        <v>-326732.13</v>
      </c>
      <c r="D9" s="14" t="n">
        <v>-377925.16</v>
      </c>
      <c r="E9" s="14" t="n">
        <v>-51193.03000000003</v>
      </c>
      <c r="F9" s="14" t="n">
        <v>888240.4100000001</v>
      </c>
      <c r="G9" s="14" t="n">
        <v>939433.4400000001</v>
      </c>
      <c r="H9" s="14" t="n">
        <v>51193.02999999997</v>
      </c>
      <c r="I9" s="14" t="n">
        <v>561508.2800000001</v>
      </c>
      <c r="J9" s="14" t="n">
        <v>561508.28</v>
      </c>
      <c r="K9" s="14" t="n">
        <v>5.820766091346741e-11</v>
      </c>
      <c r="L9" s="8" t="b">
        <v>0</v>
      </c>
      <c r="M9" s="14" t="n">
        <v>0</v>
      </c>
      <c r="N9" s="19">
        <f>ROUND((J9-I9)-(K9+E9+H9),4)</f>
        <v/>
      </c>
    </row>
    <row r="10">
      <c r="A10" s="8" t="inlineStr">
        <is>
          <t>Ala-Too Travel</t>
        </is>
      </c>
      <c r="B10" s="8" t="inlineStr">
        <is>
          <t>2026-01</t>
        </is>
      </c>
      <c r="C10" s="14" t="n">
        <v>0</v>
      </c>
      <c r="D10" s="14" t="n">
        <v>-147353.8</v>
      </c>
      <c r="E10" s="14" t="n">
        <v>-147353.8</v>
      </c>
      <c r="F10" s="14" t="n">
        <v>-3233430.48</v>
      </c>
      <c r="G10" s="14" t="n">
        <v>-3086076.68</v>
      </c>
      <c r="H10" s="14" t="n">
        <v>147353.8</v>
      </c>
      <c r="I10" s="14" t="n">
        <v>-3233430.48</v>
      </c>
      <c r="J10" s="14" t="n">
        <v>-3233430.48</v>
      </c>
      <c r="K10" s="14" t="n">
        <v>0</v>
      </c>
      <c r="L10" s="8" t="b">
        <v>0</v>
      </c>
      <c r="M10" s="14" t="n">
        <v>0</v>
      </c>
      <c r="N10" s="19">
        <f>ROUND((J10-I10)-(K10+E10+H10),4)</f>
        <v/>
      </c>
    </row>
    <row r="11">
      <c r="A11" s="8" t="inlineStr">
        <is>
          <t>Ala-Too Travel</t>
        </is>
      </c>
      <c r="B11" s="8" t="inlineStr">
        <is>
          <t>2026-02</t>
        </is>
      </c>
      <c r="C11" s="14" t="n">
        <v>-147353.8</v>
      </c>
      <c r="D11" s="14" t="n">
        <v>-266377.05</v>
      </c>
      <c r="E11" s="14" t="n">
        <v>-119023.25</v>
      </c>
      <c r="F11" s="14" t="n">
        <v>-3086076.68</v>
      </c>
      <c r="G11" s="14" t="n">
        <v>-2967053.43</v>
      </c>
      <c r="H11" s="14" t="n">
        <v>119023.25</v>
      </c>
      <c r="I11" s="14" t="n">
        <v>-3233430.48</v>
      </c>
      <c r="J11" s="14" t="n">
        <v>-3233430.48</v>
      </c>
      <c r="K11" s="14" t="n">
        <v>0</v>
      </c>
      <c r="L11" s="8" t="b">
        <v>0</v>
      </c>
      <c r="M11" s="14" t="n">
        <v>0</v>
      </c>
      <c r="N11" s="19">
        <f>ROUND((J11-I11)-(K11+E11+H11),4)</f>
        <v/>
      </c>
    </row>
    <row r="12">
      <c r="A12" s="8" t="inlineStr">
        <is>
          <t>Ala-Too Travel</t>
        </is>
      </c>
      <c r="B12" s="8" t="inlineStr">
        <is>
          <t>2026-03</t>
        </is>
      </c>
      <c r="C12" s="14" t="n">
        <v>-266377.05</v>
      </c>
      <c r="D12" s="14" t="n">
        <v>-1072376.21</v>
      </c>
      <c r="E12" s="14" t="n">
        <v>-805999.1599999999</v>
      </c>
      <c r="F12" s="14" t="n">
        <v>-2967053.43</v>
      </c>
      <c r="G12" s="14" t="n">
        <v>-2161054.27</v>
      </c>
      <c r="H12" s="14" t="n">
        <v>805999.1599999999</v>
      </c>
      <c r="I12" s="14" t="n">
        <v>-3233430.48</v>
      </c>
      <c r="J12" s="14" t="n">
        <v>-3233430.48</v>
      </c>
      <c r="K12" s="14" t="n">
        <v>0</v>
      </c>
      <c r="L12" s="8" t="b">
        <v>0</v>
      </c>
      <c r="M12" s="14" t="n">
        <v>0</v>
      </c>
      <c r="N12" s="19">
        <f>ROUND((J12-I12)-(K12+E12+H12),4)</f>
        <v/>
      </c>
    </row>
    <row r="13">
      <c r="A13" s="8" t="inlineStr">
        <is>
          <t>Ala-Too Travel</t>
        </is>
      </c>
      <c r="B13" s="8" t="inlineStr">
        <is>
          <t>2026-04</t>
        </is>
      </c>
      <c r="C13" s="14" t="n">
        <v>-1072376.21</v>
      </c>
      <c r="D13" s="14" t="n">
        <v>-1004260.13</v>
      </c>
      <c r="E13" s="14" t="n">
        <v>68116.08000000002</v>
      </c>
      <c r="F13" s="14" t="n">
        <v>-2161054.27</v>
      </c>
      <c r="G13" s="14" t="n">
        <v>-2229170.35</v>
      </c>
      <c r="H13" s="14" t="n">
        <v>-68116.08000000002</v>
      </c>
      <c r="I13" s="14" t="n">
        <v>-3233430.48</v>
      </c>
      <c r="J13" s="14" t="n">
        <v>-3233430.48</v>
      </c>
      <c r="K13" s="14" t="n">
        <v>-1.164153218269348e-10</v>
      </c>
      <c r="L13" s="8" t="b">
        <v>0</v>
      </c>
      <c r="M13" s="14" t="n">
        <v>0</v>
      </c>
      <c r="N13" s="19">
        <f>ROUND((J13-I13)-(K13+E13+H13),4)</f>
        <v/>
      </c>
    </row>
    <row r="14">
      <c r="A14" s="8" t="inlineStr">
        <is>
          <t>Ala-Too Travel</t>
        </is>
      </c>
      <c r="B14" s="8" t="inlineStr">
        <is>
          <t>2026-05</t>
        </is>
      </c>
      <c r="C14" s="14" t="n">
        <v>-1004260.13</v>
      </c>
      <c r="D14" s="14" t="n">
        <v>-563010.87</v>
      </c>
      <c r="E14" s="14" t="n">
        <v>441249.26</v>
      </c>
      <c r="F14" s="14" t="n">
        <v>-2229170.35</v>
      </c>
      <c r="G14" s="14" t="n">
        <v>-2670419.61</v>
      </c>
      <c r="H14" s="14" t="n">
        <v>-441249.26</v>
      </c>
      <c r="I14" s="14" t="n">
        <v>-3233430.48</v>
      </c>
      <c r="J14" s="14" t="n">
        <v>-3233430.48</v>
      </c>
      <c r="K14" s="14" t="n">
        <v>0</v>
      </c>
      <c r="L14" s="8" t="b">
        <v>0</v>
      </c>
      <c r="M14" s="14" t="n">
        <v>0</v>
      </c>
      <c r="N14" s="19">
        <f>ROUND((J14-I14)-(K14+E14+H14),4)</f>
        <v/>
      </c>
    </row>
    <row r="15">
      <c r="A15" s="8" t="inlineStr">
        <is>
          <t>Ala-Too Travel</t>
        </is>
      </c>
      <c r="B15" s="8" t="inlineStr">
        <is>
          <t>2026-06</t>
        </is>
      </c>
      <c r="C15" s="14" t="n">
        <v>-563010.87</v>
      </c>
      <c r="D15" s="14" t="n">
        <v>-434234.69</v>
      </c>
      <c r="E15" s="14" t="n">
        <v>128776.18</v>
      </c>
      <c r="F15" s="14" t="n">
        <v>-2670419.61</v>
      </c>
      <c r="G15" s="14" t="n">
        <v>-2831462.33</v>
      </c>
      <c r="H15" s="14" t="n">
        <v>-161042.72</v>
      </c>
      <c r="I15" s="14" t="n">
        <v>-3233430.48</v>
      </c>
      <c r="J15" s="14" t="n">
        <v>-3265697.02</v>
      </c>
      <c r="K15" s="14" t="n">
        <v>0</v>
      </c>
      <c r="L15" s="8" t="b">
        <v>0</v>
      </c>
      <c r="M15" s="14" t="n">
        <v>0</v>
      </c>
      <c r="N15" s="19">
        <f>ROUND((J15-I15)-(K15+E15+H15),4)</f>
        <v/>
      </c>
    </row>
    <row r="16">
      <c r="A16" s="8" t="inlineStr">
        <is>
          <t>Ala-Too Travel</t>
        </is>
      </c>
      <c r="B16" s="8" t="inlineStr">
        <is>
          <t>2026-07</t>
        </is>
      </c>
      <c r="C16" s="14" t="n">
        <v>-434234.69</v>
      </c>
      <c r="D16" s="14" t="n">
        <v>20493.07</v>
      </c>
      <c r="E16" s="14" t="n">
        <v>454727.76</v>
      </c>
      <c r="F16" s="14" t="n">
        <v>-2831462.33</v>
      </c>
      <c r="G16" s="14" t="n">
        <v>-3337800.6</v>
      </c>
      <c r="H16" s="14" t="n">
        <v>-506338.27</v>
      </c>
      <c r="I16" s="14" t="n">
        <v>-3265697.02</v>
      </c>
      <c r="J16" s="14" t="n">
        <v>-3317307.53</v>
      </c>
      <c r="K16" s="14" t="n">
        <v>-7.275957614183426e-12</v>
      </c>
      <c r="L16" s="8" t="b">
        <v>0</v>
      </c>
      <c r="M16" s="14" t="n">
        <v>0</v>
      </c>
      <c r="N16" s="19">
        <f>ROUND((J16-I16)-(K16+E16+H16),4)</f>
        <v/>
      </c>
    </row>
    <row r="17">
      <c r="A17" s="8" t="inlineStr">
        <is>
          <t>Aylana Tour</t>
        </is>
      </c>
      <c r="B17" s="8" t="inlineStr">
        <is>
          <t>2026-01</t>
        </is>
      </c>
      <c r="C17" s="14" t="n">
        <v>0</v>
      </c>
      <c r="D17" s="14" t="n">
        <v>371506.63</v>
      </c>
      <c r="E17" s="14" t="n">
        <v>371506.63</v>
      </c>
      <c r="F17" s="14" t="n">
        <v>-155441.16</v>
      </c>
      <c r="G17" s="14" t="n">
        <v>-531071.4</v>
      </c>
      <c r="H17" s="14" t="n">
        <v>-375630.24</v>
      </c>
      <c r="I17" s="14" t="n">
        <v>-155441.16</v>
      </c>
      <c r="J17" s="14" t="n">
        <v>-159564.77</v>
      </c>
      <c r="K17" s="14" t="n">
        <v>0</v>
      </c>
      <c r="L17" s="8" t="b">
        <v>0</v>
      </c>
      <c r="M17" s="14" t="n">
        <v>0</v>
      </c>
      <c r="N17" s="19">
        <f>ROUND((J17-I17)-(K17+E17+H17),4)</f>
        <v/>
      </c>
    </row>
    <row r="18">
      <c r="A18" s="8" t="inlineStr">
        <is>
          <t>Aylana Tour</t>
        </is>
      </c>
      <c r="B18" s="8" t="inlineStr">
        <is>
          <t>2026-02</t>
        </is>
      </c>
      <c r="C18" s="14" t="n">
        <v>371506.63</v>
      </c>
      <c r="D18" s="14" t="n">
        <v>-1082647.77</v>
      </c>
      <c r="E18" s="14" t="n">
        <v>-1454154.4</v>
      </c>
      <c r="F18" s="14" t="n">
        <v>-531071.3999999998</v>
      </c>
      <c r="G18" s="14" t="n">
        <v>923083.0000000001</v>
      </c>
      <c r="H18" s="14" t="n">
        <v>1454154.4</v>
      </c>
      <c r="I18" s="14" t="n">
        <v>-159564.7699999998</v>
      </c>
      <c r="J18" s="14" t="n">
        <v>-159564.7699999999</v>
      </c>
      <c r="K18" s="14" t="n">
        <v>0</v>
      </c>
      <c r="L18" s="8" t="b">
        <v>0</v>
      </c>
      <c r="M18" s="14" t="n">
        <v>0</v>
      </c>
      <c r="N18" s="19">
        <f>ROUND((J18-I18)-(K18+E18+H18),4)</f>
        <v/>
      </c>
    </row>
    <row r="19">
      <c r="A19" s="8" t="inlineStr">
        <is>
          <t>Aylana Tour</t>
        </is>
      </c>
      <c r="B19" s="8" t="inlineStr">
        <is>
          <t>2026-03</t>
        </is>
      </c>
      <c r="C19" s="14" t="n">
        <v>-1055147.77</v>
      </c>
      <c r="D19" s="14" t="n">
        <v>-1366718.54</v>
      </c>
      <c r="E19" s="14" t="n">
        <v>-311570.77</v>
      </c>
      <c r="F19" s="14" t="n">
        <v>923082.9999999998</v>
      </c>
      <c r="G19" s="14" t="n">
        <v>1224453.77</v>
      </c>
      <c r="H19" s="14" t="n">
        <v>301370.77</v>
      </c>
      <c r="I19" s="14" t="n">
        <v>-132064.7700000003</v>
      </c>
      <c r="J19" s="14" t="n">
        <v>-142264.7700000003</v>
      </c>
      <c r="K19" s="14" t="n">
        <v>0</v>
      </c>
      <c r="L19" s="8" t="b">
        <v>1</v>
      </c>
      <c r="M19" s="14" t="n">
        <v>27500</v>
      </c>
      <c r="N19" s="19">
        <f>ROUND((J19-I19)-(K19+E19+H19),4)</f>
        <v/>
      </c>
    </row>
    <row r="20">
      <c r="A20" s="8" t="inlineStr">
        <is>
          <t>Aylana Tour</t>
        </is>
      </c>
      <c r="B20" s="8" t="inlineStr">
        <is>
          <t>2026-04</t>
        </is>
      </c>
      <c r="C20" s="14" t="n">
        <v>-1366718.54</v>
      </c>
      <c r="D20" s="14" t="n">
        <v>-1266818.21</v>
      </c>
      <c r="E20" s="14" t="n">
        <v>99900.33000000002</v>
      </c>
      <c r="F20" s="14" t="n">
        <v>1224453.77</v>
      </c>
      <c r="G20" s="14" t="n">
        <v>1098666.18</v>
      </c>
      <c r="H20" s="14" t="n">
        <v>-125787.59</v>
      </c>
      <c r="I20" s="14" t="n">
        <v>-142264.77</v>
      </c>
      <c r="J20" s="14" t="n">
        <v>-168152.03</v>
      </c>
      <c r="K20" s="14" t="n">
        <v>0</v>
      </c>
      <c r="L20" s="8" t="b">
        <v>0</v>
      </c>
      <c r="M20" s="14" t="n">
        <v>0</v>
      </c>
      <c r="N20" s="19">
        <f>ROUND((J20-I20)-(K20+E20+H20),4)</f>
        <v/>
      </c>
    </row>
    <row r="21">
      <c r="A21" s="8" t="inlineStr">
        <is>
          <t>Aylana Tour</t>
        </is>
      </c>
      <c r="B21" s="8" t="inlineStr">
        <is>
          <t>2026-05</t>
        </is>
      </c>
      <c r="C21" s="14" t="n">
        <v>-1266818.21</v>
      </c>
      <c r="D21" s="14" t="n">
        <v>-451883.26</v>
      </c>
      <c r="E21" s="14" t="n">
        <v>814934.95</v>
      </c>
      <c r="F21" s="14" t="n">
        <v>1098666.18</v>
      </c>
      <c r="G21" s="14" t="n">
        <v>242312.96</v>
      </c>
      <c r="H21" s="14" t="n">
        <v>-856353.22</v>
      </c>
      <c r="I21" s="14" t="n">
        <v>-168152.03</v>
      </c>
      <c r="J21" s="14" t="n">
        <v>-209570.3</v>
      </c>
      <c r="K21" s="14" t="n">
        <v>0</v>
      </c>
      <c r="L21" s="8" t="b">
        <v>0</v>
      </c>
      <c r="M21" s="14" t="n">
        <v>0</v>
      </c>
      <c r="N21" s="19">
        <f>ROUND((J21-I21)-(K21+E21+H21),4)</f>
        <v/>
      </c>
    </row>
    <row r="22">
      <c r="A22" s="8" t="inlineStr">
        <is>
          <t>Aylana Tour</t>
        </is>
      </c>
      <c r="B22" s="8" t="inlineStr">
        <is>
          <t>2026-06</t>
        </is>
      </c>
      <c r="C22" s="14" t="n">
        <v>-451883.26</v>
      </c>
      <c r="D22" s="14" t="n">
        <v>-1044280.14</v>
      </c>
      <c r="E22" s="14" t="n">
        <v>-592396.8799999999</v>
      </c>
      <c r="F22" s="14" t="n">
        <v>242312.96</v>
      </c>
      <c r="G22" s="14" t="n">
        <v>259009.8399999999</v>
      </c>
      <c r="H22" s="14" t="n">
        <v>16696.87999999984</v>
      </c>
      <c r="I22" s="14" t="n">
        <v>-209570.3</v>
      </c>
      <c r="J22" s="14" t="n">
        <v>-785270.3000000002</v>
      </c>
      <c r="K22" s="14" t="n">
        <v>-1.164153218269348e-10</v>
      </c>
      <c r="L22" s="8" t="b">
        <v>0</v>
      </c>
      <c r="M22" s="14" t="n">
        <v>0</v>
      </c>
      <c r="N22" s="19">
        <f>ROUND((J22-I22)-(K22+E22+H22),4)</f>
        <v/>
      </c>
    </row>
    <row r="23">
      <c r="A23" s="8" t="inlineStr">
        <is>
          <t>Aylana Tour</t>
        </is>
      </c>
      <c r="B23" s="8" t="inlineStr">
        <is>
          <t>2026-07</t>
        </is>
      </c>
      <c r="C23" s="14" t="n">
        <v>-1044280.14</v>
      </c>
      <c r="D23" s="14" t="n">
        <v>-1098766.32</v>
      </c>
      <c r="E23" s="14" t="n">
        <v>-54486.18000000001</v>
      </c>
      <c r="F23" s="14" t="n">
        <v>259009.8399999996</v>
      </c>
      <c r="G23" s="14" t="n">
        <v>-196305.0700000003</v>
      </c>
      <c r="H23" s="14" t="n">
        <v>-455314.9099999999</v>
      </c>
      <c r="I23" s="14" t="n">
        <v>-785270.3000000004</v>
      </c>
      <c r="J23" s="14" t="n">
        <v>-1295071.39</v>
      </c>
      <c r="K23" s="14" t="n">
        <v>0</v>
      </c>
      <c r="L23" s="8" t="b">
        <v>0</v>
      </c>
      <c r="M23" s="14" t="n">
        <v>0</v>
      </c>
      <c r="N23" s="19">
        <f>ROUND((J23-I23)-(K23+E23+H23),4)</f>
        <v/>
      </c>
    </row>
    <row r="24">
      <c r="A24" s="8" t="inlineStr">
        <is>
          <t>Bishkek Fly</t>
        </is>
      </c>
      <c r="B24" s="8" t="inlineStr">
        <is>
          <t>2026-01</t>
        </is>
      </c>
      <c r="C24" s="14" t="n">
        <v>608241.92</v>
      </c>
      <c r="D24" s="14" t="n">
        <v>776652.15</v>
      </c>
      <c r="E24" s="14" t="n">
        <v>168410.23</v>
      </c>
      <c r="F24" s="14" t="n">
        <v>-873391.03</v>
      </c>
      <c r="G24" s="14" t="n">
        <v>-1041703.22</v>
      </c>
      <c r="H24" s="14" t="n">
        <v>-168312.19</v>
      </c>
      <c r="I24" s="14" t="n">
        <v>-265149.11</v>
      </c>
      <c r="J24" s="14" t="n">
        <v>-265051.0699999999</v>
      </c>
      <c r="K24" s="14" t="n">
        <v>0</v>
      </c>
      <c r="L24" s="8" t="b">
        <v>0</v>
      </c>
      <c r="M24" s="14" t="n">
        <v>0</v>
      </c>
      <c r="N24" s="19">
        <f>ROUND((J24-I24)-(K24+E24+H24),4)</f>
        <v/>
      </c>
    </row>
    <row r="25">
      <c r="A25" s="8" t="inlineStr">
        <is>
          <t>Bishkek Fly</t>
        </is>
      </c>
      <c r="B25" s="8" t="inlineStr">
        <is>
          <t>2026-02</t>
        </is>
      </c>
      <c r="C25" s="14" t="n">
        <v>776652.15</v>
      </c>
      <c r="D25" s="14" t="n">
        <v>524424.16</v>
      </c>
      <c r="E25" s="14" t="n">
        <v>-252227.99</v>
      </c>
      <c r="F25" s="14" t="n">
        <v>-1041703.22</v>
      </c>
      <c r="G25" s="14" t="n">
        <v>-1083175.23</v>
      </c>
      <c r="H25" s="14" t="n">
        <v>-41472.00999999999</v>
      </c>
      <c r="I25" s="14" t="n">
        <v>-265051.0699999999</v>
      </c>
      <c r="J25" s="14" t="n">
        <v>-558751.0699999999</v>
      </c>
      <c r="K25" s="14" t="n">
        <v>0</v>
      </c>
      <c r="L25" s="8" t="b">
        <v>0</v>
      </c>
      <c r="M25" s="14" t="n">
        <v>0</v>
      </c>
      <c r="N25" s="19">
        <f>ROUND((J25-I25)-(K25+E25+H25),4)</f>
        <v/>
      </c>
    </row>
    <row r="26">
      <c r="A26" s="8" t="inlineStr">
        <is>
          <t>Bishkek Fly</t>
        </is>
      </c>
      <c r="B26" s="8" t="inlineStr">
        <is>
          <t>2026-03</t>
        </is>
      </c>
      <c r="C26" s="14" t="n">
        <v>524424.16</v>
      </c>
      <c r="D26" s="14" t="n">
        <v>768557.86</v>
      </c>
      <c r="E26" s="14" t="n">
        <v>244133.7</v>
      </c>
      <c r="F26" s="14" t="n">
        <v>-1083175.23</v>
      </c>
      <c r="G26" s="14" t="n">
        <v>-1327308.93</v>
      </c>
      <c r="H26" s="14" t="n">
        <v>-244133.7</v>
      </c>
      <c r="I26" s="14" t="n">
        <v>-558751.0699999999</v>
      </c>
      <c r="J26" s="14" t="n">
        <v>-558751.0699999999</v>
      </c>
      <c r="K26" s="14" t="n">
        <v>-1.164153218269348e-10</v>
      </c>
      <c r="L26" s="8" t="b">
        <v>0</v>
      </c>
      <c r="M26" s="14" t="n">
        <v>0</v>
      </c>
      <c r="N26" s="19">
        <f>ROUND((J26-I26)-(K26+E26+H26),4)</f>
        <v/>
      </c>
    </row>
    <row r="27">
      <c r="A27" s="8" t="inlineStr">
        <is>
          <t>Bishkek Fly</t>
        </is>
      </c>
      <c r="B27" s="8" t="inlineStr">
        <is>
          <t>2026-04</t>
        </is>
      </c>
      <c r="C27" s="14" t="n">
        <v>768557.86</v>
      </c>
      <c r="D27" s="14" t="n">
        <v>-385204.7</v>
      </c>
      <c r="E27" s="14" t="n">
        <v>-1153762.56</v>
      </c>
      <c r="F27" s="14" t="n">
        <v>-1327308.93</v>
      </c>
      <c r="G27" s="14" t="n">
        <v>-470506.9799999999</v>
      </c>
      <c r="H27" s="14" t="n">
        <v>856801.95</v>
      </c>
      <c r="I27" s="14" t="n">
        <v>-558751.0699999999</v>
      </c>
      <c r="J27" s="14" t="n">
        <v>-855711.6799999999</v>
      </c>
      <c r="K27" s="14" t="n">
        <v>5.820766091346741e-11</v>
      </c>
      <c r="L27" s="8" t="b">
        <v>0</v>
      </c>
      <c r="M27" s="14" t="n">
        <v>0</v>
      </c>
      <c r="N27" s="19">
        <f>ROUND((J27-I27)-(K27+E27+H27),4)</f>
        <v/>
      </c>
    </row>
    <row r="28">
      <c r="A28" s="8" t="inlineStr">
        <is>
          <t>Bishkek Fly</t>
        </is>
      </c>
      <c r="B28" s="8" t="inlineStr">
        <is>
          <t>2026-05</t>
        </is>
      </c>
      <c r="C28" s="14" t="n">
        <v>-385204.7</v>
      </c>
      <c r="D28" s="14" t="n">
        <v>-47229.31</v>
      </c>
      <c r="E28" s="14" t="n">
        <v>337975.39</v>
      </c>
      <c r="F28" s="14" t="n">
        <v>-470506.9799999999</v>
      </c>
      <c r="G28" s="14" t="n">
        <v>-822553.0699999999</v>
      </c>
      <c r="H28" s="14" t="n">
        <v>-352046.09</v>
      </c>
      <c r="I28" s="14" t="n">
        <v>-855711.6799999999</v>
      </c>
      <c r="J28" s="14" t="n">
        <v>-869782.3799999999</v>
      </c>
      <c r="K28" s="14" t="n">
        <v>5.820766091346741e-11</v>
      </c>
      <c r="L28" s="8" t="b">
        <v>0</v>
      </c>
      <c r="M28" s="14" t="n">
        <v>0</v>
      </c>
      <c r="N28" s="19">
        <f>ROUND((J28-I28)-(K28+E28+H28),4)</f>
        <v/>
      </c>
    </row>
    <row r="29">
      <c r="A29" s="8" t="inlineStr">
        <is>
          <t>Bishkek Fly</t>
        </is>
      </c>
      <c r="B29" s="8" t="inlineStr">
        <is>
          <t>2026-06</t>
        </is>
      </c>
      <c r="C29" s="14" t="n">
        <v>-47229.31</v>
      </c>
      <c r="D29" s="14" t="n">
        <v>-362292.12</v>
      </c>
      <c r="E29" s="14" t="n">
        <v>-315062.81</v>
      </c>
      <c r="F29" s="14" t="n">
        <v>-822553.0699999998</v>
      </c>
      <c r="G29" s="14" t="n">
        <v>-507490.2599999999</v>
      </c>
      <c r="H29" s="14" t="n">
        <v>315062.81</v>
      </c>
      <c r="I29" s="14" t="n">
        <v>-869782.3799999999</v>
      </c>
      <c r="J29" s="14" t="n">
        <v>-869782.3799999999</v>
      </c>
      <c r="K29" s="14" t="n">
        <v>0</v>
      </c>
      <c r="L29" s="8" t="b">
        <v>0</v>
      </c>
      <c r="M29" s="14" t="n">
        <v>0</v>
      </c>
      <c r="N29" s="19">
        <f>ROUND((J29-I29)-(K29+E29+H29),4)</f>
        <v/>
      </c>
    </row>
    <row r="30">
      <c r="A30" s="8" t="inlineStr">
        <is>
          <t>Bishkek Fly</t>
        </is>
      </c>
      <c r="B30" s="8" t="inlineStr">
        <is>
          <t>2026-07</t>
        </is>
      </c>
      <c r="C30" s="14" t="n">
        <v>-362292.12</v>
      </c>
      <c r="D30" s="14" t="n">
        <v>85375.67999999999</v>
      </c>
      <c r="E30" s="14" t="n">
        <v>447667.8</v>
      </c>
      <c r="F30" s="14" t="n">
        <v>-507490.2599999999</v>
      </c>
      <c r="G30" s="14" t="n">
        <v>-968684.0599999998</v>
      </c>
      <c r="H30" s="14" t="n">
        <v>-461193.7999999999</v>
      </c>
      <c r="I30" s="14" t="n">
        <v>-869782.3799999999</v>
      </c>
      <c r="J30" s="14" t="n">
        <v>-883308.3799999999</v>
      </c>
      <c r="K30" s="14" t="n">
        <v>0</v>
      </c>
      <c r="L30" s="8" t="b">
        <v>0</v>
      </c>
      <c r="M30" s="14" t="n">
        <v>0</v>
      </c>
      <c r="N30" s="19">
        <f>ROUND((J30-I30)-(K30+E30+H30),4)</f>
        <v/>
      </c>
    </row>
    <row r="31">
      <c r="A31" s="8" t="inlineStr">
        <is>
          <t>Blue Bird Travel</t>
        </is>
      </c>
      <c r="B31" s="8" t="inlineStr">
        <is>
          <t>2026-01</t>
        </is>
      </c>
      <c r="C31" s="14" t="n">
        <v>-31471.24</v>
      </c>
      <c r="D31" s="14" t="n">
        <v>-332757.52</v>
      </c>
      <c r="E31" s="14" t="n">
        <v>-301286.28</v>
      </c>
      <c r="F31" s="14" t="n">
        <v>31471.23999999999</v>
      </c>
      <c r="G31" s="14" t="n">
        <v>166608.52</v>
      </c>
      <c r="H31" s="14" t="n">
        <v>135137.28</v>
      </c>
      <c r="I31" s="14" t="n">
        <v>-1.091393642127514e-11</v>
      </c>
      <c r="J31" s="14" t="n">
        <v>-166149</v>
      </c>
      <c r="K31" s="14" t="n">
        <v>-5.820766091346741e-11</v>
      </c>
      <c r="L31" s="8" t="b">
        <v>0</v>
      </c>
      <c r="M31" s="14" t="n">
        <v>0</v>
      </c>
      <c r="N31" s="19">
        <f>ROUND((J31-I31)-(K31+E31+H31),4)</f>
        <v/>
      </c>
    </row>
    <row r="32">
      <c r="A32" s="8" t="inlineStr">
        <is>
          <t>Blue Bird Travel</t>
        </is>
      </c>
      <c r="B32" s="8" t="inlineStr">
        <is>
          <t>2026-02</t>
        </is>
      </c>
      <c r="C32" s="14" t="n">
        <v>-332757.52</v>
      </c>
      <c r="D32" s="14" t="n">
        <v>-369986.77</v>
      </c>
      <c r="E32" s="14" t="n">
        <v>-37229.25</v>
      </c>
      <c r="F32" s="14" t="n">
        <v>166608.52</v>
      </c>
      <c r="G32" s="14" t="n">
        <v>204234.67</v>
      </c>
      <c r="H32" s="14" t="n">
        <v>37626.15000000002</v>
      </c>
      <c r="I32" s="14" t="n">
        <v>-166149</v>
      </c>
      <c r="J32" s="14" t="n">
        <v>-165752.1</v>
      </c>
      <c r="K32" s="14" t="n">
        <v>0</v>
      </c>
      <c r="L32" s="8" t="b">
        <v>0</v>
      </c>
      <c r="M32" s="14" t="n">
        <v>0</v>
      </c>
      <c r="N32" s="19">
        <f>ROUND((J32-I32)-(K32+E32+H32),4)</f>
        <v/>
      </c>
    </row>
    <row r="33">
      <c r="A33" s="8" t="inlineStr">
        <is>
          <t>Blue Bird Travel</t>
        </is>
      </c>
      <c r="B33" s="8" t="inlineStr">
        <is>
          <t>2026-03</t>
        </is>
      </c>
      <c r="C33" s="14" t="n">
        <v>-369986.77</v>
      </c>
      <c r="D33" s="14" t="n">
        <v>30180.65</v>
      </c>
      <c r="E33" s="14" t="n">
        <v>400167.42</v>
      </c>
      <c r="F33" s="14" t="n">
        <v>204234.6700000001</v>
      </c>
      <c r="G33" s="14" t="n">
        <v>-344406.7499999999</v>
      </c>
      <c r="H33" s="14" t="n">
        <v>-548641.42</v>
      </c>
      <c r="I33" s="14" t="n">
        <v>-165752.0999999999</v>
      </c>
      <c r="J33" s="14" t="n">
        <v>-314226.0999999999</v>
      </c>
      <c r="K33" s="14" t="n">
        <v>-2.182787284255028e-11</v>
      </c>
      <c r="L33" s="8" t="b">
        <v>0</v>
      </c>
      <c r="M33" s="14" t="n">
        <v>0</v>
      </c>
      <c r="N33" s="19">
        <f>ROUND((J33-I33)-(K33+E33+H33),4)</f>
        <v/>
      </c>
    </row>
    <row r="34">
      <c r="A34" s="8" t="inlineStr">
        <is>
          <t>Blue Bird Travel</t>
        </is>
      </c>
      <c r="B34" s="8" t="inlineStr">
        <is>
          <t>2026-04</t>
        </is>
      </c>
      <c r="C34" s="14" t="n">
        <v>30180.65</v>
      </c>
      <c r="D34" s="14" t="n">
        <v>-204190.34</v>
      </c>
      <c r="E34" s="14" t="n">
        <v>-234370.99</v>
      </c>
      <c r="F34" s="14" t="n">
        <v>-344406.7499999999</v>
      </c>
      <c r="G34" s="14" t="n">
        <v>-110035.7599999998</v>
      </c>
      <c r="H34" s="14" t="n">
        <v>234370.99</v>
      </c>
      <c r="I34" s="14" t="n">
        <v>-314226.0999999999</v>
      </c>
      <c r="J34" s="14" t="n">
        <v>-314226.0999999998</v>
      </c>
      <c r="K34" s="14" t="n">
        <v>0</v>
      </c>
      <c r="L34" s="8" t="b">
        <v>0</v>
      </c>
      <c r="M34" s="14" t="n">
        <v>0</v>
      </c>
      <c r="N34" s="19">
        <f>ROUND((J34-I34)-(K34+E34+H34),4)</f>
        <v/>
      </c>
    </row>
    <row r="35">
      <c r="A35" s="8" t="inlineStr">
        <is>
          <t>Blue Bird Travel</t>
        </is>
      </c>
      <c r="B35" s="8" t="inlineStr">
        <is>
          <t>2026-05</t>
        </is>
      </c>
      <c r="C35" s="14" t="n">
        <v>-204190.34</v>
      </c>
      <c r="D35" s="14" t="n">
        <v>-602240.98</v>
      </c>
      <c r="E35" s="14" t="n">
        <v>-398050.64</v>
      </c>
      <c r="F35" s="14" t="n">
        <v>-110035.7599999998</v>
      </c>
      <c r="G35" s="14" t="n">
        <v>413467.3800000002</v>
      </c>
      <c r="H35" s="14" t="n">
        <v>523503.14</v>
      </c>
      <c r="I35" s="14" t="n">
        <v>-314226.0999999997</v>
      </c>
      <c r="J35" s="14" t="n">
        <v>-188773.5999999998</v>
      </c>
      <c r="K35" s="14" t="n">
        <v>0</v>
      </c>
      <c r="L35" s="8" t="b">
        <v>0</v>
      </c>
      <c r="M35" s="14" t="n">
        <v>0</v>
      </c>
      <c r="N35" s="19">
        <f>ROUND((J35-I35)-(K35+E35+H35),4)</f>
        <v/>
      </c>
    </row>
    <row r="36">
      <c r="A36" s="8" t="inlineStr">
        <is>
          <t>Blue Bird Travel</t>
        </is>
      </c>
      <c r="B36" s="8" t="inlineStr">
        <is>
          <t>2026-06</t>
        </is>
      </c>
      <c r="C36" s="14" t="n">
        <v>-602240.98</v>
      </c>
      <c r="D36" s="14" t="n">
        <v>-1234350.23</v>
      </c>
      <c r="E36" s="14" t="n">
        <v>-632109.25</v>
      </c>
      <c r="F36" s="14" t="n">
        <v>413467.38</v>
      </c>
      <c r="G36" s="14" t="n">
        <v>1045576.63</v>
      </c>
      <c r="H36" s="14" t="n">
        <v>632109.25</v>
      </c>
      <c r="I36" s="14" t="n">
        <v>-188773.6</v>
      </c>
      <c r="J36" s="14" t="n">
        <v>-188773.6</v>
      </c>
      <c r="K36" s="14" t="n">
        <v>0</v>
      </c>
      <c r="L36" s="8" t="b">
        <v>0</v>
      </c>
      <c r="M36" s="14" t="n">
        <v>0</v>
      </c>
      <c r="N36" s="19">
        <f>ROUND((J36-I36)-(K36+E36+H36),4)</f>
        <v/>
      </c>
    </row>
    <row r="37">
      <c r="A37" s="8" t="inlineStr">
        <is>
          <t>Blue Bird Travel</t>
        </is>
      </c>
      <c r="B37" s="8" t="inlineStr">
        <is>
          <t>2026-07</t>
        </is>
      </c>
      <c r="C37" s="14" t="n">
        <v>-1234350.23</v>
      </c>
      <c r="D37" s="14" t="n">
        <v>-810250.2</v>
      </c>
      <c r="E37" s="14" t="n">
        <v>424100.03</v>
      </c>
      <c r="F37" s="14" t="n">
        <v>1045576.63</v>
      </c>
      <c r="G37" s="14" t="n">
        <v>575696.38</v>
      </c>
      <c r="H37" s="14" t="n">
        <v>-469880.25</v>
      </c>
      <c r="I37" s="14" t="n">
        <v>-188773.6</v>
      </c>
      <c r="J37" s="14" t="n">
        <v>-234553.8199999999</v>
      </c>
      <c r="K37" s="14" t="n">
        <v>0</v>
      </c>
      <c r="L37" s="8" t="b">
        <v>0</v>
      </c>
      <c r="M37" s="14" t="n">
        <v>0</v>
      </c>
      <c r="N37" s="19">
        <f>ROUND((J37-I37)-(K37+E37+H37),4)</f>
        <v/>
      </c>
    </row>
    <row r="38">
      <c r="A38" s="8" t="inlineStr">
        <is>
          <t>Issyk-Kul Air</t>
        </is>
      </c>
      <c r="B38" s="8" t="inlineStr">
        <is>
          <t>2026-01</t>
        </is>
      </c>
      <c r="C38" s="14" t="n">
        <v>789379.6800000001</v>
      </c>
      <c r="D38" s="14" t="n">
        <v>1042005.67</v>
      </c>
      <c r="E38" s="14" t="n">
        <v>252625.99</v>
      </c>
      <c r="F38" s="14" t="n">
        <v>-789379.6800000001</v>
      </c>
      <c r="G38" s="14" t="n">
        <v>-1092800.79</v>
      </c>
      <c r="H38" s="14" t="n">
        <v>-303421.11</v>
      </c>
      <c r="I38" s="14" t="n">
        <v>0</v>
      </c>
      <c r="J38" s="14" t="n">
        <v>-50795.12</v>
      </c>
      <c r="K38" s="14" t="n">
        <v>0</v>
      </c>
      <c r="L38" s="8" t="b">
        <v>0</v>
      </c>
      <c r="M38" s="14" t="n">
        <v>0</v>
      </c>
      <c r="N38" s="19">
        <f>ROUND((J38-I38)-(K38+E38+H38),4)</f>
        <v/>
      </c>
    </row>
    <row r="39">
      <c r="A39" s="8" t="inlineStr">
        <is>
          <t>Issyk-Kul Air</t>
        </is>
      </c>
      <c r="B39" s="8" t="inlineStr">
        <is>
          <t>2026-02</t>
        </is>
      </c>
      <c r="C39" s="14" t="n">
        <v>1042005.67</v>
      </c>
      <c r="D39" s="14" t="n">
        <v>1505118.47</v>
      </c>
      <c r="E39" s="14" t="n">
        <v>463112.8</v>
      </c>
      <c r="F39" s="14" t="n">
        <v>-1092800.79</v>
      </c>
      <c r="G39" s="14" t="n">
        <v>-1608116.1</v>
      </c>
      <c r="H39" s="14" t="n">
        <v>-515315.3100000001</v>
      </c>
      <c r="I39" s="14" t="n">
        <v>-50795.11999999976</v>
      </c>
      <c r="J39" s="14" t="n">
        <v>-102997.6299999999</v>
      </c>
      <c r="K39" s="14" t="n">
        <v>0</v>
      </c>
      <c r="L39" s="8" t="b">
        <v>0</v>
      </c>
      <c r="M39" s="14" t="n">
        <v>0</v>
      </c>
      <c r="N39" s="19">
        <f>ROUND((J39-I39)-(K39+E39+H39),4)</f>
        <v/>
      </c>
    </row>
    <row r="40">
      <c r="A40" s="8" t="inlineStr">
        <is>
          <t>Issyk-Kul Air</t>
        </is>
      </c>
      <c r="B40" s="8" t="inlineStr">
        <is>
          <t>2026-03</t>
        </is>
      </c>
      <c r="C40" s="14" t="n">
        <v>1505118.47</v>
      </c>
      <c r="D40" s="14" t="n">
        <v>780128.6899999999</v>
      </c>
      <c r="E40" s="14" t="n">
        <v>-724989.78</v>
      </c>
      <c r="F40" s="14" t="n">
        <v>-1608116.1</v>
      </c>
      <c r="G40" s="14" t="n">
        <v>-883126.3199999999</v>
      </c>
      <c r="H40" s="14" t="n">
        <v>724989.7799999999</v>
      </c>
      <c r="I40" s="14" t="n">
        <v>-102997.6299999999</v>
      </c>
      <c r="J40" s="14" t="n">
        <v>-102997.63</v>
      </c>
      <c r="K40" s="14" t="n">
        <v>0</v>
      </c>
      <c r="L40" s="8" t="b">
        <v>0</v>
      </c>
      <c r="M40" s="14" t="n">
        <v>0</v>
      </c>
      <c r="N40" s="19">
        <f>ROUND((J40-I40)-(K40+E40+H40),4)</f>
        <v/>
      </c>
    </row>
    <row r="41">
      <c r="A41" s="8" t="inlineStr">
        <is>
          <t>Issyk-Kul Air</t>
        </is>
      </c>
      <c r="B41" s="8" t="inlineStr">
        <is>
          <t>2026-04</t>
        </is>
      </c>
      <c r="C41" s="14" t="n">
        <v>780128.6899999999</v>
      </c>
      <c r="D41" s="14" t="n">
        <v>363213.05</v>
      </c>
      <c r="E41" s="14" t="n">
        <v>-416915.64</v>
      </c>
      <c r="F41" s="14" t="n">
        <v>-883126.3199999999</v>
      </c>
      <c r="G41" s="14" t="n">
        <v>-432521.97</v>
      </c>
      <c r="H41" s="14" t="n">
        <v>450604.35</v>
      </c>
      <c r="I41" s="14" t="n">
        <v>-102997.63</v>
      </c>
      <c r="J41" s="14" t="n">
        <v>-69308.91999999998</v>
      </c>
      <c r="K41" s="14" t="n">
        <v>5.820766091346741e-11</v>
      </c>
      <c r="L41" s="8" t="b">
        <v>0</v>
      </c>
      <c r="M41" s="14" t="n">
        <v>0</v>
      </c>
      <c r="N41" s="19">
        <f>ROUND((J41-I41)-(K41+E41+H41),4)</f>
        <v/>
      </c>
    </row>
    <row r="42">
      <c r="A42" s="8" t="inlineStr">
        <is>
          <t>Issyk-Kul Air</t>
        </is>
      </c>
      <c r="B42" s="8" t="inlineStr">
        <is>
          <t>2026-05</t>
        </is>
      </c>
      <c r="C42" s="14" t="n">
        <v>363213.05</v>
      </c>
      <c r="D42" s="14" t="n">
        <v>833453.4300000001</v>
      </c>
      <c r="E42" s="14" t="n">
        <v>470240.38</v>
      </c>
      <c r="F42" s="14" t="n">
        <v>-432521.9699999999</v>
      </c>
      <c r="G42" s="14" t="n">
        <v>-949336.1499999999</v>
      </c>
      <c r="H42" s="14" t="n">
        <v>-516814.1800000001</v>
      </c>
      <c r="I42" s="14" t="n">
        <v>-69308.91999999987</v>
      </c>
      <c r="J42" s="14" t="n">
        <v>-115882.7199999999</v>
      </c>
      <c r="K42" s="14" t="n">
        <v>1.164153218269348e-10</v>
      </c>
      <c r="L42" s="8" t="b">
        <v>0</v>
      </c>
      <c r="M42" s="14" t="n">
        <v>0</v>
      </c>
      <c r="N42" s="19">
        <f>ROUND((J42-I42)-(K42+E42+H42),4)</f>
        <v/>
      </c>
    </row>
    <row r="43">
      <c r="A43" s="8" t="inlineStr">
        <is>
          <t>Issyk-Kul Air</t>
        </is>
      </c>
      <c r="B43" s="8" t="inlineStr">
        <is>
          <t>2026-06</t>
        </is>
      </c>
      <c r="C43" s="14" t="n">
        <v>833453.4300000001</v>
      </c>
      <c r="D43" s="14" t="n">
        <v>668414.6899999999</v>
      </c>
      <c r="E43" s="14" t="n">
        <v>-165038.74</v>
      </c>
      <c r="F43" s="14" t="n">
        <v>-949336.1499999999</v>
      </c>
      <c r="G43" s="14" t="n">
        <v>-786807.4099999999</v>
      </c>
      <c r="H43" s="14" t="n">
        <v>162528.74</v>
      </c>
      <c r="I43" s="14" t="n">
        <v>-115882.7199999999</v>
      </c>
      <c r="J43" s="14" t="n">
        <v>-118392.72</v>
      </c>
      <c r="K43" s="14" t="n">
        <v>-1.164153218269348e-10</v>
      </c>
      <c r="L43" s="8" t="b">
        <v>0</v>
      </c>
      <c r="M43" s="14" t="n">
        <v>0</v>
      </c>
      <c r="N43" s="19">
        <f>ROUND((J43-I43)-(K43+E43+H43),4)</f>
        <v/>
      </c>
    </row>
    <row r="44">
      <c r="A44" s="8" t="inlineStr">
        <is>
          <t>Issyk-Kul Air</t>
        </is>
      </c>
      <c r="B44" s="8" t="inlineStr">
        <is>
          <t>2026-07</t>
        </is>
      </c>
      <c r="C44" s="14" t="n">
        <v>668414.6899999999</v>
      </c>
      <c r="D44" s="14" t="n">
        <v>-300029.79</v>
      </c>
      <c r="E44" s="14" t="n">
        <v>-968444.48</v>
      </c>
      <c r="F44" s="14" t="n">
        <v>-786807.4099999997</v>
      </c>
      <c r="G44" s="14" t="n">
        <v>-507962.9299999997</v>
      </c>
      <c r="H44" s="14" t="n">
        <v>278844.48</v>
      </c>
      <c r="I44" s="14" t="n">
        <v>-118392.7199999997</v>
      </c>
      <c r="J44" s="14" t="n">
        <v>-807992.7199999997</v>
      </c>
      <c r="K44" s="14" t="n">
        <v>5.820766091346741e-11</v>
      </c>
      <c r="L44" s="8" t="b">
        <v>0</v>
      </c>
      <c r="M44" s="14" t="n">
        <v>0</v>
      </c>
      <c r="N44" s="19">
        <f>ROUND((J44-I44)-(K44+E44+H44),4)</f>
        <v/>
      </c>
    </row>
    <row r="45">
      <c r="A45" s="8" t="inlineStr">
        <is>
          <t>Jailoo Trip</t>
        </is>
      </c>
      <c r="B45" s="8" t="inlineStr">
        <is>
          <t>2026-01</t>
        </is>
      </c>
      <c r="C45" s="14" t="n">
        <v>457089.09</v>
      </c>
      <c r="D45" s="14" t="n">
        <v>716682.84</v>
      </c>
      <c r="E45" s="14" t="n">
        <v>259593.75</v>
      </c>
      <c r="F45" s="14" t="n">
        <v>-457089.09</v>
      </c>
      <c r="G45" s="14" t="n">
        <v>-714938.09</v>
      </c>
      <c r="H45" s="14" t="n">
        <v>-257849</v>
      </c>
      <c r="I45" s="14" t="n">
        <v>5.820766091346741e-11</v>
      </c>
      <c r="J45" s="14" t="n">
        <v>1744.75</v>
      </c>
      <c r="K45" s="14" t="n">
        <v>-1.164153218269348e-10</v>
      </c>
      <c r="L45" s="8" t="b">
        <v>0</v>
      </c>
      <c r="M45" s="14" t="n">
        <v>0</v>
      </c>
      <c r="N45" s="19">
        <f>ROUND((J45-I45)-(K45+E45+H45),4)</f>
        <v/>
      </c>
    </row>
    <row r="46">
      <c r="A46" s="8" t="inlineStr">
        <is>
          <t>Jailoo Trip</t>
        </is>
      </c>
      <c r="B46" s="8" t="inlineStr">
        <is>
          <t>2026-02</t>
        </is>
      </c>
      <c r="C46" s="14" t="n">
        <v>716682.84</v>
      </c>
      <c r="D46" s="14" t="n">
        <v>833665.3199999999</v>
      </c>
      <c r="E46" s="14" t="n">
        <v>116982.48</v>
      </c>
      <c r="F46" s="14" t="n">
        <v>-714938.09</v>
      </c>
      <c r="G46" s="14" t="n">
        <v>-825620.5699999999</v>
      </c>
      <c r="H46" s="14" t="n">
        <v>-110682.48</v>
      </c>
      <c r="I46" s="14" t="n">
        <v>1744.75</v>
      </c>
      <c r="J46" s="14" t="n">
        <v>8044.75</v>
      </c>
      <c r="K46" s="14" t="n">
        <v>0</v>
      </c>
      <c r="L46" s="8" t="b">
        <v>0</v>
      </c>
      <c r="M46" s="14" t="n">
        <v>0</v>
      </c>
      <c r="N46" s="19">
        <f>ROUND((J46-I46)-(K46+E46+H46),4)</f>
        <v/>
      </c>
    </row>
    <row r="47">
      <c r="A47" s="8" t="inlineStr">
        <is>
          <t>Jailoo Trip</t>
        </is>
      </c>
      <c r="B47" s="8" t="inlineStr">
        <is>
          <t>2026-03</t>
        </is>
      </c>
      <c r="C47" s="14" t="n">
        <v>833665.3199999999</v>
      </c>
      <c r="D47" s="14" t="n">
        <v>593147.09</v>
      </c>
      <c r="E47" s="14" t="n">
        <v>-240518.23</v>
      </c>
      <c r="F47" s="14" t="n">
        <v>-825620.5699999998</v>
      </c>
      <c r="G47" s="14" t="n">
        <v>-585102.3399999999</v>
      </c>
      <c r="H47" s="14" t="n">
        <v>240518.23</v>
      </c>
      <c r="I47" s="14" t="n">
        <v>8044.750000000116</v>
      </c>
      <c r="J47" s="14" t="n">
        <v>8044.750000000116</v>
      </c>
      <c r="K47" s="14" t="n">
        <v>0</v>
      </c>
      <c r="L47" s="8" t="b">
        <v>0</v>
      </c>
      <c r="M47" s="14" t="n">
        <v>0</v>
      </c>
      <c r="N47" s="19">
        <f>ROUND((J47-I47)-(K47+E47+H47),4)</f>
        <v/>
      </c>
    </row>
    <row r="48">
      <c r="A48" s="8" t="inlineStr">
        <is>
          <t>Jailoo Trip</t>
        </is>
      </c>
      <c r="B48" s="8" t="inlineStr">
        <is>
          <t>2026-04</t>
        </is>
      </c>
      <c r="C48" s="14" t="n">
        <v>593147.09</v>
      </c>
      <c r="D48" s="14" t="n">
        <v>304813.65</v>
      </c>
      <c r="E48" s="14" t="n">
        <v>-288333.44</v>
      </c>
      <c r="F48" s="14" t="n">
        <v>-585102.3400000001</v>
      </c>
      <c r="G48" s="14" t="n">
        <v>-317369.2800000001</v>
      </c>
      <c r="H48" s="14" t="n">
        <v>267733.0599999999</v>
      </c>
      <c r="I48" s="14" t="n">
        <v>8044.749999999884</v>
      </c>
      <c r="J48" s="14" t="n">
        <v>-12555.63000000006</v>
      </c>
      <c r="K48" s="14" t="n">
        <v>5.820766091346741e-11</v>
      </c>
      <c r="L48" s="8" t="b">
        <v>0</v>
      </c>
      <c r="M48" s="14" t="n">
        <v>0</v>
      </c>
      <c r="N48" s="19">
        <f>ROUND((J48-I48)-(K48+E48+H48),4)</f>
        <v/>
      </c>
    </row>
    <row r="49">
      <c r="A49" s="8" t="inlineStr">
        <is>
          <t>Jailoo Trip</t>
        </is>
      </c>
      <c r="B49" s="8" t="inlineStr">
        <is>
          <t>2026-05</t>
        </is>
      </c>
      <c r="C49" s="14" t="n">
        <v>304813.65</v>
      </c>
      <c r="D49" s="14" t="n">
        <v>726777.55</v>
      </c>
      <c r="E49" s="14" t="n">
        <v>421963.9</v>
      </c>
      <c r="F49" s="14" t="n">
        <v>-317369.2800000002</v>
      </c>
      <c r="G49" s="14" t="n">
        <v>-666227.5000000002</v>
      </c>
      <c r="H49" s="14" t="n">
        <v>-348858.22</v>
      </c>
      <c r="I49" s="14" t="n">
        <v>-12555.63000000018</v>
      </c>
      <c r="J49" s="14" t="n">
        <v>60550.04999999981</v>
      </c>
      <c r="K49" s="14" t="n">
        <v>0</v>
      </c>
      <c r="L49" s="8" t="b">
        <v>0</v>
      </c>
      <c r="M49" s="14" t="n">
        <v>0</v>
      </c>
      <c r="N49" s="19">
        <f>ROUND((J49-I49)-(K49+E49+H49),4)</f>
        <v/>
      </c>
    </row>
    <row r="50">
      <c r="A50" s="8" t="inlineStr">
        <is>
          <t>Jailoo Trip</t>
        </is>
      </c>
      <c r="B50" s="8" t="inlineStr">
        <is>
          <t>2026-06</t>
        </is>
      </c>
      <c r="C50" s="14" t="n">
        <v>726777.55</v>
      </c>
      <c r="D50" s="14" t="n">
        <v>756851.01</v>
      </c>
      <c r="E50" s="14" t="n">
        <v>30073.45999999998</v>
      </c>
      <c r="F50" s="14" t="n">
        <v>-666227.5</v>
      </c>
      <c r="G50" s="14" t="n">
        <v>-697956.23</v>
      </c>
      <c r="H50" s="14" t="n">
        <v>-31728.72999999996</v>
      </c>
      <c r="I50" s="14" t="n">
        <v>60550.05000000005</v>
      </c>
      <c r="J50" s="14" t="n">
        <v>58894.78000000003</v>
      </c>
      <c r="K50" s="14" t="n">
        <v>0</v>
      </c>
      <c r="L50" s="8" t="b">
        <v>0</v>
      </c>
      <c r="M50" s="14" t="n">
        <v>0</v>
      </c>
      <c r="N50" s="19">
        <f>ROUND((J50-I50)-(K50+E50+H50),4)</f>
        <v/>
      </c>
    </row>
    <row r="51">
      <c r="A51" s="8" t="inlineStr">
        <is>
          <t>Jailoo Trip</t>
        </is>
      </c>
      <c r="B51" s="8" t="inlineStr">
        <is>
          <t>2026-07</t>
        </is>
      </c>
      <c r="C51" s="14" t="n">
        <v>756851.01</v>
      </c>
      <c r="D51" s="14" t="n">
        <v>191581.98</v>
      </c>
      <c r="E51" s="14" t="n">
        <v>-565269.0299999999</v>
      </c>
      <c r="F51" s="14" t="n">
        <v>-697956.23</v>
      </c>
      <c r="G51" s="14" t="n">
        <v>-132606.52</v>
      </c>
      <c r="H51" s="14" t="n">
        <v>565349.71</v>
      </c>
      <c r="I51" s="14" t="n">
        <v>58894.78000000003</v>
      </c>
      <c r="J51" s="14" t="n">
        <v>58975.46000000005</v>
      </c>
      <c r="K51" s="14" t="n">
        <v>-8.731149137020111e-11</v>
      </c>
      <c r="L51" s="8" t="b">
        <v>0</v>
      </c>
      <c r="M51" s="14" t="n">
        <v>0</v>
      </c>
      <c r="N51" s="19">
        <f>ROUND((J51-I51)-(K51+E51+H51),4)</f>
        <v/>
      </c>
    </row>
    <row r="52">
      <c r="A52" s="8" t="inlineStr">
        <is>
          <t>Karakol Express</t>
        </is>
      </c>
      <c r="B52" s="8" t="inlineStr">
        <is>
          <t>2026-01</t>
        </is>
      </c>
      <c r="C52" s="14" t="n">
        <v>429590.95</v>
      </c>
      <c r="D52" s="14" t="n">
        <v>2092583.1</v>
      </c>
      <c r="E52" s="14" t="n">
        <v>1662992.15</v>
      </c>
      <c r="F52" s="14" t="n">
        <v>-405744.6500000001</v>
      </c>
      <c r="G52" s="14" t="n">
        <v>-2398402.34</v>
      </c>
      <c r="H52" s="14" t="n">
        <v>-1992657.69</v>
      </c>
      <c r="I52" s="14" t="n">
        <v>23846.29999999987</v>
      </c>
      <c r="J52" s="14" t="n">
        <v>-305819.2400000002</v>
      </c>
      <c r="K52" s="14" t="n">
        <v>0</v>
      </c>
      <c r="L52" s="8" t="b">
        <v>0</v>
      </c>
      <c r="M52" s="14" t="n">
        <v>0</v>
      </c>
      <c r="N52" s="19">
        <f>ROUND((J52-I52)-(K52+E52+H52),4)</f>
        <v/>
      </c>
    </row>
    <row r="53">
      <c r="A53" s="8" t="inlineStr">
        <is>
          <t>Karakol Express</t>
        </is>
      </c>
      <c r="B53" s="8" t="inlineStr">
        <is>
          <t>2026-02</t>
        </is>
      </c>
      <c r="C53" s="14" t="n">
        <v>2092583.1</v>
      </c>
      <c r="D53" s="14" t="n">
        <v>2276178.24</v>
      </c>
      <c r="E53" s="14" t="n">
        <v>183595.14</v>
      </c>
      <c r="F53" s="14" t="n">
        <v>-2398402.34</v>
      </c>
      <c r="G53" s="14" t="n">
        <v>-2342496.78</v>
      </c>
      <c r="H53" s="14" t="n">
        <v>55905.56000000001</v>
      </c>
      <c r="I53" s="14" t="n">
        <v>-305819.2400000002</v>
      </c>
      <c r="J53" s="14" t="n">
        <v>-66318.54000000004</v>
      </c>
      <c r="K53" s="14" t="n">
        <v>0</v>
      </c>
      <c r="L53" s="8" t="b">
        <v>0</v>
      </c>
      <c r="M53" s="14" t="n">
        <v>0</v>
      </c>
      <c r="N53" s="19">
        <f>ROUND((J53-I53)-(K53+E53+H53),4)</f>
        <v/>
      </c>
    </row>
    <row r="54">
      <c r="A54" s="8" t="inlineStr">
        <is>
          <t>Karakol Express</t>
        </is>
      </c>
      <c r="B54" s="8" t="inlineStr">
        <is>
          <t>2026-03</t>
        </is>
      </c>
      <c r="C54" s="14" t="n">
        <v>2276178.24</v>
      </c>
      <c r="D54" s="14" t="n">
        <v>1896303.66</v>
      </c>
      <c r="E54" s="14" t="n">
        <v>-379874.58</v>
      </c>
      <c r="F54" s="14" t="n">
        <v>-2342496.78</v>
      </c>
      <c r="G54" s="14" t="n">
        <v>-2110994.34</v>
      </c>
      <c r="H54" s="14" t="n">
        <v>231502.4399999999</v>
      </c>
      <c r="I54" s="14" t="n">
        <v>-66318.54000000004</v>
      </c>
      <c r="J54" s="14" t="n">
        <v>-214690.6800000004</v>
      </c>
      <c r="K54" s="14" t="n">
        <v>-2.328306436538696e-10</v>
      </c>
      <c r="L54" s="8" t="b">
        <v>0</v>
      </c>
      <c r="M54" s="14" t="n">
        <v>0</v>
      </c>
      <c r="N54" s="19">
        <f>ROUND((J54-I54)-(K54+E54+H54),4)</f>
        <v/>
      </c>
    </row>
    <row r="55">
      <c r="A55" s="8" t="inlineStr">
        <is>
          <t>Karakol Express</t>
        </is>
      </c>
      <c r="B55" s="8" t="inlineStr">
        <is>
          <t>2026-04</t>
        </is>
      </c>
      <c r="C55" s="14" t="n">
        <v>1896303.66</v>
      </c>
      <c r="D55" s="14" t="n">
        <v>653444.34</v>
      </c>
      <c r="E55" s="14" t="n">
        <v>-1242859.32</v>
      </c>
      <c r="F55" s="14" t="n">
        <v>-2110994.34</v>
      </c>
      <c r="G55" s="14" t="n">
        <v>-1426548.6</v>
      </c>
      <c r="H55" s="14" t="n">
        <v>684445.7400000002</v>
      </c>
      <c r="I55" s="14" t="n">
        <v>-214690.6800000004</v>
      </c>
      <c r="J55" s="14" t="n">
        <v>-773104.2600000001</v>
      </c>
      <c r="K55" s="14" t="n">
        <v>-1.164153218269348e-10</v>
      </c>
      <c r="L55" s="8" t="b">
        <v>0</v>
      </c>
      <c r="M55" s="14" t="n">
        <v>0</v>
      </c>
      <c r="N55" s="19">
        <f>ROUND((J55-I55)-(K55+E55+H55),4)</f>
        <v/>
      </c>
    </row>
    <row r="56">
      <c r="A56" s="8" t="inlineStr">
        <is>
          <t>Karakol Express</t>
        </is>
      </c>
      <c r="B56" s="8" t="inlineStr">
        <is>
          <t>2026-05</t>
        </is>
      </c>
      <c r="C56" s="14" t="n">
        <v>653444.34</v>
      </c>
      <c r="D56" s="14" t="n">
        <v>1048999.83</v>
      </c>
      <c r="E56" s="14" t="n">
        <v>395555.49</v>
      </c>
      <c r="F56" s="14" t="n">
        <v>-1426548.6</v>
      </c>
      <c r="G56" s="14" t="n">
        <v>-2814548.77</v>
      </c>
      <c r="H56" s="14" t="n">
        <v>-1388000.17</v>
      </c>
      <c r="I56" s="14" t="n">
        <v>-773104.2600000004</v>
      </c>
      <c r="J56" s="14" t="n">
        <v>-1765548.94</v>
      </c>
      <c r="K56" s="14" t="n">
        <v>0</v>
      </c>
      <c r="L56" s="8" t="b">
        <v>0</v>
      </c>
      <c r="M56" s="14" t="n">
        <v>0</v>
      </c>
      <c r="N56" s="19">
        <f>ROUND((J56-I56)-(K56+E56+H56),4)</f>
        <v/>
      </c>
    </row>
    <row r="57">
      <c r="A57" s="8" t="inlineStr">
        <is>
          <t>Karakol Express</t>
        </is>
      </c>
      <c r="B57" s="8" t="inlineStr">
        <is>
          <t>2026-06</t>
        </is>
      </c>
      <c r="C57" s="14" t="n">
        <v>1048999.83</v>
      </c>
      <c r="D57" s="14" t="n">
        <v>958749.71</v>
      </c>
      <c r="E57" s="14" t="n">
        <v>-90250.12000000013</v>
      </c>
      <c r="F57" s="14" t="n">
        <v>-2814548.77</v>
      </c>
      <c r="G57" s="14" t="n">
        <v>-4159016.169999999</v>
      </c>
      <c r="H57" s="14" t="n">
        <v>-1344467.4</v>
      </c>
      <c r="I57" s="14" t="n">
        <v>-1765548.939999999</v>
      </c>
      <c r="J57" s="14" t="n">
        <v>-3200266.459999999</v>
      </c>
      <c r="K57" s="14" t="n">
        <v>0</v>
      </c>
      <c r="L57" s="8" t="b">
        <v>0</v>
      </c>
      <c r="M57" s="14" t="n">
        <v>0</v>
      </c>
      <c r="N57" s="19">
        <f>ROUND((J57-I57)-(K57+E57+H57),4)</f>
        <v/>
      </c>
    </row>
    <row r="58">
      <c r="A58" s="8" t="inlineStr">
        <is>
          <t>Karakol Express</t>
        </is>
      </c>
      <c r="B58" s="8" t="inlineStr">
        <is>
          <t>2026-07</t>
        </is>
      </c>
      <c r="C58" s="14" t="n">
        <v>958749.71</v>
      </c>
      <c r="D58" s="14" t="n">
        <v>2477723.26</v>
      </c>
      <c r="E58" s="14" t="n">
        <v>1518973.55</v>
      </c>
      <c r="F58" s="14" t="n">
        <v>-4159016.17</v>
      </c>
      <c r="G58" s="14" t="n">
        <v>-6377492.75</v>
      </c>
      <c r="H58" s="14" t="n">
        <v>-2218476.58</v>
      </c>
      <c r="I58" s="14" t="n">
        <v>-3200266.46</v>
      </c>
      <c r="J58" s="14" t="n">
        <v>-3899769.49</v>
      </c>
      <c r="K58" s="14" t="n">
        <v>0</v>
      </c>
      <c r="L58" s="8" t="b">
        <v>0</v>
      </c>
      <c r="M58" s="14" t="n">
        <v>0</v>
      </c>
      <c r="N58" s="19">
        <f>ROUND((J58-I58)-(K58+E58+H58),4)</f>
        <v/>
      </c>
    </row>
    <row r="59">
      <c r="A59" s="8" t="inlineStr">
        <is>
          <t>Kumtor Tours</t>
        </is>
      </c>
      <c r="B59" s="8" t="inlineStr">
        <is>
          <t>2026-01</t>
        </is>
      </c>
      <c r="C59" s="14" t="n">
        <v>696393.98</v>
      </c>
      <c r="D59" s="14" t="n">
        <v>635362.85</v>
      </c>
      <c r="E59" s="14" t="n">
        <v>-61031.12999999998</v>
      </c>
      <c r="F59" s="14" t="n">
        <v>-696393.98</v>
      </c>
      <c r="G59" s="14" t="n">
        <v>-663586.6499999999</v>
      </c>
      <c r="H59" s="14" t="n">
        <v>32807.33000000002</v>
      </c>
      <c r="I59" s="14" t="n">
        <v>0</v>
      </c>
      <c r="J59" s="14" t="n">
        <v>-28223.79999999993</v>
      </c>
      <c r="K59" s="14" t="n">
        <v>0</v>
      </c>
      <c r="L59" s="8" t="b">
        <v>0</v>
      </c>
      <c r="M59" s="14" t="n">
        <v>0</v>
      </c>
      <c r="N59" s="19">
        <f>ROUND((J59-I59)-(K59+E59+H59),4)</f>
        <v/>
      </c>
    </row>
    <row r="60">
      <c r="A60" s="8" t="inlineStr">
        <is>
          <t>Kumtor Tours</t>
        </is>
      </c>
      <c r="B60" s="8" t="inlineStr">
        <is>
          <t>2026-02</t>
        </is>
      </c>
      <c r="C60" s="14" t="n">
        <v>635362.85</v>
      </c>
      <c r="D60" s="14" t="n">
        <v>170244.37</v>
      </c>
      <c r="E60" s="14" t="n">
        <v>-465118.48</v>
      </c>
      <c r="F60" s="14" t="n">
        <v>-663586.6499999999</v>
      </c>
      <c r="G60" s="14" t="n">
        <v>-1054324.59</v>
      </c>
      <c r="H60" s="14" t="n">
        <v>-390737.94</v>
      </c>
      <c r="I60" s="14" t="n">
        <v>-28223.79999999993</v>
      </c>
      <c r="J60" s="14" t="n">
        <v>-884080.2199999999</v>
      </c>
      <c r="K60" s="14" t="n">
        <v>0</v>
      </c>
      <c r="L60" s="8" t="b">
        <v>0</v>
      </c>
      <c r="M60" s="14" t="n">
        <v>0</v>
      </c>
      <c r="N60" s="19">
        <f>ROUND((J60-I60)-(K60+E60+H60),4)</f>
        <v/>
      </c>
    </row>
    <row r="61">
      <c r="A61" s="8" t="inlineStr">
        <is>
          <t>Kumtor Tours</t>
        </is>
      </c>
      <c r="B61" s="8" t="inlineStr">
        <is>
          <t>2026-03</t>
        </is>
      </c>
      <c r="C61" s="14" t="n">
        <v>170244.37</v>
      </c>
      <c r="D61" s="14" t="n">
        <v>200556.49</v>
      </c>
      <c r="E61" s="14" t="n">
        <v>30312.12</v>
      </c>
      <c r="F61" s="14" t="n">
        <v>-1054324.59</v>
      </c>
      <c r="G61" s="14" t="n">
        <v>-1084636.71</v>
      </c>
      <c r="H61" s="14" t="n">
        <v>-30312.12000000001</v>
      </c>
      <c r="I61" s="14" t="n">
        <v>-884080.2199999999</v>
      </c>
      <c r="J61" s="14" t="n">
        <v>-884080.22</v>
      </c>
      <c r="K61" s="14" t="n">
        <v>0</v>
      </c>
      <c r="L61" s="8" t="b">
        <v>0</v>
      </c>
      <c r="M61" s="14" t="n">
        <v>0</v>
      </c>
      <c r="N61" s="19">
        <f>ROUND((J61-I61)-(K61+E61+H61),4)</f>
        <v/>
      </c>
    </row>
    <row r="62">
      <c r="A62" s="8" t="inlineStr">
        <is>
          <t>Kumtor Tours</t>
        </is>
      </c>
      <c r="B62" s="8" t="inlineStr">
        <is>
          <t>2026-04</t>
        </is>
      </c>
      <c r="C62" s="14" t="n">
        <v>200556.49</v>
      </c>
      <c r="D62" s="14" t="n">
        <v>269687.67</v>
      </c>
      <c r="E62" s="14" t="n">
        <v>69131.17999999999</v>
      </c>
      <c r="F62" s="14" t="n">
        <v>-1084636.71</v>
      </c>
      <c r="G62" s="14" t="n">
        <v>-1153767.89</v>
      </c>
      <c r="H62" s="14" t="n">
        <v>-69131.17999999999</v>
      </c>
      <c r="I62" s="14" t="n">
        <v>-884080.2200000002</v>
      </c>
      <c r="J62" s="14" t="n">
        <v>-884080.2200000002</v>
      </c>
      <c r="K62" s="14" t="n">
        <v>0</v>
      </c>
      <c r="L62" s="8" t="b">
        <v>0</v>
      </c>
      <c r="M62" s="14" t="n">
        <v>0</v>
      </c>
      <c r="N62" s="19">
        <f>ROUND((J62-I62)-(K62+E62+H62),4)</f>
        <v/>
      </c>
    </row>
    <row r="63">
      <c r="A63" s="8" t="inlineStr">
        <is>
          <t>Kumtor Tours</t>
        </is>
      </c>
      <c r="B63" s="8" t="inlineStr">
        <is>
          <t>2026-05</t>
        </is>
      </c>
      <c r="C63" s="14" t="n">
        <v>269687.67</v>
      </c>
      <c r="D63" s="14" t="n">
        <v>-383390.58</v>
      </c>
      <c r="E63" s="14" t="n">
        <v>-653078.25</v>
      </c>
      <c r="F63" s="14" t="n">
        <v>-1153767.89</v>
      </c>
      <c r="G63" s="14" t="n">
        <v>-987189.64</v>
      </c>
      <c r="H63" s="14" t="n">
        <v>166578.25</v>
      </c>
      <c r="I63" s="14" t="n">
        <v>-884080.2200000002</v>
      </c>
      <c r="J63" s="14" t="n">
        <v>-1370580.22</v>
      </c>
      <c r="K63" s="14" t="n">
        <v>0</v>
      </c>
      <c r="L63" s="8" t="b">
        <v>0</v>
      </c>
      <c r="M63" s="14" t="n">
        <v>0</v>
      </c>
      <c r="N63" s="19">
        <f>ROUND((J63-I63)-(K63+E63+H63),4)</f>
        <v/>
      </c>
    </row>
    <row r="64">
      <c r="A64" s="8" t="inlineStr">
        <is>
          <t>Kumtor Tours</t>
        </is>
      </c>
      <c r="B64" s="8" t="inlineStr">
        <is>
          <t>2026-06</t>
        </is>
      </c>
      <c r="C64" s="14" t="n">
        <v>-383390.58</v>
      </c>
      <c r="D64" s="14" t="n">
        <v>177632.74</v>
      </c>
      <c r="E64" s="14" t="n">
        <v>561023.3199999999</v>
      </c>
      <c r="F64" s="14" t="n">
        <v>-987189.6399999999</v>
      </c>
      <c r="G64" s="14" t="n">
        <v>-1548212.96</v>
      </c>
      <c r="H64" s="14" t="n">
        <v>-561023.3200000001</v>
      </c>
      <c r="I64" s="14" t="n">
        <v>-1370580.22</v>
      </c>
      <c r="J64" s="14" t="n">
        <v>-1370580.22</v>
      </c>
      <c r="K64" s="14" t="n">
        <v>5.820766091346741e-11</v>
      </c>
      <c r="L64" s="8" t="b">
        <v>0</v>
      </c>
      <c r="M64" s="14" t="n">
        <v>0</v>
      </c>
      <c r="N64" s="19">
        <f>ROUND((J64-I64)-(K64+E64+H64),4)</f>
        <v/>
      </c>
    </row>
    <row r="65">
      <c r="A65" s="8" t="inlineStr">
        <is>
          <t>Kumtor Tours</t>
        </is>
      </c>
      <c r="B65" s="8" t="inlineStr">
        <is>
          <t>2026-07</t>
        </is>
      </c>
      <c r="C65" s="14" t="n">
        <v>177632.74</v>
      </c>
      <c r="D65" s="14" t="n">
        <v>708487.84</v>
      </c>
      <c r="E65" s="14" t="n">
        <v>530855.1</v>
      </c>
      <c r="F65" s="14" t="n">
        <v>-1548212.96</v>
      </c>
      <c r="G65" s="14" t="n">
        <v>-2079068.06</v>
      </c>
      <c r="H65" s="14" t="n">
        <v>-530855.1</v>
      </c>
      <c r="I65" s="14" t="n">
        <v>-1370580.22</v>
      </c>
      <c r="J65" s="14" t="n">
        <v>-1370580.22</v>
      </c>
      <c r="K65" s="14" t="n">
        <v>0</v>
      </c>
      <c r="L65" s="8" t="b">
        <v>0</v>
      </c>
      <c r="M65" s="14" t="n">
        <v>0</v>
      </c>
      <c r="N65" s="19">
        <f>ROUND((J65-I65)-(K65+E65+H65),4)</f>
        <v/>
      </c>
    </row>
    <row r="66">
      <c r="A66" s="8" t="inlineStr">
        <is>
          <t>Nomad Trip</t>
        </is>
      </c>
      <c r="B66" s="8" t="inlineStr">
        <is>
          <t>2026-01</t>
        </is>
      </c>
      <c r="C66" s="14" t="n">
        <v>0</v>
      </c>
      <c r="D66" s="14" t="n">
        <v>72951.78999999999</v>
      </c>
      <c r="E66" s="14" t="n">
        <v>72951.79000000001</v>
      </c>
      <c r="F66" s="14" t="n">
        <v>0</v>
      </c>
      <c r="G66" s="14" t="n">
        <v>-72951.79000000002</v>
      </c>
      <c r="H66" s="14" t="n">
        <v>-72951.79000000002</v>
      </c>
      <c r="I66" s="14" t="n">
        <v>0</v>
      </c>
      <c r="J66" s="14" t="n">
        <v>-2.91038304567337e-11</v>
      </c>
      <c r="K66" s="14" t="n">
        <v>-1.455191522836685e-11</v>
      </c>
      <c r="L66" s="8" t="b">
        <v>0</v>
      </c>
      <c r="M66" s="14" t="n">
        <v>0</v>
      </c>
      <c r="N66" s="19">
        <f>ROUND((J66-I66)-(K66+E66+H66),4)</f>
        <v/>
      </c>
    </row>
    <row r="67">
      <c r="A67" s="8" t="inlineStr">
        <is>
          <t>Nomad Trip</t>
        </is>
      </c>
      <c r="B67" s="8" t="inlineStr">
        <is>
          <t>2026-02</t>
        </is>
      </c>
      <c r="C67" s="14" t="n">
        <v>72951.78999999999</v>
      </c>
      <c r="D67" s="14" t="n">
        <v>-595858.74</v>
      </c>
      <c r="E67" s="14" t="n">
        <v>-668810.53</v>
      </c>
      <c r="F67" s="14" t="n">
        <v>-72951.79000000004</v>
      </c>
      <c r="G67" s="14" t="n">
        <v>595858.74</v>
      </c>
      <c r="H67" s="14" t="n">
        <v>668810.53</v>
      </c>
      <c r="I67" s="14" t="n">
        <v>-4.365574568510056e-11</v>
      </c>
      <c r="J67" s="14" t="n">
        <v>0</v>
      </c>
      <c r="K67" s="14" t="n">
        <v>0</v>
      </c>
      <c r="L67" s="8" t="b">
        <v>0</v>
      </c>
      <c r="M67" s="14" t="n">
        <v>0</v>
      </c>
      <c r="N67" s="19">
        <f>ROUND((J67-I67)-(K67+E67+H67),4)</f>
        <v/>
      </c>
    </row>
    <row r="68">
      <c r="A68" s="8" t="inlineStr">
        <is>
          <t>Nomad Trip</t>
        </is>
      </c>
      <c r="B68" s="8" t="inlineStr">
        <is>
          <t>2026-03</t>
        </is>
      </c>
      <c r="C68" s="14" t="n">
        <v>-595858.74</v>
      </c>
      <c r="D68" s="14" t="n">
        <v>-663411.03</v>
      </c>
      <c r="E68" s="14" t="n">
        <v>-67552.29000000004</v>
      </c>
      <c r="F68" s="14" t="n">
        <v>595858.74</v>
      </c>
      <c r="G68" s="14" t="n">
        <v>663293.08</v>
      </c>
      <c r="H68" s="14" t="n">
        <v>67434.34</v>
      </c>
      <c r="I68" s="14" t="n">
        <v>0</v>
      </c>
      <c r="J68" s="14" t="n">
        <v>-117.9500000000698</v>
      </c>
      <c r="K68" s="14" t="n">
        <v>0</v>
      </c>
      <c r="L68" s="8" t="b">
        <v>0</v>
      </c>
      <c r="M68" s="14" t="n">
        <v>0</v>
      </c>
      <c r="N68" s="19">
        <f>ROUND((J68-I68)-(K68+E68+H68),4)</f>
        <v/>
      </c>
    </row>
    <row r="69">
      <c r="A69" s="8" t="inlineStr">
        <is>
          <t>Nomad Trip</t>
        </is>
      </c>
      <c r="B69" s="8" t="inlineStr">
        <is>
          <t>2026-04</t>
        </is>
      </c>
      <c r="C69" s="14" t="n">
        <v>-663411.03</v>
      </c>
      <c r="D69" s="14" t="n">
        <v>-842767.71</v>
      </c>
      <c r="E69" s="14" t="n">
        <v>-179356.68</v>
      </c>
      <c r="F69" s="14" t="n">
        <v>663293.08</v>
      </c>
      <c r="G69" s="14" t="n">
        <v>758980.35</v>
      </c>
      <c r="H69" s="14" t="n">
        <v>95687.27000000002</v>
      </c>
      <c r="I69" s="14" t="n">
        <v>-117.9500000000698</v>
      </c>
      <c r="J69" s="14" t="n">
        <v>-83787.35999999999</v>
      </c>
      <c r="K69" s="14" t="n">
        <v>0</v>
      </c>
      <c r="L69" s="8" t="b">
        <v>0</v>
      </c>
      <c r="M69" s="14" t="n">
        <v>0</v>
      </c>
      <c r="N69" s="19">
        <f>ROUND((J69-I69)-(K69+E69+H69),4)</f>
        <v/>
      </c>
    </row>
    <row r="70">
      <c r="A70" s="8" t="inlineStr">
        <is>
          <t>Nomad Trip</t>
        </is>
      </c>
      <c r="B70" s="8" t="inlineStr">
        <is>
          <t>2026-05</t>
        </is>
      </c>
      <c r="C70" s="14" t="n">
        <v>-842767.71</v>
      </c>
      <c r="D70" s="14" t="n">
        <v>-557022.6899999999</v>
      </c>
      <c r="E70" s="14" t="n">
        <v>285745.02</v>
      </c>
      <c r="F70" s="14" t="n">
        <v>758980.35</v>
      </c>
      <c r="G70" s="14" t="n">
        <v>565053.77</v>
      </c>
      <c r="H70" s="14" t="n">
        <v>-193926.58</v>
      </c>
      <c r="I70" s="14" t="n">
        <v>-83787.35999999999</v>
      </c>
      <c r="J70" s="14" t="n">
        <v>8031.080000000075</v>
      </c>
      <c r="K70" s="14" t="n">
        <v>0</v>
      </c>
      <c r="L70" s="8" t="b">
        <v>0</v>
      </c>
      <c r="M70" s="14" t="n">
        <v>0</v>
      </c>
      <c r="N70" s="19">
        <f>ROUND((J70-I70)-(K70+E70+H70),4)</f>
        <v/>
      </c>
    </row>
    <row r="71">
      <c r="A71" s="8" t="inlineStr">
        <is>
          <t>Nomad Trip</t>
        </is>
      </c>
      <c r="B71" s="8" t="inlineStr">
        <is>
          <t>2026-06</t>
        </is>
      </c>
      <c r="C71" s="14" t="n">
        <v>-557022.6899999999</v>
      </c>
      <c r="D71" s="14" t="n">
        <v>-135593.55</v>
      </c>
      <c r="E71" s="14" t="n">
        <v>421429.14</v>
      </c>
      <c r="F71" s="14" t="n">
        <v>565053.77</v>
      </c>
      <c r="G71" s="14" t="n">
        <v>52224.83000000007</v>
      </c>
      <c r="H71" s="14" t="n">
        <v>-512828.94</v>
      </c>
      <c r="I71" s="14" t="n">
        <v>8031.080000000075</v>
      </c>
      <c r="J71" s="14" t="n">
        <v>-83368.71999999991</v>
      </c>
      <c r="K71" s="14" t="n">
        <v>-5.820766091346741e-11</v>
      </c>
      <c r="L71" s="8" t="b">
        <v>0</v>
      </c>
      <c r="M71" s="14" t="n">
        <v>0</v>
      </c>
      <c r="N71" s="19">
        <f>ROUND((J71-I71)-(K71+E71+H71),4)</f>
        <v/>
      </c>
    </row>
    <row r="72">
      <c r="A72" s="8" t="inlineStr">
        <is>
          <t>Nomad Trip</t>
        </is>
      </c>
      <c r="B72" s="8" t="inlineStr">
        <is>
          <t>2026-07</t>
        </is>
      </c>
      <c r="C72" s="14" t="n">
        <v>-28036.45</v>
      </c>
      <c r="D72" s="14" t="n">
        <v>45229.57</v>
      </c>
      <c r="E72" s="14" t="n">
        <v>73266.01999999999</v>
      </c>
      <c r="F72" s="14" t="n">
        <v>52224.83000000031</v>
      </c>
      <c r="G72" s="14" t="n">
        <v>-21041.18999999971</v>
      </c>
      <c r="H72" s="14" t="n">
        <v>-73266.02000000002</v>
      </c>
      <c r="I72" s="14" t="n">
        <v>24188.38000000031</v>
      </c>
      <c r="J72" s="14" t="n">
        <v>24188.38000000029</v>
      </c>
      <c r="K72" s="14" t="n">
        <v>7.275957614183426e-12</v>
      </c>
      <c r="L72" s="8" t="b">
        <v>1</v>
      </c>
      <c r="M72" s="14" t="n">
        <v>107557.1</v>
      </c>
      <c r="N72" s="19">
        <f>ROUND((J72-I72)-(K72+E72+H72),4)</f>
        <v/>
      </c>
    </row>
    <row r="73">
      <c r="A73" s="8" t="inlineStr">
        <is>
          <t>Silk Route Air</t>
        </is>
      </c>
      <c r="B73" s="8" t="inlineStr">
        <is>
          <t>2026-01</t>
        </is>
      </c>
      <c r="C73" s="14" t="n">
        <v>344356.23</v>
      </c>
      <c r="D73" s="14" t="n">
        <v>471960</v>
      </c>
      <c r="E73" s="14" t="n">
        <v>127603.77</v>
      </c>
      <c r="F73" s="14" t="n">
        <v>-174009.02</v>
      </c>
      <c r="G73" s="14" t="n">
        <v>-301612.79</v>
      </c>
      <c r="H73" s="14" t="n">
        <v>-127603.77</v>
      </c>
      <c r="I73" s="14" t="n">
        <v>170347.21</v>
      </c>
      <c r="J73" s="14" t="n">
        <v>170347.21</v>
      </c>
      <c r="K73" s="14" t="n">
        <v>0</v>
      </c>
      <c r="L73" s="8" t="b">
        <v>0</v>
      </c>
      <c r="M73" s="14" t="n">
        <v>0</v>
      </c>
      <c r="N73" s="19">
        <f>ROUND((J73-I73)-(K73+E73+H73),4)</f>
        <v/>
      </c>
    </row>
    <row r="74">
      <c r="A74" s="8" t="inlineStr">
        <is>
          <t>Silk Route Air</t>
        </is>
      </c>
      <c r="B74" s="8" t="inlineStr">
        <is>
          <t>2026-02</t>
        </is>
      </c>
      <c r="C74" s="14" t="n">
        <v>471960</v>
      </c>
      <c r="D74" s="14" t="n">
        <v>365243.1</v>
      </c>
      <c r="E74" s="14" t="n">
        <v>-106716.9</v>
      </c>
      <c r="F74" s="14" t="n">
        <v>-301612.79</v>
      </c>
      <c r="G74" s="14" t="n">
        <v>-193593.72</v>
      </c>
      <c r="H74" s="14" t="n">
        <v>108019.07</v>
      </c>
      <c r="I74" s="14" t="n">
        <v>170347.21</v>
      </c>
      <c r="J74" s="14" t="n">
        <v>171649.38</v>
      </c>
      <c r="K74" s="14" t="n">
        <v>0</v>
      </c>
      <c r="L74" s="8" t="b">
        <v>0</v>
      </c>
      <c r="M74" s="14" t="n">
        <v>0</v>
      </c>
      <c r="N74" s="19">
        <f>ROUND((J74-I74)-(K74+E74+H74),4)</f>
        <v/>
      </c>
    </row>
    <row r="75">
      <c r="A75" s="8" t="inlineStr">
        <is>
          <t>Silk Route Air</t>
        </is>
      </c>
      <c r="B75" s="8" t="inlineStr">
        <is>
          <t>2026-03</t>
        </is>
      </c>
      <c r="C75" s="14" t="n">
        <v>365243.1</v>
      </c>
      <c r="D75" s="14" t="n">
        <v>738422.91</v>
      </c>
      <c r="E75" s="14" t="n">
        <v>373179.81</v>
      </c>
      <c r="F75" s="14" t="n">
        <v>-193593.72</v>
      </c>
      <c r="G75" s="14" t="n">
        <v>-563937.95</v>
      </c>
      <c r="H75" s="14" t="n">
        <v>-370344.2299999999</v>
      </c>
      <c r="I75" s="14" t="n">
        <v>171649.3799999999</v>
      </c>
      <c r="J75" s="14" t="n">
        <v>174484.9600000001</v>
      </c>
      <c r="K75" s="14" t="n">
        <v>1.164153218269348e-10</v>
      </c>
      <c r="L75" s="8" t="b">
        <v>0</v>
      </c>
      <c r="M75" s="14" t="n">
        <v>0</v>
      </c>
      <c r="N75" s="19">
        <f>ROUND((J75-I75)-(K75+E75+H75),4)</f>
        <v/>
      </c>
    </row>
    <row r="76">
      <c r="A76" s="8" t="inlineStr">
        <is>
          <t>Silk Route Air</t>
        </is>
      </c>
      <c r="B76" s="8" t="inlineStr">
        <is>
          <t>2026-04</t>
        </is>
      </c>
      <c r="C76" s="14" t="n">
        <v>738422.91</v>
      </c>
      <c r="D76" s="14" t="n">
        <v>-184685.04</v>
      </c>
      <c r="E76" s="14" t="n">
        <v>-923107.95</v>
      </c>
      <c r="F76" s="14" t="n">
        <v>-563937.9500000002</v>
      </c>
      <c r="G76" s="14" t="n">
        <v>339487.9999999999</v>
      </c>
      <c r="H76" s="14" t="n">
        <v>903425.9500000001</v>
      </c>
      <c r="I76" s="14" t="n">
        <v>174484.9599999998</v>
      </c>
      <c r="J76" s="14" t="n">
        <v>154802.9599999999</v>
      </c>
      <c r="K76" s="14" t="n">
        <v>-8.731149137020111e-11</v>
      </c>
      <c r="L76" s="8" t="b">
        <v>0</v>
      </c>
      <c r="M76" s="14" t="n">
        <v>0</v>
      </c>
      <c r="N76" s="19">
        <f>ROUND((J76-I76)-(K76+E76+H76),4)</f>
        <v/>
      </c>
    </row>
    <row r="77">
      <c r="A77" s="8" t="inlineStr">
        <is>
          <t>Silk Route Air</t>
        </is>
      </c>
      <c r="B77" s="8" t="inlineStr">
        <is>
          <t>2026-05</t>
        </is>
      </c>
      <c r="C77" s="14" t="n">
        <v>-184685.04</v>
      </c>
      <c r="D77" s="14" t="n">
        <v>-61455.84</v>
      </c>
      <c r="E77" s="14" t="n">
        <v>123229.2</v>
      </c>
      <c r="F77" s="14" t="n">
        <v>339487.9999999999</v>
      </c>
      <c r="G77" s="14" t="n">
        <v>216565.3899999999</v>
      </c>
      <c r="H77" s="14" t="n">
        <v>-122922.61</v>
      </c>
      <c r="I77" s="14" t="n">
        <v>154802.9599999999</v>
      </c>
      <c r="J77" s="14" t="n">
        <v>155109.5499999999</v>
      </c>
      <c r="K77" s="14" t="n">
        <v>2.91038304567337e-11</v>
      </c>
      <c r="L77" s="8" t="b">
        <v>0</v>
      </c>
      <c r="M77" s="14" t="n">
        <v>0</v>
      </c>
      <c r="N77" s="19">
        <f>ROUND((J77-I77)-(K77+E77+H77),4)</f>
        <v/>
      </c>
    </row>
    <row r="78">
      <c r="A78" s="8" t="inlineStr">
        <is>
          <t>Silk Route Air</t>
        </is>
      </c>
      <c r="B78" s="8" t="inlineStr">
        <is>
          <t>2026-06</t>
        </is>
      </c>
      <c r="C78" s="14" t="n">
        <v>-61455.84</v>
      </c>
      <c r="D78" s="14" t="n">
        <v>589515.66</v>
      </c>
      <c r="E78" s="14" t="n">
        <v>650971.5</v>
      </c>
      <c r="F78" s="14" t="n">
        <v>216565.39</v>
      </c>
      <c r="G78" s="14" t="n">
        <v>-491629.2199999999</v>
      </c>
      <c r="H78" s="14" t="n">
        <v>-708194.6099999999</v>
      </c>
      <c r="I78" s="14" t="n">
        <v>155109.55</v>
      </c>
      <c r="J78" s="14" t="n">
        <v>97886.44000000012</v>
      </c>
      <c r="K78" s="14" t="n">
        <v>0</v>
      </c>
      <c r="L78" s="8" t="b">
        <v>0</v>
      </c>
      <c r="M78" s="14" t="n">
        <v>0</v>
      </c>
      <c r="N78" s="19">
        <f>ROUND((J78-I78)-(K78+E78+H78),4)</f>
        <v/>
      </c>
    </row>
    <row r="79">
      <c r="A79" s="8" t="inlineStr">
        <is>
          <t>Silk Route Air</t>
        </is>
      </c>
      <c r="B79" s="8" t="inlineStr">
        <is>
          <t>2026-07</t>
        </is>
      </c>
      <c r="C79" s="14" t="n">
        <v>589515.66</v>
      </c>
      <c r="D79" s="14" t="n">
        <v>-334837.79</v>
      </c>
      <c r="E79" s="14" t="n">
        <v>-924353.45</v>
      </c>
      <c r="F79" s="14" t="n">
        <v>-491629.2200000001</v>
      </c>
      <c r="G79" s="14" t="n">
        <v>432724.23</v>
      </c>
      <c r="H79" s="14" t="n">
        <v>924353.4500000001</v>
      </c>
      <c r="I79" s="14" t="n">
        <v>97886.43999999994</v>
      </c>
      <c r="J79" s="14" t="n">
        <v>97886.44</v>
      </c>
      <c r="K79" s="14" t="n">
        <v>-5.820766091346741e-11</v>
      </c>
      <c r="L79" s="8" t="b">
        <v>0</v>
      </c>
      <c r="M79" s="14" t="n">
        <v>0</v>
      </c>
      <c r="N79" s="19">
        <f>ROUND((J79-I79)-(K79+E79+H79),4)</f>
        <v/>
      </c>
    </row>
    <row r="80">
      <c r="A80" s="8" t="inlineStr">
        <is>
          <t>SkyWay Travel</t>
        </is>
      </c>
      <c r="B80" s="8" t="inlineStr">
        <is>
          <t>2026-01</t>
        </is>
      </c>
      <c r="C80" s="14" t="n">
        <v>-138291.5</v>
      </c>
      <c r="D80" s="14" t="n">
        <v>29162.01</v>
      </c>
      <c r="E80" s="14" t="n">
        <v>167453.5099999999</v>
      </c>
      <c r="F80" s="14" t="n">
        <v>138291.5</v>
      </c>
      <c r="G80" s="14" t="n">
        <v>-874781.3899999999</v>
      </c>
      <c r="H80" s="14" t="n">
        <v>-1013072.89</v>
      </c>
      <c r="I80" s="14" t="n">
        <v>0</v>
      </c>
      <c r="J80" s="14" t="n">
        <v>-845619.3799999999</v>
      </c>
      <c r="K80" s="14" t="n">
        <v>7.639755494892597e-11</v>
      </c>
      <c r="L80" s="8" t="b">
        <v>0</v>
      </c>
      <c r="M80" s="14" t="n">
        <v>0</v>
      </c>
      <c r="N80" s="19">
        <f>ROUND((J80-I80)-(K80+E80+H80),4)</f>
        <v/>
      </c>
    </row>
    <row r="81">
      <c r="A81" s="8" t="inlineStr">
        <is>
          <t>SkyWay Travel</t>
        </is>
      </c>
      <c r="B81" s="8" t="inlineStr">
        <is>
          <t>2026-02</t>
        </is>
      </c>
      <c r="C81" s="14" t="n">
        <v>29162.01</v>
      </c>
      <c r="D81" s="14" t="n">
        <v>-5275406.81</v>
      </c>
      <c r="E81" s="14" t="n">
        <v>-5304568.82</v>
      </c>
      <c r="F81" s="14" t="n">
        <v>-874781.3899999997</v>
      </c>
      <c r="G81" s="14" t="n">
        <v>3057614.13</v>
      </c>
      <c r="H81" s="14" t="n">
        <v>3932395.52</v>
      </c>
      <c r="I81" s="14" t="n">
        <v>-845619.3799999997</v>
      </c>
      <c r="J81" s="14" t="n">
        <v>-2217792.68</v>
      </c>
      <c r="K81" s="14" t="n">
        <v>9.313225746154785e-10</v>
      </c>
      <c r="L81" s="8" t="b">
        <v>0</v>
      </c>
      <c r="M81" s="14" t="n">
        <v>0</v>
      </c>
      <c r="N81" s="19">
        <f>ROUND((J81-I81)-(K81+E81+H81),4)</f>
        <v/>
      </c>
    </row>
    <row r="82">
      <c r="A82" s="8" t="inlineStr">
        <is>
          <t>SkyWay Travel</t>
        </is>
      </c>
      <c r="B82" s="8" t="inlineStr">
        <is>
          <t>2026-03</t>
        </is>
      </c>
      <c r="C82" s="14" t="n">
        <v>-5275406.81</v>
      </c>
      <c r="D82" s="14" t="n">
        <v>-8183516.81</v>
      </c>
      <c r="E82" s="14" t="n">
        <v>-2908110</v>
      </c>
      <c r="F82" s="14" t="n">
        <v>3057614.129999999</v>
      </c>
      <c r="G82" s="14" t="n">
        <v>4476211.279999999</v>
      </c>
      <c r="H82" s="14" t="n">
        <v>1418597.15</v>
      </c>
      <c r="I82" s="14" t="n">
        <v>-2217792.680000001</v>
      </c>
      <c r="J82" s="14" t="n">
        <v>-3707305.53</v>
      </c>
      <c r="K82" s="14" t="n">
        <v>0</v>
      </c>
      <c r="L82" s="8" t="b">
        <v>0</v>
      </c>
      <c r="M82" s="14" t="n">
        <v>0</v>
      </c>
      <c r="N82" s="19">
        <f>ROUND((J82-I82)-(K82+E82+H82),4)</f>
        <v/>
      </c>
    </row>
    <row r="83">
      <c r="A83" s="8" t="inlineStr">
        <is>
          <t>SkyWay Travel</t>
        </is>
      </c>
      <c r="B83" s="8" t="inlineStr">
        <is>
          <t>2026-04</t>
        </is>
      </c>
      <c r="C83" s="14" t="n">
        <v>-8156016.81</v>
      </c>
      <c r="D83" s="14" t="n">
        <v>-10545967.07</v>
      </c>
      <c r="E83" s="14" t="n">
        <v>-2389950.26</v>
      </c>
      <c r="F83" s="14" t="n">
        <v>4476211.279999999</v>
      </c>
      <c r="G83" s="14" t="n">
        <v>6219836.959999999</v>
      </c>
      <c r="H83" s="14" t="n">
        <v>1743625.68</v>
      </c>
      <c r="I83" s="14" t="n">
        <v>-3679805.53</v>
      </c>
      <c r="J83" s="14" t="n">
        <v>-4326130.110000001</v>
      </c>
      <c r="K83" s="14" t="n">
        <v>0</v>
      </c>
      <c r="L83" s="8" t="b">
        <v>1</v>
      </c>
      <c r="M83" s="14" t="n">
        <v>27500</v>
      </c>
      <c r="N83" s="19">
        <f>ROUND((J83-I83)-(K83+E83+H83),4)</f>
        <v/>
      </c>
    </row>
    <row r="84">
      <c r="A84" s="8" t="inlineStr">
        <is>
          <t>SkyWay Travel</t>
        </is>
      </c>
      <c r="B84" s="8" t="inlineStr">
        <is>
          <t>2026-05</t>
        </is>
      </c>
      <c r="C84" s="14" t="n">
        <v>-10545967.07</v>
      </c>
      <c r="D84" s="14" t="n">
        <v>-7483130.52</v>
      </c>
      <c r="E84" s="14" t="n">
        <v>3062836.55</v>
      </c>
      <c r="F84" s="14" t="n">
        <v>6219836.959999999</v>
      </c>
      <c r="G84" s="14" t="n">
        <v>2224543.209999999</v>
      </c>
      <c r="H84" s="14" t="n">
        <v>-3995293.75</v>
      </c>
      <c r="I84" s="14" t="n">
        <v>-4326130.110000001</v>
      </c>
      <c r="J84" s="14" t="n">
        <v>-5258587.310000001</v>
      </c>
      <c r="K84" s="14" t="n">
        <v>9.313225746154785e-10</v>
      </c>
      <c r="L84" s="8" t="b">
        <v>0</v>
      </c>
      <c r="M84" s="14" t="n">
        <v>0</v>
      </c>
      <c r="N84" s="19">
        <f>ROUND((J84-I84)-(K84+E84+H84),4)</f>
        <v/>
      </c>
    </row>
    <row r="85">
      <c r="A85" s="8" t="inlineStr">
        <is>
          <t>SkyWay Travel</t>
        </is>
      </c>
      <c r="B85" s="8" t="inlineStr">
        <is>
          <t>2026-06</t>
        </is>
      </c>
      <c r="C85" s="14" t="n">
        <v>-7483130.52</v>
      </c>
      <c r="D85" s="14" t="n">
        <v>-7675497.5</v>
      </c>
      <c r="E85" s="14" t="n">
        <v>-192366.98</v>
      </c>
      <c r="F85" s="14" t="n">
        <v>2224543.210000001</v>
      </c>
      <c r="G85" s="14" t="n">
        <v>914107.9800000009</v>
      </c>
      <c r="H85" s="14" t="n">
        <v>-1310435.23</v>
      </c>
      <c r="I85" s="14" t="n">
        <v>-5258587.309999999</v>
      </c>
      <c r="J85" s="14" t="n">
        <v>-6761389.52</v>
      </c>
      <c r="K85" s="14" t="n">
        <v>0</v>
      </c>
      <c r="L85" s="8" t="b">
        <v>0</v>
      </c>
      <c r="M85" s="14" t="n">
        <v>0</v>
      </c>
      <c r="N85" s="19">
        <f>ROUND((J85-I85)-(K85+E85+H85),4)</f>
        <v/>
      </c>
    </row>
    <row r="86">
      <c r="A86" s="8" t="inlineStr">
        <is>
          <t>SkyWay Travel</t>
        </is>
      </c>
      <c r="B86" s="8" t="inlineStr">
        <is>
          <t>2026-07</t>
        </is>
      </c>
      <c r="C86" s="14" t="n">
        <v>-7675497.5</v>
      </c>
      <c r="D86" s="14" t="n">
        <v>-8756786.699999999</v>
      </c>
      <c r="E86" s="14" t="n">
        <v>-1081289.2</v>
      </c>
      <c r="F86" s="14" t="n">
        <v>914107.9799999994</v>
      </c>
      <c r="G86" s="14" t="n">
        <v>16786.69999999925</v>
      </c>
      <c r="H86" s="14" t="n">
        <v>-897321.2800000001</v>
      </c>
      <c r="I86" s="14" t="n">
        <v>-6761389.52</v>
      </c>
      <c r="J86" s="14" t="n">
        <v>-8740000</v>
      </c>
      <c r="K86" s="14" t="n">
        <v>0</v>
      </c>
      <c r="L86" s="8" t="b">
        <v>0</v>
      </c>
      <c r="M86" s="14" t="n">
        <v>0</v>
      </c>
      <c r="N86" s="19">
        <f>ROUND((J86-I86)-(K86+E86+H86),4)</f>
        <v/>
      </c>
    </row>
    <row r="87">
      <c r="A87" s="8" t="inlineStr">
        <is>
          <t>Steppe Travel</t>
        </is>
      </c>
      <c r="B87" s="8" t="inlineStr">
        <is>
          <t>2026-01</t>
        </is>
      </c>
      <c r="C87" s="14" t="n">
        <v>868183.4399999999</v>
      </c>
      <c r="D87" s="14" t="n">
        <v>-244081.34</v>
      </c>
      <c r="E87" s="14" t="n">
        <v>-1112264.78</v>
      </c>
      <c r="F87" s="14" t="n">
        <v>2441280.29</v>
      </c>
      <c r="G87" s="14" t="n">
        <v>3452732.78</v>
      </c>
      <c r="H87" s="14" t="n">
        <v>1011452.49</v>
      </c>
      <c r="I87" s="14" t="n">
        <v>3309463.73</v>
      </c>
      <c r="J87" s="14" t="n">
        <v>3208651.44</v>
      </c>
      <c r="K87" s="14" t="n">
        <v>8.731149137020111e-11</v>
      </c>
      <c r="L87" s="8" t="b">
        <v>0</v>
      </c>
      <c r="M87" s="14" t="n">
        <v>0</v>
      </c>
      <c r="N87" s="19">
        <f>ROUND((J87-I87)-(K87+E87+H87),4)</f>
        <v/>
      </c>
    </row>
    <row r="88">
      <c r="A88" s="8" t="inlineStr">
        <is>
          <t>Steppe Travel</t>
        </is>
      </c>
      <c r="B88" s="8" t="inlineStr">
        <is>
          <t>2026-02</t>
        </is>
      </c>
      <c r="C88" s="14" t="n">
        <v>-244081.34</v>
      </c>
      <c r="D88" s="14" t="n">
        <v>245933.58</v>
      </c>
      <c r="E88" s="14" t="n">
        <v>490014.92</v>
      </c>
      <c r="F88" s="14" t="n">
        <v>3452732.78</v>
      </c>
      <c r="G88" s="14" t="n">
        <v>2946311.56</v>
      </c>
      <c r="H88" s="14" t="n">
        <v>-506421.22</v>
      </c>
      <c r="I88" s="14" t="n">
        <v>3208651.44</v>
      </c>
      <c r="J88" s="14" t="n">
        <v>3192245.14</v>
      </c>
      <c r="K88" s="14" t="n">
        <v>0</v>
      </c>
      <c r="L88" s="8" t="b">
        <v>0</v>
      </c>
      <c r="M88" s="14" t="n">
        <v>0</v>
      </c>
      <c r="N88" s="19">
        <f>ROUND((J88-I88)-(K88+E88+H88),4)</f>
        <v/>
      </c>
    </row>
    <row r="89">
      <c r="A89" s="8" t="inlineStr">
        <is>
          <t>Steppe Travel</t>
        </is>
      </c>
      <c r="B89" s="8" t="inlineStr">
        <is>
          <t>2026-03</t>
        </is>
      </c>
      <c r="C89" s="14" t="n">
        <v>245933.58</v>
      </c>
      <c r="D89" s="14" t="n">
        <v>-406296.88</v>
      </c>
      <c r="E89" s="14" t="n">
        <v>-652230.46</v>
      </c>
      <c r="F89" s="14" t="n">
        <v>2946311.56</v>
      </c>
      <c r="G89" s="14" t="n">
        <v>2737439.44</v>
      </c>
      <c r="H89" s="14" t="n">
        <v>-208872.12</v>
      </c>
      <c r="I89" s="14" t="n">
        <v>3192245.14</v>
      </c>
      <c r="J89" s="14" t="n">
        <v>2331142.56</v>
      </c>
      <c r="K89" s="14" t="n">
        <v>0</v>
      </c>
      <c r="L89" s="8" t="b">
        <v>0</v>
      </c>
      <c r="M89" s="14" t="n">
        <v>0</v>
      </c>
      <c r="N89" s="19">
        <f>ROUND((J89-I89)-(K89+E89+H89),4)</f>
        <v/>
      </c>
    </row>
    <row r="90">
      <c r="A90" s="8" t="inlineStr">
        <is>
          <t>Steppe Travel</t>
        </is>
      </c>
      <c r="B90" s="8" t="inlineStr">
        <is>
          <t>2026-04</t>
        </is>
      </c>
      <c r="C90" s="14" t="n">
        <v>-406296.88</v>
      </c>
      <c r="D90" s="14" t="n">
        <v>14437.3</v>
      </c>
      <c r="E90" s="14" t="n">
        <v>420734.18</v>
      </c>
      <c r="F90" s="14" t="n">
        <v>2737439.44</v>
      </c>
      <c r="G90" s="14" t="n">
        <v>2316705.26</v>
      </c>
      <c r="H90" s="14" t="n">
        <v>-420734.18</v>
      </c>
      <c r="I90" s="14" t="n">
        <v>2331142.56</v>
      </c>
      <c r="J90" s="14" t="n">
        <v>2331142.56</v>
      </c>
      <c r="K90" s="14" t="n">
        <v>1.091393642127514e-11</v>
      </c>
      <c r="L90" s="8" t="b">
        <v>0</v>
      </c>
      <c r="M90" s="14" t="n">
        <v>0</v>
      </c>
      <c r="N90" s="19">
        <f>ROUND((J90-I90)-(K90+E90+H90),4)</f>
        <v/>
      </c>
    </row>
    <row r="91">
      <c r="A91" s="8" t="inlineStr">
        <is>
          <t>Steppe Travel</t>
        </is>
      </c>
      <c r="B91" s="8" t="inlineStr">
        <is>
          <t>2026-05</t>
        </is>
      </c>
      <c r="C91" s="14" t="n">
        <v>14437.3</v>
      </c>
      <c r="D91" s="14" t="n">
        <v>307371.65</v>
      </c>
      <c r="E91" s="14" t="n">
        <v>292934.35</v>
      </c>
      <c r="F91" s="14" t="n">
        <v>2316705.26</v>
      </c>
      <c r="G91" s="14" t="n">
        <v>2067327.41</v>
      </c>
      <c r="H91" s="14" t="n">
        <v>-249377.85</v>
      </c>
      <c r="I91" s="14" t="n">
        <v>2331142.56</v>
      </c>
      <c r="J91" s="14" t="n">
        <v>2374699.06</v>
      </c>
      <c r="K91" s="14" t="n">
        <v>5.820766091346741e-11</v>
      </c>
      <c r="L91" s="8" t="b">
        <v>0</v>
      </c>
      <c r="M91" s="14" t="n">
        <v>0</v>
      </c>
      <c r="N91" s="19">
        <f>ROUND((J91-I91)-(K91+E91+H91),4)</f>
        <v/>
      </c>
    </row>
    <row r="92">
      <c r="A92" s="8" t="inlineStr">
        <is>
          <t>Steppe Travel</t>
        </is>
      </c>
      <c r="B92" s="8" t="inlineStr">
        <is>
          <t>2026-06</t>
        </is>
      </c>
      <c r="C92" s="14" t="n">
        <v>307371.65</v>
      </c>
      <c r="D92" s="14" t="n">
        <v>756711.38</v>
      </c>
      <c r="E92" s="14" t="n">
        <v>449339.73</v>
      </c>
      <c r="F92" s="14" t="n">
        <v>2067327.41</v>
      </c>
      <c r="G92" s="14" t="n">
        <v>1617987.68</v>
      </c>
      <c r="H92" s="14" t="n">
        <v>-449339.73</v>
      </c>
      <c r="I92" s="14" t="n">
        <v>2374699.06</v>
      </c>
      <c r="J92" s="14" t="n">
        <v>2374699.06</v>
      </c>
      <c r="K92" s="14" t="n">
        <v>0</v>
      </c>
      <c r="L92" s="8" t="b">
        <v>0</v>
      </c>
      <c r="M92" s="14" t="n">
        <v>0</v>
      </c>
      <c r="N92" s="19">
        <f>ROUND((J92-I92)-(K92+E92+H92),4)</f>
        <v/>
      </c>
    </row>
    <row r="93">
      <c r="A93" s="8" t="inlineStr">
        <is>
          <t>Steppe Travel</t>
        </is>
      </c>
      <c r="B93" s="8" t="inlineStr">
        <is>
          <t>2026-07</t>
        </is>
      </c>
      <c r="C93" s="14" t="n">
        <v>756711.38</v>
      </c>
      <c r="D93" s="14" t="n">
        <v>301892.6</v>
      </c>
      <c r="E93" s="14" t="n">
        <v>-454818.78</v>
      </c>
      <c r="F93" s="14" t="n">
        <v>1617987.68</v>
      </c>
      <c r="G93" s="14" t="n">
        <v>2072806.46</v>
      </c>
      <c r="H93" s="14" t="n">
        <v>454818.78</v>
      </c>
      <c r="I93" s="14" t="n">
        <v>2374699.06</v>
      </c>
      <c r="J93" s="14" t="n">
        <v>2374699.06</v>
      </c>
      <c r="K93" s="14" t="n">
        <v>0</v>
      </c>
      <c r="L93" s="8" t="b">
        <v>0</v>
      </c>
      <c r="M93" s="14" t="n">
        <v>0</v>
      </c>
      <c r="N93" s="19">
        <f>ROUND((J93-I93)-(K93+E93+H93),4)</f>
        <v/>
      </c>
    </row>
    <row r="94">
      <c r="A94" s="8" t="inlineStr">
        <is>
          <t>Sunrise Tours</t>
        </is>
      </c>
      <c r="B94" s="8" t="inlineStr">
        <is>
          <t>2026-01</t>
        </is>
      </c>
      <c r="C94" s="14" t="n">
        <v>0</v>
      </c>
      <c r="D94" s="14" t="n">
        <v>-158385.98</v>
      </c>
      <c r="E94" s="14" t="n">
        <v>-158385.98</v>
      </c>
      <c r="F94" s="14" t="n">
        <v>78399.39999999999</v>
      </c>
      <c r="G94" s="14" t="n">
        <v>234085.38</v>
      </c>
      <c r="H94" s="14" t="n">
        <v>155685.98</v>
      </c>
      <c r="I94" s="14" t="n">
        <v>78399.39999999999</v>
      </c>
      <c r="J94" s="14" t="n">
        <v>75699.39999999999</v>
      </c>
      <c r="K94" s="14" t="n">
        <v>-2.91038304567337e-11</v>
      </c>
      <c r="L94" s="8" t="b">
        <v>0</v>
      </c>
      <c r="M94" s="14" t="n">
        <v>0</v>
      </c>
      <c r="N94" s="19">
        <f>ROUND((J94-I94)-(K94+E94+H94),4)</f>
        <v/>
      </c>
    </row>
    <row r="95">
      <c r="A95" s="8" t="inlineStr">
        <is>
          <t>Sunrise Tours</t>
        </is>
      </c>
      <c r="B95" s="8" t="inlineStr">
        <is>
          <t>2026-02</t>
        </is>
      </c>
      <c r="C95" s="14" t="n">
        <v>-158385.98</v>
      </c>
      <c r="D95" s="14" t="n">
        <v>-1041618.91</v>
      </c>
      <c r="E95" s="14" t="n">
        <v>-883232.9300000001</v>
      </c>
      <c r="F95" s="14" t="n">
        <v>234085.3799999998</v>
      </c>
      <c r="G95" s="14" t="n">
        <v>1115518.31</v>
      </c>
      <c r="H95" s="14" t="n">
        <v>881432.9300000001</v>
      </c>
      <c r="I95" s="14" t="n">
        <v>75699.39999999976</v>
      </c>
      <c r="J95" s="14" t="n">
        <v>73899.39999999979</v>
      </c>
      <c r="K95" s="14" t="n">
        <v>0</v>
      </c>
      <c r="L95" s="8" t="b">
        <v>0</v>
      </c>
      <c r="M95" s="14" t="n">
        <v>0</v>
      </c>
      <c r="N95" s="19">
        <f>ROUND((J95-I95)-(K95+E95+H95),4)</f>
        <v/>
      </c>
    </row>
    <row r="96">
      <c r="A96" s="8" t="inlineStr">
        <is>
          <t>Sunrise Tours</t>
        </is>
      </c>
      <c r="B96" s="8" t="inlineStr">
        <is>
          <t>2026-03</t>
        </is>
      </c>
      <c r="C96" s="14" t="n">
        <v>-1041618.91</v>
      </c>
      <c r="D96" s="14" t="n">
        <v>-987426.66</v>
      </c>
      <c r="E96" s="14" t="n">
        <v>54192.25</v>
      </c>
      <c r="F96" s="14" t="n">
        <v>1115518.31</v>
      </c>
      <c r="G96" s="14" t="n">
        <v>560273.9099999999</v>
      </c>
      <c r="H96" s="14" t="n">
        <v>-555244.4</v>
      </c>
      <c r="I96" s="14" t="n">
        <v>73899.40000000002</v>
      </c>
      <c r="J96" s="14" t="n">
        <v>-427152.7500000001</v>
      </c>
      <c r="K96" s="14" t="n">
        <v>0</v>
      </c>
      <c r="L96" s="8" t="b">
        <v>0</v>
      </c>
      <c r="M96" s="14" t="n">
        <v>0</v>
      </c>
      <c r="N96" s="19">
        <f>ROUND((J96-I96)-(K96+E96+H96),4)</f>
        <v/>
      </c>
    </row>
    <row r="97">
      <c r="A97" s="8" t="inlineStr">
        <is>
          <t>Sunrise Tours</t>
        </is>
      </c>
      <c r="B97" s="8" t="inlineStr">
        <is>
          <t>2026-04</t>
        </is>
      </c>
      <c r="C97" s="14" t="n">
        <v>-987426.66</v>
      </c>
      <c r="D97" s="14" t="n">
        <v>-1912384.12</v>
      </c>
      <c r="E97" s="14" t="n">
        <v>-924957.46</v>
      </c>
      <c r="F97" s="14" t="n">
        <v>560273.9099999998</v>
      </c>
      <c r="G97" s="14" t="n">
        <v>1486231.37</v>
      </c>
      <c r="H97" s="14" t="n">
        <v>925957.4600000001</v>
      </c>
      <c r="I97" s="14" t="n">
        <v>-427152.7500000002</v>
      </c>
      <c r="J97" s="14" t="n">
        <v>-426152.7500000002</v>
      </c>
      <c r="K97" s="14" t="n">
        <v>0</v>
      </c>
      <c r="L97" s="8" t="b">
        <v>0</v>
      </c>
      <c r="M97" s="14" t="n">
        <v>0</v>
      </c>
      <c r="N97" s="19">
        <f>ROUND((J97-I97)-(K97+E97+H97),4)</f>
        <v/>
      </c>
    </row>
    <row r="98">
      <c r="A98" s="8" t="inlineStr">
        <is>
          <t>Sunrise Tours</t>
        </is>
      </c>
      <c r="B98" s="8" t="inlineStr">
        <is>
          <t>2026-05</t>
        </is>
      </c>
      <c r="C98" s="14" t="n">
        <v>-1912384.12</v>
      </c>
      <c r="D98" s="14" t="n">
        <v>-1089092.96</v>
      </c>
      <c r="E98" s="14" t="n">
        <v>823291.16</v>
      </c>
      <c r="F98" s="14" t="n">
        <v>1486231.37</v>
      </c>
      <c r="G98" s="14" t="n">
        <v>662940.21</v>
      </c>
      <c r="H98" s="14" t="n">
        <v>-823291.1599999999</v>
      </c>
      <c r="I98" s="14" t="n">
        <v>-426152.7500000002</v>
      </c>
      <c r="J98" s="14" t="n">
        <v>-426152.75</v>
      </c>
      <c r="K98" s="14" t="n">
        <v>0</v>
      </c>
      <c r="L98" s="8" t="b">
        <v>0</v>
      </c>
      <c r="M98" s="14" t="n">
        <v>0</v>
      </c>
      <c r="N98" s="19">
        <f>ROUND((J98-I98)-(K98+E98+H98),4)</f>
        <v/>
      </c>
    </row>
    <row r="99">
      <c r="A99" s="8" t="inlineStr">
        <is>
          <t>Sunrise Tours</t>
        </is>
      </c>
      <c r="B99" s="8" t="inlineStr">
        <is>
          <t>2026-06</t>
        </is>
      </c>
      <c r="C99" s="14" t="n">
        <v>-1088829.96</v>
      </c>
      <c r="D99" s="14" t="n">
        <v>-599838.47</v>
      </c>
      <c r="E99" s="14" t="n">
        <v>488991.49</v>
      </c>
      <c r="F99" s="14" t="n">
        <v>662940.21</v>
      </c>
      <c r="G99" s="14" t="n">
        <v>-114314.3000000001</v>
      </c>
      <c r="H99" s="14" t="n">
        <v>-777254.51</v>
      </c>
      <c r="I99" s="14" t="n">
        <v>-425889.75</v>
      </c>
      <c r="J99" s="14" t="n">
        <v>-714152.77</v>
      </c>
      <c r="K99" s="14" t="n">
        <v>0</v>
      </c>
      <c r="L99" s="8" t="b">
        <v>1</v>
      </c>
      <c r="M99" s="14" t="n">
        <v>263</v>
      </c>
      <c r="N99" s="19">
        <f>ROUND((J99-I99)-(K99+E99+H99),4)</f>
        <v/>
      </c>
    </row>
    <row r="100">
      <c r="A100" s="8" t="inlineStr">
        <is>
          <t>Sunrise Tours</t>
        </is>
      </c>
      <c r="B100" s="8" t="inlineStr">
        <is>
          <t>2026-07</t>
        </is>
      </c>
      <c r="C100" s="14" t="n">
        <v>-599838.47</v>
      </c>
      <c r="D100" s="14" t="n">
        <v>-670642.4399999999</v>
      </c>
      <c r="E100" s="14" t="n">
        <v>-70803.96999999999</v>
      </c>
      <c r="F100" s="14" t="n">
        <v>-114314.3</v>
      </c>
      <c r="G100" s="14" t="n">
        <v>-294714.33</v>
      </c>
      <c r="H100" s="14" t="n">
        <v>-180400.03</v>
      </c>
      <c r="I100" s="14" t="n">
        <v>-714152.77</v>
      </c>
      <c r="J100" s="14" t="n">
        <v>-965356.7699999999</v>
      </c>
      <c r="K100" s="14" t="n">
        <v>0</v>
      </c>
      <c r="L100" s="8" t="b">
        <v>0</v>
      </c>
      <c r="M100" s="14" t="n">
        <v>0</v>
      </c>
      <c r="N100" s="19">
        <f>ROUND((J100-I100)-(K100+E100+H100),4)</f>
        <v/>
      </c>
    </row>
    <row r="101">
      <c r="A101" s="8" t="inlineStr">
        <is>
          <t>Tengri Trip</t>
        </is>
      </c>
      <c r="B101" s="8" t="inlineStr">
        <is>
          <t>2026-01</t>
        </is>
      </c>
      <c r="C101" s="14" t="n">
        <v>0</v>
      </c>
      <c r="D101" s="14" t="n">
        <v>-538487.54</v>
      </c>
      <c r="E101" s="14" t="n">
        <v>-538487.54</v>
      </c>
      <c r="F101" s="14" t="n">
        <v>0</v>
      </c>
      <c r="G101" s="14" t="n">
        <v>538487.54</v>
      </c>
      <c r="H101" s="14" t="n">
        <v>538487.54</v>
      </c>
      <c r="I101" s="14" t="n">
        <v>0</v>
      </c>
      <c r="J101" s="14" t="n">
        <v>0</v>
      </c>
      <c r="K101" s="14" t="n">
        <v>0</v>
      </c>
      <c r="L101" s="8" t="b">
        <v>0</v>
      </c>
      <c r="M101" s="14" t="n">
        <v>0</v>
      </c>
      <c r="N101" s="19">
        <f>ROUND((J101-I101)-(K101+E101+H101),4)</f>
        <v/>
      </c>
    </row>
    <row r="102">
      <c r="A102" s="8" t="inlineStr">
        <is>
          <t>Tengri Trip</t>
        </is>
      </c>
      <c r="B102" s="8" t="inlineStr">
        <is>
          <t>2026-02</t>
        </is>
      </c>
      <c r="C102" s="14" t="n">
        <v>-538487.54</v>
      </c>
      <c r="D102" s="14" t="n">
        <v>-788340.3</v>
      </c>
      <c r="E102" s="14" t="n">
        <v>-249852.76</v>
      </c>
      <c r="F102" s="14" t="n">
        <v>538487.54</v>
      </c>
      <c r="G102" s="14" t="n">
        <v>788342.7000000001</v>
      </c>
      <c r="H102" s="14" t="n">
        <v>249855.16</v>
      </c>
      <c r="I102" s="14" t="n">
        <v>0</v>
      </c>
      <c r="J102" s="14" t="n">
        <v>2.400000000023283</v>
      </c>
      <c r="K102" s="14" t="n">
        <v>0</v>
      </c>
      <c r="L102" s="8" t="b">
        <v>0</v>
      </c>
      <c r="M102" s="14" t="n">
        <v>0</v>
      </c>
      <c r="N102" s="19">
        <f>ROUND((J102-I102)-(K102+E102+H102),4)</f>
        <v/>
      </c>
    </row>
    <row r="103">
      <c r="A103" s="8" t="inlineStr">
        <is>
          <t>Tengri Trip</t>
        </is>
      </c>
      <c r="B103" s="8" t="inlineStr">
        <is>
          <t>2026-03</t>
        </is>
      </c>
      <c r="C103" s="14" t="n">
        <v>-788340.3</v>
      </c>
      <c r="D103" s="14" t="n">
        <v>-290093.03</v>
      </c>
      <c r="E103" s="14" t="n">
        <v>498247.27</v>
      </c>
      <c r="F103" s="14" t="n">
        <v>788342.7</v>
      </c>
      <c r="G103" s="14" t="n">
        <v>290095.4299999999</v>
      </c>
      <c r="H103" s="14" t="n">
        <v>-498247.27</v>
      </c>
      <c r="I103" s="14" t="n">
        <v>2.399999999906868</v>
      </c>
      <c r="J103" s="14" t="n">
        <v>2.39999999984866</v>
      </c>
      <c r="K103" s="14" t="n">
        <v>0</v>
      </c>
      <c r="L103" s="8" t="b">
        <v>0</v>
      </c>
      <c r="M103" s="14" t="n">
        <v>0</v>
      </c>
      <c r="N103" s="19">
        <f>ROUND((J103-I103)-(K103+E103+H103),4)</f>
        <v/>
      </c>
    </row>
    <row r="104">
      <c r="A104" s="8" t="inlineStr">
        <is>
          <t>Tengri Trip</t>
        </is>
      </c>
      <c r="B104" s="8" t="inlineStr">
        <is>
          <t>2026-04</t>
        </is>
      </c>
      <c r="C104" s="14" t="n">
        <v>-290093.03</v>
      </c>
      <c r="D104" s="14" t="n">
        <v>606075.79</v>
      </c>
      <c r="E104" s="14" t="n">
        <v>896168.8199999999</v>
      </c>
      <c r="F104" s="14" t="n">
        <v>290095.4300000001</v>
      </c>
      <c r="G104" s="14" t="n">
        <v>-603158.15</v>
      </c>
      <c r="H104" s="14" t="n">
        <v>-893253.5800000001</v>
      </c>
      <c r="I104" s="14" t="n">
        <v>2.400000000023283</v>
      </c>
      <c r="J104" s="14" t="n">
        <v>2917.640000000014</v>
      </c>
      <c r="K104" s="14" t="n">
        <v>1.164153218269348e-10</v>
      </c>
      <c r="L104" s="8" t="b">
        <v>0</v>
      </c>
      <c r="M104" s="14" t="n">
        <v>0</v>
      </c>
      <c r="N104" s="19">
        <f>ROUND((J104-I104)-(K104+E104+H104),4)</f>
        <v/>
      </c>
    </row>
    <row r="105">
      <c r="A105" s="8" t="inlineStr">
        <is>
          <t>Tengri Trip</t>
        </is>
      </c>
      <c r="B105" s="8" t="inlineStr">
        <is>
          <t>2026-05</t>
        </is>
      </c>
      <c r="C105" s="14" t="n">
        <v>606075.79</v>
      </c>
      <c r="D105" s="14" t="n">
        <v>241985.6</v>
      </c>
      <c r="E105" s="14" t="n">
        <v>-364090.19</v>
      </c>
      <c r="F105" s="14" t="n">
        <v>-603158.1500000001</v>
      </c>
      <c r="G105" s="14" t="n">
        <v>-470967.9600000001</v>
      </c>
      <c r="H105" s="14" t="n">
        <v>132190.19</v>
      </c>
      <c r="I105" s="14" t="n">
        <v>2917.639999999898</v>
      </c>
      <c r="J105" s="14" t="n">
        <v>-228982.3600000001</v>
      </c>
      <c r="K105" s="14" t="n">
        <v>-2.91038304567337e-11</v>
      </c>
      <c r="L105" s="8" t="b">
        <v>0</v>
      </c>
      <c r="M105" s="14" t="n">
        <v>0</v>
      </c>
      <c r="N105" s="19">
        <f>ROUND((J105-I105)-(K105+E105+H105),4)</f>
        <v/>
      </c>
    </row>
    <row r="106">
      <c r="A106" s="8" t="inlineStr">
        <is>
          <t>Tengri Trip</t>
        </is>
      </c>
      <c r="B106" s="8" t="inlineStr">
        <is>
          <t>2026-06</t>
        </is>
      </c>
      <c r="C106" s="14" t="n">
        <v>241985.6</v>
      </c>
      <c r="D106" s="14" t="n">
        <v>691118.9399999999</v>
      </c>
      <c r="E106" s="14" t="n">
        <v>449133.34</v>
      </c>
      <c r="F106" s="14" t="n">
        <v>-470967.9600000001</v>
      </c>
      <c r="G106" s="14" t="n">
        <v>-1328975.14</v>
      </c>
      <c r="H106" s="14" t="n">
        <v>-858007.1800000001</v>
      </c>
      <c r="I106" s="14" t="n">
        <v>-228982.3600000001</v>
      </c>
      <c r="J106" s="14" t="n">
        <v>-637856.2000000002</v>
      </c>
      <c r="K106" s="14" t="n">
        <v>0</v>
      </c>
      <c r="L106" s="8" t="b">
        <v>0</v>
      </c>
      <c r="M106" s="14" t="n">
        <v>0</v>
      </c>
      <c r="N106" s="19">
        <f>ROUND((J106-I106)-(K106+E106+H106),4)</f>
        <v/>
      </c>
    </row>
    <row r="107">
      <c r="A107" s="8" t="inlineStr">
        <is>
          <t>Tengri Trip</t>
        </is>
      </c>
      <c r="B107" s="8" t="inlineStr">
        <is>
          <t>2026-07</t>
        </is>
      </c>
      <c r="C107" s="14" t="n">
        <v>691118.9399999999</v>
      </c>
      <c r="D107" s="14" t="n">
        <v>-360965.01</v>
      </c>
      <c r="E107" s="14" t="n">
        <v>-1052083.95</v>
      </c>
      <c r="F107" s="14" t="n">
        <v>-1328975.14</v>
      </c>
      <c r="G107" s="14" t="n">
        <v>-314765.1299999999</v>
      </c>
      <c r="H107" s="14" t="n">
        <v>1014210.01</v>
      </c>
      <c r="I107" s="14" t="n">
        <v>-637856.2</v>
      </c>
      <c r="J107" s="14" t="n">
        <v>-675730.1399999999</v>
      </c>
      <c r="K107" s="14" t="n">
        <v>0</v>
      </c>
      <c r="L107" s="8" t="b">
        <v>0</v>
      </c>
      <c r="M107" s="14" t="n">
        <v>0</v>
      </c>
      <c r="N107" s="19">
        <f>ROUND((J107-I107)-(K107+E107+H107),4)</f>
        <v/>
      </c>
    </row>
    <row r="108">
      <c r="A108" s="8" t="inlineStr">
        <is>
          <t>Абдылда уулу Б.</t>
        </is>
      </c>
      <c r="B108" s="8" t="inlineStr">
        <is>
          <t>2026-01</t>
        </is>
      </c>
      <c r="C108" s="14" t="n">
        <v>0</v>
      </c>
      <c r="D108" s="14" t="n">
        <v>-711121.64</v>
      </c>
      <c r="E108" s="14" t="n">
        <v>-711121.64</v>
      </c>
      <c r="F108" s="14" t="n">
        <v>0</v>
      </c>
      <c r="G108" s="14" t="n">
        <v>322665.6</v>
      </c>
      <c r="H108" s="14" t="n">
        <v>322665.6</v>
      </c>
      <c r="I108" s="14" t="n">
        <v>0</v>
      </c>
      <c r="J108" s="14" t="n">
        <v>-388456.04</v>
      </c>
      <c r="K108" s="14" t="n">
        <v>0</v>
      </c>
      <c r="L108" s="8" t="b">
        <v>0</v>
      </c>
      <c r="M108" s="14" t="n">
        <v>0</v>
      </c>
      <c r="N108" s="19">
        <f>ROUND((J108-I108)-(K108+E108+H108),4)</f>
        <v/>
      </c>
    </row>
    <row r="109">
      <c r="A109" s="8" t="inlineStr">
        <is>
          <t>Абдылда уулу Б.</t>
        </is>
      </c>
      <c r="B109" s="8" t="inlineStr">
        <is>
          <t>2026-02</t>
        </is>
      </c>
      <c r="C109" s="14" t="n">
        <v>-711121.64</v>
      </c>
      <c r="D109" s="14" t="n">
        <v>-2320420.73</v>
      </c>
      <c r="E109" s="14" t="n">
        <v>-1609299.09</v>
      </c>
      <c r="F109" s="14" t="n">
        <v>322665.5999999996</v>
      </c>
      <c r="G109" s="14" t="n">
        <v>2007815.74</v>
      </c>
      <c r="H109" s="14" t="n">
        <v>1685150.14</v>
      </c>
      <c r="I109" s="14" t="n">
        <v>-388456.0400000004</v>
      </c>
      <c r="J109" s="14" t="n">
        <v>-312604.99</v>
      </c>
      <c r="K109" s="14" t="n">
        <v>0</v>
      </c>
      <c r="L109" s="8" t="b">
        <v>0</v>
      </c>
      <c r="M109" s="14" t="n">
        <v>0</v>
      </c>
      <c r="N109" s="19">
        <f>ROUND((J109-I109)-(K109+E109+H109),4)</f>
        <v/>
      </c>
    </row>
    <row r="110">
      <c r="A110" s="8" t="inlineStr">
        <is>
          <t>Абдылда уулу Б.</t>
        </is>
      </c>
      <c r="B110" s="8" t="inlineStr">
        <is>
          <t>2026-03</t>
        </is>
      </c>
      <c r="C110" s="14" t="n">
        <v>-2320420.73</v>
      </c>
      <c r="D110" s="14" t="n">
        <v>-553458.02</v>
      </c>
      <c r="E110" s="14" t="n">
        <v>1766962.71</v>
      </c>
      <c r="F110" s="14" t="n">
        <v>2007815.74</v>
      </c>
      <c r="G110" s="14" t="n">
        <v>128911.45</v>
      </c>
      <c r="H110" s="14" t="n">
        <v>-1878904.29</v>
      </c>
      <c r="I110" s="14" t="n">
        <v>-312604.99</v>
      </c>
      <c r="J110" s="14" t="n">
        <v>-424546.5700000001</v>
      </c>
      <c r="K110" s="14" t="n">
        <v>0</v>
      </c>
      <c r="L110" s="8" t="b">
        <v>0</v>
      </c>
      <c r="M110" s="14" t="n">
        <v>0</v>
      </c>
      <c r="N110" s="19">
        <f>ROUND((J110-I110)-(K110+E110+H110),4)</f>
        <v/>
      </c>
    </row>
    <row r="111">
      <c r="A111" s="8" t="inlineStr">
        <is>
          <t>Абдылда уулу Б.</t>
        </is>
      </c>
      <c r="B111" s="8" t="inlineStr">
        <is>
          <t>2026-04</t>
        </is>
      </c>
      <c r="C111" s="14" t="n">
        <v>-553458.02</v>
      </c>
      <c r="D111" s="14" t="n">
        <v>-1588104.83</v>
      </c>
      <c r="E111" s="14" t="n">
        <v>-1034646.81</v>
      </c>
      <c r="F111" s="14" t="n">
        <v>128911.45</v>
      </c>
      <c r="G111" s="14" t="n">
        <v>870119.17</v>
      </c>
      <c r="H111" s="14" t="n">
        <v>741207.7200000001</v>
      </c>
      <c r="I111" s="14" t="n">
        <v>-424546.5700000001</v>
      </c>
      <c r="J111" s="14" t="n">
        <v>-717985.66</v>
      </c>
      <c r="K111" s="14" t="n">
        <v>0</v>
      </c>
      <c r="L111" s="8" t="b">
        <v>0</v>
      </c>
      <c r="M111" s="14" t="n">
        <v>0</v>
      </c>
      <c r="N111" s="19">
        <f>ROUND((J111-I111)-(K111+E111+H111),4)</f>
        <v/>
      </c>
    </row>
    <row r="112">
      <c r="A112" s="8" t="inlineStr">
        <is>
          <t>Абдылда уулу Б.</t>
        </is>
      </c>
      <c r="B112" s="8" t="inlineStr">
        <is>
          <t>2026-05</t>
        </is>
      </c>
      <c r="C112" s="14" t="n">
        <v>-1588104.83</v>
      </c>
      <c r="D112" s="14" t="n">
        <v>-2946820.97</v>
      </c>
      <c r="E112" s="14" t="n">
        <v>-1358716.14</v>
      </c>
      <c r="F112" s="14" t="n">
        <v>870119.17</v>
      </c>
      <c r="G112" s="14" t="n">
        <v>1619614.39</v>
      </c>
      <c r="H112" s="14" t="n">
        <v>749495.2200000001</v>
      </c>
      <c r="I112" s="14" t="n">
        <v>-717985.66</v>
      </c>
      <c r="J112" s="14" t="n">
        <v>-1327206.58</v>
      </c>
      <c r="K112" s="14" t="n">
        <v>0</v>
      </c>
      <c r="L112" s="8" t="b">
        <v>0</v>
      </c>
      <c r="M112" s="14" t="n">
        <v>0</v>
      </c>
      <c r="N112" s="19">
        <f>ROUND((J112-I112)-(K112+E112+H112),4)</f>
        <v/>
      </c>
    </row>
    <row r="113">
      <c r="A113" s="8" t="inlineStr">
        <is>
          <t>Абдылда уулу Б.</t>
        </is>
      </c>
      <c r="B113" s="8" t="inlineStr">
        <is>
          <t>2026-06</t>
        </is>
      </c>
      <c r="C113" s="14" t="n">
        <v>-2946820.97</v>
      </c>
      <c r="D113" s="14" t="n">
        <v>-2581364.47</v>
      </c>
      <c r="E113" s="14" t="n">
        <v>365456.4999999999</v>
      </c>
      <c r="F113" s="14" t="n">
        <v>1619614.39</v>
      </c>
      <c r="G113" s="14" t="n">
        <v>1327372.48</v>
      </c>
      <c r="H113" s="14" t="n">
        <v>-292241.91</v>
      </c>
      <c r="I113" s="14" t="n">
        <v>-1327206.580000001</v>
      </c>
      <c r="J113" s="14" t="n">
        <v>-1253991.99</v>
      </c>
      <c r="K113" s="14" t="n">
        <v>0</v>
      </c>
      <c r="L113" s="8" t="b">
        <v>0</v>
      </c>
      <c r="M113" s="14" t="n">
        <v>0</v>
      </c>
      <c r="N113" s="19">
        <f>ROUND((J113-I113)-(K113+E113+H113),4)</f>
        <v/>
      </c>
    </row>
    <row r="114">
      <c r="A114" s="8" t="inlineStr">
        <is>
          <t>Абдылда уулу Б.</t>
        </is>
      </c>
      <c r="B114" s="8" t="inlineStr">
        <is>
          <t>2026-07</t>
        </is>
      </c>
      <c r="C114" s="14" t="n">
        <v>-2581364.47</v>
      </c>
      <c r="D114" s="14" t="n">
        <v>-2989595.5</v>
      </c>
      <c r="E114" s="14" t="n">
        <v>-408231.03</v>
      </c>
      <c r="F114" s="14" t="n">
        <v>1327372.48</v>
      </c>
      <c r="G114" s="14" t="n">
        <v>1640399.69</v>
      </c>
      <c r="H114" s="14" t="n">
        <v>313027.2100000001</v>
      </c>
      <c r="I114" s="14" t="n">
        <v>-1253991.990000001</v>
      </c>
      <c r="J114" s="14" t="n">
        <v>-1349195.81</v>
      </c>
      <c r="K114" s="14" t="n">
        <v>0</v>
      </c>
      <c r="L114" s="8" t="b">
        <v>0</v>
      </c>
      <c r="M114" s="14" t="n">
        <v>0</v>
      </c>
      <c r="N114" s="19">
        <f>ROUND((J114-I114)-(K114+E114+H114),4)</f>
        <v/>
      </c>
    </row>
    <row r="115">
      <c r="A115" s="8" t="inlineStr">
        <is>
          <t>Абдылдаов Д. М.</t>
        </is>
      </c>
      <c r="B115" s="8" t="inlineStr">
        <is>
          <t>2026-01</t>
        </is>
      </c>
      <c r="C115" s="14" t="n">
        <v>-149235.78</v>
      </c>
      <c r="D115" s="14" t="n">
        <v>85088.25999999999</v>
      </c>
      <c r="E115" s="14" t="n">
        <v>234324.04</v>
      </c>
      <c r="F115" s="14" t="n">
        <v>149235.78</v>
      </c>
      <c r="G115" s="14" t="n">
        <v>-219688.26</v>
      </c>
      <c r="H115" s="14" t="n">
        <v>-368924.04</v>
      </c>
      <c r="I115" s="14" t="n">
        <v>0</v>
      </c>
      <c r="J115" s="14" t="n">
        <v>-134600.0000000001</v>
      </c>
      <c r="K115" s="14" t="n">
        <v>-1.455191522836685e-11</v>
      </c>
      <c r="L115" s="8" t="b">
        <v>0</v>
      </c>
      <c r="M115" s="14" t="n">
        <v>0</v>
      </c>
      <c r="N115" s="19">
        <f>ROUND((J115-I115)-(K115+E115+H115),4)</f>
        <v/>
      </c>
    </row>
    <row r="116">
      <c r="A116" s="8" t="inlineStr">
        <is>
          <t>Абдылдаов Д. М.</t>
        </is>
      </c>
      <c r="B116" s="8" t="inlineStr">
        <is>
          <t>2026-02</t>
        </is>
      </c>
      <c r="C116" s="14" t="n">
        <v>85088.25999999999</v>
      </c>
      <c r="D116" s="14" t="n">
        <v>-47858.82</v>
      </c>
      <c r="E116" s="14" t="n">
        <v>-132947.08</v>
      </c>
      <c r="F116" s="14" t="n">
        <v>-219688.2600000001</v>
      </c>
      <c r="G116" s="14" t="n">
        <v>-86741.18000000011</v>
      </c>
      <c r="H116" s="14" t="n">
        <v>132947.08</v>
      </c>
      <c r="I116" s="14" t="n">
        <v>-134600.0000000001</v>
      </c>
      <c r="J116" s="14" t="n">
        <v>-134600.0000000001</v>
      </c>
      <c r="K116" s="14" t="n">
        <v>2.182787284255028e-11</v>
      </c>
      <c r="L116" s="8" t="b">
        <v>0</v>
      </c>
      <c r="M116" s="14" t="n">
        <v>0</v>
      </c>
      <c r="N116" s="19">
        <f>ROUND((J116-I116)-(K116+E116+H116),4)</f>
        <v/>
      </c>
    </row>
    <row r="117">
      <c r="A117" s="8" t="inlineStr">
        <is>
          <t>Абдылдаов Д. М.</t>
        </is>
      </c>
      <c r="B117" s="8" t="inlineStr">
        <is>
          <t>2026-03</t>
        </is>
      </c>
      <c r="C117" s="14" t="n">
        <v>-47858.82</v>
      </c>
      <c r="D117" s="14" t="n">
        <v>-158267.72</v>
      </c>
      <c r="E117" s="14" t="n">
        <v>-110408.9</v>
      </c>
      <c r="F117" s="14" t="n">
        <v>-86741.17999999999</v>
      </c>
      <c r="G117" s="14" t="n">
        <v>-125054.7</v>
      </c>
      <c r="H117" s="14" t="n">
        <v>-38313.51999999999</v>
      </c>
      <c r="I117" s="14" t="n">
        <v>-134600</v>
      </c>
      <c r="J117" s="14" t="n">
        <v>-283322.42</v>
      </c>
      <c r="K117" s="14" t="n">
        <v>0</v>
      </c>
      <c r="L117" s="8" t="b">
        <v>0</v>
      </c>
      <c r="M117" s="14" t="n">
        <v>0</v>
      </c>
      <c r="N117" s="19">
        <f>ROUND((J117-I117)-(K117+E117+H117),4)</f>
        <v/>
      </c>
    </row>
    <row r="118">
      <c r="A118" s="8" t="inlineStr">
        <is>
          <t>Абдылдаов Д. М.</t>
        </is>
      </c>
      <c r="B118" s="8" t="inlineStr">
        <is>
          <t>2026-04</t>
        </is>
      </c>
      <c r="C118" s="14" t="n">
        <v>-158267.72</v>
      </c>
      <c r="D118" s="14" t="n">
        <v>-439669.48</v>
      </c>
      <c r="E118" s="14" t="n">
        <v>-281401.76</v>
      </c>
      <c r="F118" s="14" t="n">
        <v>-125054.7</v>
      </c>
      <c r="G118" s="14" t="n">
        <v>146347.06</v>
      </c>
      <c r="H118" s="14" t="n">
        <v>271401.76</v>
      </c>
      <c r="I118" s="14" t="n">
        <v>-283322.42</v>
      </c>
      <c r="J118" s="14" t="n">
        <v>-293322.42</v>
      </c>
      <c r="K118" s="14" t="n">
        <v>0</v>
      </c>
      <c r="L118" s="8" t="b">
        <v>0</v>
      </c>
      <c r="M118" s="14" t="n">
        <v>0</v>
      </c>
      <c r="N118" s="19">
        <f>ROUND((J118-I118)-(K118+E118+H118),4)</f>
        <v/>
      </c>
    </row>
    <row r="119">
      <c r="A119" s="8" t="inlineStr">
        <is>
          <t>Абдылдаов Д. М.</t>
        </is>
      </c>
      <c r="B119" s="8" t="inlineStr">
        <is>
          <t>2026-05</t>
        </is>
      </c>
      <c r="C119" s="14" t="n">
        <v>-439669.48</v>
      </c>
      <c r="D119" s="14" t="n">
        <v>-818040.25</v>
      </c>
      <c r="E119" s="14" t="n">
        <v>-378370.77</v>
      </c>
      <c r="F119" s="14" t="n">
        <v>146347.0600000001</v>
      </c>
      <c r="G119" s="14" t="n">
        <v>524717.8300000001</v>
      </c>
      <c r="H119" s="14" t="n">
        <v>378370.77</v>
      </c>
      <c r="I119" s="14" t="n">
        <v>-293322.4199999999</v>
      </c>
      <c r="J119" s="14" t="n">
        <v>-293322.4199999999</v>
      </c>
      <c r="K119" s="14" t="n">
        <v>0</v>
      </c>
      <c r="L119" s="8" t="b">
        <v>0</v>
      </c>
      <c r="M119" s="14" t="n">
        <v>0</v>
      </c>
      <c r="N119" s="19">
        <f>ROUND((J119-I119)-(K119+E119+H119),4)</f>
        <v/>
      </c>
    </row>
    <row r="120">
      <c r="A120" s="8" t="inlineStr">
        <is>
          <t>Абдылдаов Д. М.</t>
        </is>
      </c>
      <c r="B120" s="8" t="inlineStr">
        <is>
          <t>2026-06</t>
        </is>
      </c>
      <c r="C120" s="14" t="n">
        <v>-818040.25</v>
      </c>
      <c r="D120" s="14" t="n">
        <v>-169722.76</v>
      </c>
      <c r="E120" s="14" t="n">
        <v>648317.49</v>
      </c>
      <c r="F120" s="14" t="n">
        <v>524717.83</v>
      </c>
      <c r="G120" s="14" t="n">
        <v>-124227.81</v>
      </c>
      <c r="H120" s="14" t="n">
        <v>-648945.6399999999</v>
      </c>
      <c r="I120" s="14" t="n">
        <v>-293322.42</v>
      </c>
      <c r="J120" s="14" t="n">
        <v>-293950.5699999999</v>
      </c>
      <c r="K120" s="14" t="n">
        <v>0</v>
      </c>
      <c r="L120" s="8" t="b">
        <v>0</v>
      </c>
      <c r="M120" s="14" t="n">
        <v>0</v>
      </c>
      <c r="N120" s="19">
        <f>ROUND((J120-I120)-(K120+E120+H120),4)</f>
        <v/>
      </c>
    </row>
    <row r="121">
      <c r="A121" s="8" t="inlineStr">
        <is>
          <t>Абдылдаов Д. М.</t>
        </is>
      </c>
      <c r="B121" s="8" t="inlineStr">
        <is>
          <t>2026-07</t>
        </is>
      </c>
      <c r="C121" s="14" t="n">
        <v>-169722.76</v>
      </c>
      <c r="D121" s="14" t="n">
        <v>-195011.15</v>
      </c>
      <c r="E121" s="14" t="n">
        <v>-25288.38999999998</v>
      </c>
      <c r="F121" s="14" t="n">
        <v>-124227.8100000002</v>
      </c>
      <c r="G121" s="14" t="n">
        <v>-105890.7800000002</v>
      </c>
      <c r="H121" s="14" t="n">
        <v>18337.03000000004</v>
      </c>
      <c r="I121" s="14" t="n">
        <v>-293950.5700000002</v>
      </c>
      <c r="J121" s="14" t="n">
        <v>-300901.9300000002</v>
      </c>
      <c r="K121" s="14" t="n">
        <v>0</v>
      </c>
      <c r="L121" s="8" t="b">
        <v>0</v>
      </c>
      <c r="M121" s="14" t="n">
        <v>0</v>
      </c>
      <c r="N121" s="19">
        <f>ROUND((J121-I121)-(K121+E121+H121),4)</f>
        <v/>
      </c>
    </row>
    <row r="122">
      <c r="A122" s="8" t="inlineStr">
        <is>
          <t>Абдыраманова Д. А.</t>
        </is>
      </c>
      <c r="B122" s="8" t="inlineStr">
        <is>
          <t>2026-01</t>
        </is>
      </c>
      <c r="C122" s="14" t="n">
        <v>592175.79</v>
      </c>
      <c r="D122" s="14" t="n">
        <v>781495.6899999999</v>
      </c>
      <c r="E122" s="14" t="n">
        <v>189319.9</v>
      </c>
      <c r="F122" s="14" t="n">
        <v>-592175.7899999999</v>
      </c>
      <c r="G122" s="14" t="n">
        <v>-1098946.69</v>
      </c>
      <c r="H122" s="14" t="n">
        <v>-506770.9</v>
      </c>
      <c r="I122" s="14" t="n">
        <v>1.164153218269348e-10</v>
      </c>
      <c r="J122" s="14" t="n">
        <v>-317451</v>
      </c>
      <c r="K122" s="14" t="n">
        <v>-1.164153218269348e-10</v>
      </c>
      <c r="L122" s="8" t="b">
        <v>0</v>
      </c>
      <c r="M122" s="14" t="n">
        <v>0</v>
      </c>
      <c r="N122" s="19">
        <f>ROUND((J122-I122)-(K122+E122+H122),4)</f>
        <v/>
      </c>
    </row>
    <row r="123">
      <c r="A123" s="8" t="inlineStr">
        <is>
          <t>Абдыраманова Д. А.</t>
        </is>
      </c>
      <c r="B123" s="8" t="inlineStr">
        <is>
          <t>2026-02</t>
        </is>
      </c>
      <c r="C123" s="14" t="n">
        <v>781495.6899999999</v>
      </c>
      <c r="D123" s="14" t="n">
        <v>346188.47</v>
      </c>
      <c r="E123" s="14" t="n">
        <v>-435307.22</v>
      </c>
      <c r="F123" s="14" t="n">
        <v>-1098946.69</v>
      </c>
      <c r="G123" s="14" t="n">
        <v>-663639.47</v>
      </c>
      <c r="H123" s="14" t="n">
        <v>435307.22</v>
      </c>
      <c r="I123" s="14" t="n">
        <v>-317451</v>
      </c>
      <c r="J123" s="14" t="n">
        <v>-317451</v>
      </c>
      <c r="K123" s="14" t="n">
        <v>0</v>
      </c>
      <c r="L123" s="8" t="b">
        <v>0</v>
      </c>
      <c r="M123" s="14" t="n">
        <v>0</v>
      </c>
      <c r="N123" s="19">
        <f>ROUND((J123-I123)-(K123+E123+H123),4)</f>
        <v/>
      </c>
    </row>
    <row r="124">
      <c r="A124" s="8" t="inlineStr">
        <is>
          <t>Абдыраманова Д. А.</t>
        </is>
      </c>
      <c r="B124" s="8" t="inlineStr">
        <is>
          <t>2026-03</t>
        </is>
      </c>
      <c r="C124" s="14" t="n">
        <v>346188.47</v>
      </c>
      <c r="D124" s="14" t="n">
        <v>645677.6899999999</v>
      </c>
      <c r="E124" s="14" t="n">
        <v>299489.22</v>
      </c>
      <c r="F124" s="14" t="n">
        <v>-663639.47</v>
      </c>
      <c r="G124" s="14" t="n">
        <v>-963128.6899999999</v>
      </c>
      <c r="H124" s="14" t="n">
        <v>-299489.22</v>
      </c>
      <c r="I124" s="14" t="n">
        <v>-317451</v>
      </c>
      <c r="J124" s="14" t="n">
        <v>-317451</v>
      </c>
      <c r="K124" s="14" t="n">
        <v>0</v>
      </c>
      <c r="L124" s="8" t="b">
        <v>0</v>
      </c>
      <c r="M124" s="14" t="n">
        <v>0</v>
      </c>
      <c r="N124" s="19">
        <f>ROUND((J124-I124)-(K124+E124+H124),4)</f>
        <v/>
      </c>
    </row>
    <row r="125">
      <c r="A125" s="8" t="inlineStr">
        <is>
          <t>Абдыраманова Д. А.</t>
        </is>
      </c>
      <c r="B125" s="8" t="inlineStr">
        <is>
          <t>2026-04</t>
        </is>
      </c>
      <c r="C125" s="14" t="n">
        <v>645677.6899999999</v>
      </c>
      <c r="D125" s="14" t="n">
        <v>-117843.37</v>
      </c>
      <c r="E125" s="14" t="n">
        <v>-763521.0600000001</v>
      </c>
      <c r="F125" s="14" t="n">
        <v>-963128.6899999999</v>
      </c>
      <c r="G125" s="14" t="n">
        <v>-199607.6299999999</v>
      </c>
      <c r="H125" s="14" t="n">
        <v>763521.0600000001</v>
      </c>
      <c r="I125" s="14" t="n">
        <v>-317451</v>
      </c>
      <c r="J125" s="14" t="n">
        <v>-317450.9999999999</v>
      </c>
      <c r="K125" s="14" t="n">
        <v>1.164153218269348e-10</v>
      </c>
      <c r="L125" s="8" t="b">
        <v>0</v>
      </c>
      <c r="M125" s="14" t="n">
        <v>0</v>
      </c>
      <c r="N125" s="19">
        <f>ROUND((J125-I125)-(K125+E125+H125),4)</f>
        <v/>
      </c>
    </row>
    <row r="126">
      <c r="A126" s="8" t="inlineStr">
        <is>
          <t>Абдыраманова Д. А.</t>
        </is>
      </c>
      <c r="B126" s="8" t="inlineStr">
        <is>
          <t>2026-05</t>
        </is>
      </c>
      <c r="C126" s="14" t="n">
        <v>-117843.37</v>
      </c>
      <c r="D126" s="14" t="n">
        <v>-140903.7</v>
      </c>
      <c r="E126" s="14" t="n">
        <v>-23060.32999999999</v>
      </c>
      <c r="F126" s="14" t="n">
        <v>-199607.6300000001</v>
      </c>
      <c r="G126" s="14" t="n">
        <v>-670147.3</v>
      </c>
      <c r="H126" s="14" t="n">
        <v>-470539.67</v>
      </c>
      <c r="I126" s="14" t="n">
        <v>-317451.0000000001</v>
      </c>
      <c r="J126" s="14" t="n">
        <v>-811051</v>
      </c>
      <c r="K126" s="14" t="n">
        <v>-2.91038304567337e-11</v>
      </c>
      <c r="L126" s="8" t="b">
        <v>0</v>
      </c>
      <c r="M126" s="14" t="n">
        <v>0</v>
      </c>
      <c r="N126" s="19">
        <f>ROUND((J126-I126)-(K126+E126+H126),4)</f>
        <v/>
      </c>
    </row>
    <row r="127">
      <c r="A127" s="8" t="inlineStr">
        <is>
          <t>Абдыраманова Д. А.</t>
        </is>
      </c>
      <c r="B127" s="8" t="inlineStr">
        <is>
          <t>2026-06</t>
        </is>
      </c>
      <c r="C127" s="14" t="n">
        <v>-140903.7</v>
      </c>
      <c r="D127" s="14" t="n">
        <v>137397.36</v>
      </c>
      <c r="E127" s="14" t="n">
        <v>278301.06</v>
      </c>
      <c r="F127" s="14" t="n">
        <v>-670147.3</v>
      </c>
      <c r="G127" s="14" t="n">
        <v>-960961.29</v>
      </c>
      <c r="H127" s="14" t="n">
        <v>-290813.99</v>
      </c>
      <c r="I127" s="14" t="n">
        <v>-811051</v>
      </c>
      <c r="J127" s="14" t="n">
        <v>-823563.9300000001</v>
      </c>
      <c r="K127" s="14" t="n">
        <v>0</v>
      </c>
      <c r="L127" s="8" t="b">
        <v>0</v>
      </c>
      <c r="M127" s="14" t="n">
        <v>0</v>
      </c>
      <c r="N127" s="19">
        <f>ROUND((J127-I127)-(K127+E127+H127),4)</f>
        <v/>
      </c>
    </row>
    <row r="128">
      <c r="A128" s="8" t="inlineStr">
        <is>
          <t>Абдыраманова Д. А.</t>
        </is>
      </c>
      <c r="B128" s="8" t="inlineStr">
        <is>
          <t>2026-07</t>
        </is>
      </c>
      <c r="C128" s="14" t="n">
        <v>137397.36</v>
      </c>
      <c r="D128" s="14" t="n">
        <v>469164.01</v>
      </c>
      <c r="E128" s="14" t="n">
        <v>331766.65</v>
      </c>
      <c r="F128" s="14" t="n">
        <v>-960961.2899999997</v>
      </c>
      <c r="G128" s="14" t="n">
        <v>-1390523.21</v>
      </c>
      <c r="H128" s="14" t="n">
        <v>-429561.92</v>
      </c>
      <c r="I128" s="14" t="n">
        <v>-823563.9299999997</v>
      </c>
      <c r="J128" s="14" t="n">
        <v>-921359.1999999997</v>
      </c>
      <c r="K128" s="14" t="n">
        <v>0</v>
      </c>
      <c r="L128" s="8" t="b">
        <v>0</v>
      </c>
      <c r="M128" s="14" t="n">
        <v>0</v>
      </c>
      <c r="N128" s="19">
        <f>ROUND((J128-I128)-(K128+E128+H128),4)</f>
        <v/>
      </c>
    </row>
    <row r="129">
      <c r="A129" s="8" t="inlineStr">
        <is>
          <t>Ак-Куу Авиа</t>
        </is>
      </c>
      <c r="B129" s="8" t="inlineStr">
        <is>
          <t>2026-01</t>
        </is>
      </c>
      <c r="C129" s="14" t="n">
        <v>-287126.5</v>
      </c>
      <c r="D129" s="14" t="n">
        <v>469499.83</v>
      </c>
      <c r="E129" s="14" t="n">
        <v>756626.3300000001</v>
      </c>
      <c r="F129" s="14" t="n">
        <v>740673.85</v>
      </c>
      <c r="G129" s="14" t="n">
        <v>16462.87999999977</v>
      </c>
      <c r="H129" s="14" t="n">
        <v>-724210.9700000002</v>
      </c>
      <c r="I129" s="14" t="n">
        <v>453547.35</v>
      </c>
      <c r="J129" s="14" t="n">
        <v>485962.7099999998</v>
      </c>
      <c r="K129" s="14" t="n">
        <v>-5.820766091346741e-11</v>
      </c>
      <c r="L129" s="8" t="b">
        <v>0</v>
      </c>
      <c r="M129" s="14" t="n">
        <v>0</v>
      </c>
      <c r="N129" s="19">
        <f>ROUND((J129-I129)-(K129+E129+H129),4)</f>
        <v/>
      </c>
    </row>
    <row r="130">
      <c r="A130" s="8" t="inlineStr">
        <is>
          <t>Ак-Куу Авиа</t>
        </is>
      </c>
      <c r="B130" s="8" t="inlineStr">
        <is>
          <t>2026-02</t>
        </is>
      </c>
      <c r="C130" s="14" t="n">
        <v>469499.83</v>
      </c>
      <c r="D130" s="14" t="n">
        <v>-485345.45</v>
      </c>
      <c r="E130" s="14" t="n">
        <v>-954845.2799999999</v>
      </c>
      <c r="F130" s="14" t="n">
        <v>16462.88000000024</v>
      </c>
      <c r="G130" s="14" t="n">
        <v>606456.08</v>
      </c>
      <c r="H130" s="14" t="n">
        <v>589993.1999999997</v>
      </c>
      <c r="I130" s="14" t="n">
        <v>485962.7100000003</v>
      </c>
      <c r="J130" s="14" t="n">
        <v>121110.6299999999</v>
      </c>
      <c r="K130" s="14" t="n">
        <v>-1.164153218269348e-10</v>
      </c>
      <c r="L130" s="8" t="b">
        <v>0</v>
      </c>
      <c r="M130" s="14" t="n">
        <v>0</v>
      </c>
      <c r="N130" s="19">
        <f>ROUND((J130-I130)-(K130+E130+H130),4)</f>
        <v/>
      </c>
    </row>
    <row r="131">
      <c r="A131" s="8" t="inlineStr">
        <is>
          <t>Ак-Куу Авиа</t>
        </is>
      </c>
      <c r="B131" s="8" t="inlineStr">
        <is>
          <t>2026-03</t>
        </is>
      </c>
      <c r="C131" s="14" t="n">
        <v>-485345.45</v>
      </c>
      <c r="D131" s="14" t="n">
        <v>-4097707.56</v>
      </c>
      <c r="E131" s="14" t="n">
        <v>-3612362.11</v>
      </c>
      <c r="F131" s="14" t="n">
        <v>606456.0799999996</v>
      </c>
      <c r="G131" s="14" t="n">
        <v>3423462.06</v>
      </c>
      <c r="H131" s="14" t="n">
        <v>2817005.98</v>
      </c>
      <c r="I131" s="14" t="n">
        <v>121110.6299999996</v>
      </c>
      <c r="J131" s="14" t="n">
        <v>-674245.5</v>
      </c>
      <c r="K131" s="14" t="n">
        <v>0</v>
      </c>
      <c r="L131" s="8" t="b">
        <v>0</v>
      </c>
      <c r="M131" s="14" t="n">
        <v>0</v>
      </c>
      <c r="N131" s="19">
        <f>ROUND((J131-I131)-(K131+E131+H131),4)</f>
        <v/>
      </c>
    </row>
    <row r="132">
      <c r="A132" s="8" t="inlineStr">
        <is>
          <t>Ак-Куу Авиа</t>
        </is>
      </c>
      <c r="B132" s="8" t="inlineStr">
        <is>
          <t>2026-04</t>
        </is>
      </c>
      <c r="C132" s="14" t="n">
        <v>-4097707.56</v>
      </c>
      <c r="D132" s="14" t="n">
        <v>-4370658.45</v>
      </c>
      <c r="E132" s="14" t="n">
        <v>-272950.89</v>
      </c>
      <c r="F132" s="14" t="n">
        <v>3423462.06</v>
      </c>
      <c r="G132" s="14" t="n">
        <v>3707175.51</v>
      </c>
      <c r="H132" s="14" t="n">
        <v>283713.45</v>
      </c>
      <c r="I132" s="14" t="n">
        <v>-674245.5</v>
      </c>
      <c r="J132" s="14" t="n">
        <v>-663482.9399999999</v>
      </c>
      <c r="K132" s="14" t="n">
        <v>0</v>
      </c>
      <c r="L132" s="8" t="b">
        <v>0</v>
      </c>
      <c r="M132" s="14" t="n">
        <v>0</v>
      </c>
      <c r="N132" s="19">
        <f>ROUND((J132-I132)-(K132+E132+H132),4)</f>
        <v/>
      </c>
    </row>
    <row r="133">
      <c r="A133" s="8" t="inlineStr">
        <is>
          <t>Ак-Куу Авиа</t>
        </is>
      </c>
      <c r="B133" s="8" t="inlineStr">
        <is>
          <t>2026-05</t>
        </is>
      </c>
      <c r="C133" s="14" t="n">
        <v>-4370658.45</v>
      </c>
      <c r="D133" s="14" t="n">
        <v>-2438381.95</v>
      </c>
      <c r="E133" s="14" t="n">
        <v>1932276.5</v>
      </c>
      <c r="F133" s="14" t="n">
        <v>3707175.51</v>
      </c>
      <c r="G133" s="14" t="n">
        <v>1742085.43</v>
      </c>
      <c r="H133" s="14" t="n">
        <v>-1965090.08</v>
      </c>
      <c r="I133" s="14" t="n">
        <v>-663482.9400000004</v>
      </c>
      <c r="J133" s="14" t="n">
        <v>-696296.52</v>
      </c>
      <c r="K133" s="14" t="n">
        <v>0</v>
      </c>
      <c r="L133" s="8" t="b">
        <v>0</v>
      </c>
      <c r="M133" s="14" t="n">
        <v>0</v>
      </c>
      <c r="N133" s="19">
        <f>ROUND((J133-I133)-(K133+E133+H133),4)</f>
        <v/>
      </c>
    </row>
    <row r="134">
      <c r="A134" s="8" t="inlineStr">
        <is>
          <t>Ак-Куу Авиа</t>
        </is>
      </c>
      <c r="B134" s="8" t="inlineStr">
        <is>
          <t>2026-06</t>
        </is>
      </c>
      <c r="C134" s="14" t="n">
        <v>-2438381.95</v>
      </c>
      <c r="D134" s="14" t="n">
        <v>-1042635.51</v>
      </c>
      <c r="E134" s="14" t="n">
        <v>1395746.44</v>
      </c>
      <c r="F134" s="14" t="n">
        <v>1742085.43</v>
      </c>
      <c r="G134" s="14" t="n">
        <v>-13918.56999999995</v>
      </c>
      <c r="H134" s="14" t="n">
        <v>-1756004</v>
      </c>
      <c r="I134" s="14" t="n">
        <v>-696296.52</v>
      </c>
      <c r="J134" s="14" t="n">
        <v>-1056554.08</v>
      </c>
      <c r="K134" s="14" t="n">
        <v>2.328306436538696e-10</v>
      </c>
      <c r="L134" s="8" t="b">
        <v>0</v>
      </c>
      <c r="M134" s="14" t="n">
        <v>0</v>
      </c>
      <c r="N134" s="19">
        <f>ROUND((J134-I134)-(K134+E134+H134),4)</f>
        <v/>
      </c>
    </row>
    <row r="135">
      <c r="A135" s="8" t="inlineStr">
        <is>
          <t>Ак-Куу Авиа</t>
        </is>
      </c>
      <c r="B135" s="8" t="inlineStr">
        <is>
          <t>2026-07</t>
        </is>
      </c>
      <c r="C135" s="14" t="n">
        <v>-1042635.51</v>
      </c>
      <c r="D135" s="14" t="n">
        <v>-226489.33</v>
      </c>
      <c r="E135" s="14" t="n">
        <v>816146.1799999998</v>
      </c>
      <c r="F135" s="14" t="n">
        <v>-13918.57000000088</v>
      </c>
      <c r="G135" s="14" t="n">
        <v>-921193.8700000012</v>
      </c>
      <c r="H135" s="14" t="n">
        <v>-907275.3000000003</v>
      </c>
      <c r="I135" s="14" t="n">
        <v>-1056554.080000001</v>
      </c>
      <c r="J135" s="14" t="n">
        <v>-1147683.200000001</v>
      </c>
      <c r="K135" s="14" t="n">
        <v>2.037268131971359e-10</v>
      </c>
      <c r="L135" s="8" t="b">
        <v>0</v>
      </c>
      <c r="M135" s="14" t="n">
        <v>0</v>
      </c>
      <c r="N135" s="19">
        <f>ROUND((J135-I135)-(K135+E135+H135),4)</f>
        <v/>
      </c>
    </row>
    <row r="136">
      <c r="A136" s="8" t="inlineStr">
        <is>
          <t>Ак-Куу Тур</t>
        </is>
      </c>
      <c r="B136" s="8" t="inlineStr">
        <is>
          <t>2026-01</t>
        </is>
      </c>
      <c r="C136" s="14" t="n">
        <v>0</v>
      </c>
      <c r="D136" s="14" t="n">
        <v>-737458.71</v>
      </c>
      <c r="E136" s="14" t="n">
        <v>-737458.7100000001</v>
      </c>
      <c r="F136" s="14" t="n">
        <v>0</v>
      </c>
      <c r="G136" s="14" t="n">
        <v>728450.41</v>
      </c>
      <c r="H136" s="14" t="n">
        <v>728450.41</v>
      </c>
      <c r="I136" s="14" t="n">
        <v>0</v>
      </c>
      <c r="J136" s="14" t="n">
        <v>-9008.29999999993</v>
      </c>
      <c r="K136" s="14" t="n">
        <v>1.164153218269348e-10</v>
      </c>
      <c r="L136" s="8" t="b">
        <v>0</v>
      </c>
      <c r="M136" s="14" t="n">
        <v>0</v>
      </c>
      <c r="N136" s="19">
        <f>ROUND((J136-I136)-(K136+E136+H136),4)</f>
        <v/>
      </c>
    </row>
    <row r="137">
      <c r="A137" s="8" t="inlineStr">
        <is>
          <t>Ак-Куу Тур</t>
        </is>
      </c>
      <c r="B137" s="8" t="inlineStr">
        <is>
          <t>2026-02</t>
        </is>
      </c>
      <c r="C137" s="14" t="n">
        <v>-737458.71</v>
      </c>
      <c r="D137" s="14" t="n">
        <v>-982551.79</v>
      </c>
      <c r="E137" s="14" t="n">
        <v>-245093.08</v>
      </c>
      <c r="F137" s="14" t="n">
        <v>728450.4099999999</v>
      </c>
      <c r="G137" s="14" t="n">
        <v>928497.9299999999</v>
      </c>
      <c r="H137" s="14" t="n">
        <v>200047.52</v>
      </c>
      <c r="I137" s="14" t="n">
        <v>-9008.300000000047</v>
      </c>
      <c r="J137" s="14" t="n">
        <v>-54053.8600000001</v>
      </c>
      <c r="K137" s="14" t="n">
        <v>-1.164153218269348e-10</v>
      </c>
      <c r="L137" s="8" t="b">
        <v>0</v>
      </c>
      <c r="M137" s="14" t="n">
        <v>0</v>
      </c>
      <c r="N137" s="19">
        <f>ROUND((J137-I137)-(K137+E137+H137),4)</f>
        <v/>
      </c>
    </row>
    <row r="138">
      <c r="A138" s="8" t="inlineStr">
        <is>
          <t>Ак-Куу Тур</t>
        </is>
      </c>
      <c r="B138" s="8" t="inlineStr">
        <is>
          <t>2026-03</t>
        </is>
      </c>
      <c r="C138" s="14" t="n">
        <v>-982551.79</v>
      </c>
      <c r="D138" s="14" t="n">
        <v>-3354010.21</v>
      </c>
      <c r="E138" s="14" t="n">
        <v>-2371458.42</v>
      </c>
      <c r="F138" s="14" t="n">
        <v>928497.9300000002</v>
      </c>
      <c r="G138" s="14" t="n">
        <v>2779021.06</v>
      </c>
      <c r="H138" s="14" t="n">
        <v>1850523.13</v>
      </c>
      <c r="I138" s="14" t="n">
        <v>-54053.85999999987</v>
      </c>
      <c r="J138" s="14" t="n">
        <v>-574989.1499999999</v>
      </c>
      <c r="K138" s="14" t="n">
        <v>0</v>
      </c>
      <c r="L138" s="8" t="b">
        <v>0</v>
      </c>
      <c r="M138" s="14" t="n">
        <v>0</v>
      </c>
      <c r="N138" s="19">
        <f>ROUND((J138-I138)-(K138+E138+H138),4)</f>
        <v/>
      </c>
    </row>
    <row r="139">
      <c r="A139" s="8" t="inlineStr">
        <is>
          <t>Ак-Куу Тур</t>
        </is>
      </c>
      <c r="B139" s="8" t="inlineStr">
        <is>
          <t>2026-04</t>
        </is>
      </c>
      <c r="C139" s="14" t="n">
        <v>-3354010.21</v>
      </c>
      <c r="D139" s="14" t="n">
        <v>-3011999.6</v>
      </c>
      <c r="E139" s="14" t="n">
        <v>342010.61</v>
      </c>
      <c r="F139" s="14" t="n">
        <v>2779021.060000001</v>
      </c>
      <c r="G139" s="14" t="n">
        <v>2372052.82</v>
      </c>
      <c r="H139" s="14" t="n">
        <v>-406968.24</v>
      </c>
      <c r="I139" s="14" t="n">
        <v>-574989.1499999994</v>
      </c>
      <c r="J139" s="14" t="n">
        <v>-639946.7799999998</v>
      </c>
      <c r="K139" s="14" t="n">
        <v>0</v>
      </c>
      <c r="L139" s="8" t="b">
        <v>0</v>
      </c>
      <c r="M139" s="14" t="n">
        <v>0</v>
      </c>
      <c r="N139" s="19">
        <f>ROUND((J139-I139)-(K139+E139+H139),4)</f>
        <v/>
      </c>
    </row>
    <row r="140">
      <c r="A140" s="8" t="inlineStr">
        <is>
          <t>Ак-Куу Тур</t>
        </is>
      </c>
      <c r="B140" s="8" t="inlineStr">
        <is>
          <t>2026-05</t>
        </is>
      </c>
      <c r="C140" s="14" t="n">
        <v>-3011999.6</v>
      </c>
      <c r="D140" s="14" t="n">
        <v>-2044608.46</v>
      </c>
      <c r="E140" s="14" t="n">
        <v>967391.14</v>
      </c>
      <c r="F140" s="14" t="n">
        <v>2372052.82</v>
      </c>
      <c r="G140" s="14" t="n">
        <v>1419742.6</v>
      </c>
      <c r="H140" s="14" t="n">
        <v>-952310.22</v>
      </c>
      <c r="I140" s="14" t="n">
        <v>-639946.7799999998</v>
      </c>
      <c r="J140" s="14" t="n">
        <v>-624865.8599999996</v>
      </c>
      <c r="K140" s="14" t="n">
        <v>0</v>
      </c>
      <c r="L140" s="8" t="b">
        <v>0</v>
      </c>
      <c r="M140" s="14" t="n">
        <v>0</v>
      </c>
      <c r="N140" s="19">
        <f>ROUND((J140-I140)-(K140+E140+H140),4)</f>
        <v/>
      </c>
    </row>
    <row r="141">
      <c r="A141" s="8" t="inlineStr">
        <is>
          <t>Ак-Куу Тур</t>
        </is>
      </c>
      <c r="B141" s="8" t="inlineStr">
        <is>
          <t>2026-06</t>
        </is>
      </c>
      <c r="C141" s="14" t="n">
        <v>-2044608.46</v>
      </c>
      <c r="D141" s="14" t="n">
        <v>-1951264.49</v>
      </c>
      <c r="E141" s="14" t="n">
        <v>93343.97000000004</v>
      </c>
      <c r="F141" s="14" t="n">
        <v>1419742.599999999</v>
      </c>
      <c r="G141" s="14" t="n">
        <v>1269831.559999999</v>
      </c>
      <c r="H141" s="14" t="n">
        <v>-149911.04</v>
      </c>
      <c r="I141" s="14" t="n">
        <v>-624865.8600000006</v>
      </c>
      <c r="J141" s="14" t="n">
        <v>-681432.9300000006</v>
      </c>
      <c r="K141" s="14" t="n">
        <v>0</v>
      </c>
      <c r="L141" s="8" t="b">
        <v>0</v>
      </c>
      <c r="M141" s="14" t="n">
        <v>0</v>
      </c>
      <c r="N141" s="19">
        <f>ROUND((J141-I141)-(K141+E141+H141),4)</f>
        <v/>
      </c>
    </row>
    <row r="142">
      <c r="A142" s="8" t="inlineStr">
        <is>
          <t>Ак-Куу Тур</t>
        </is>
      </c>
      <c r="B142" s="8" t="inlineStr">
        <is>
          <t>2026-07</t>
        </is>
      </c>
      <c r="C142" s="14" t="n">
        <v>-1951264.49</v>
      </c>
      <c r="D142" s="14" t="n">
        <v>-1645824</v>
      </c>
      <c r="E142" s="14" t="n">
        <v>305440.49</v>
      </c>
      <c r="F142" s="14" t="n">
        <v>1269831.56</v>
      </c>
      <c r="G142" s="14" t="n">
        <v>721142.1499999999</v>
      </c>
      <c r="H142" s="14" t="n">
        <v>-548689.4099999999</v>
      </c>
      <c r="I142" s="14" t="n">
        <v>-681432.9300000002</v>
      </c>
      <c r="J142" s="14" t="n">
        <v>-924681.8500000001</v>
      </c>
      <c r="K142" s="14" t="n">
        <v>0</v>
      </c>
      <c r="L142" s="8" t="b">
        <v>0</v>
      </c>
      <c r="M142" s="14" t="n">
        <v>0</v>
      </c>
      <c r="N142" s="19">
        <f>ROUND((J142-I142)-(K142+E142+H142),4)</f>
        <v/>
      </c>
    </row>
    <row r="143">
      <c r="A143" s="8" t="inlineStr">
        <is>
          <t>Ала-Арча Авиакасса</t>
        </is>
      </c>
      <c r="B143" s="8" t="inlineStr">
        <is>
          <t>2026-01</t>
        </is>
      </c>
      <c r="C143" s="14" t="n">
        <v>-161927.31</v>
      </c>
      <c r="D143" s="14" t="n">
        <v>-209488.87</v>
      </c>
      <c r="E143" s="14" t="n">
        <v>-47561.56</v>
      </c>
      <c r="F143" s="14" t="n">
        <v>161927.31</v>
      </c>
      <c r="G143" s="14" t="n">
        <v>209488.87</v>
      </c>
      <c r="H143" s="14" t="n">
        <v>47561.56000000001</v>
      </c>
      <c r="I143" s="14" t="n">
        <v>0</v>
      </c>
      <c r="J143" s="14" t="n">
        <v>0</v>
      </c>
      <c r="K143" s="14" t="n">
        <v>0</v>
      </c>
      <c r="L143" s="8" t="b">
        <v>0</v>
      </c>
      <c r="M143" s="14" t="n">
        <v>0</v>
      </c>
      <c r="N143" s="19">
        <f>ROUND((J143-I143)-(K143+E143+H143),4)</f>
        <v/>
      </c>
    </row>
    <row r="144">
      <c r="A144" s="8" t="inlineStr">
        <is>
          <t>Ала-Арча Авиакасса</t>
        </is>
      </c>
      <c r="B144" s="8" t="inlineStr">
        <is>
          <t>2026-02</t>
        </is>
      </c>
      <c r="C144" s="14" t="n">
        <v>-209488.87</v>
      </c>
      <c r="D144" s="14" t="n">
        <v>94293.05</v>
      </c>
      <c r="E144" s="14" t="n">
        <v>303781.92</v>
      </c>
      <c r="F144" s="14" t="n">
        <v>209488.8700000001</v>
      </c>
      <c r="G144" s="14" t="n">
        <v>-145335.05</v>
      </c>
      <c r="H144" s="14" t="n">
        <v>-354823.92</v>
      </c>
      <c r="I144" s="14" t="n">
        <v>5.820766091346741e-11</v>
      </c>
      <c r="J144" s="14" t="n">
        <v>-51041.99999999999</v>
      </c>
      <c r="K144" s="14" t="n">
        <v>1.455191522836685e-11</v>
      </c>
      <c r="L144" s="8" t="b">
        <v>0</v>
      </c>
      <c r="M144" s="14" t="n">
        <v>0</v>
      </c>
      <c r="N144" s="19">
        <f>ROUND((J144-I144)-(K144+E144+H144),4)</f>
        <v/>
      </c>
    </row>
    <row r="145">
      <c r="A145" s="8" t="inlineStr">
        <is>
          <t>Ала-Арча Авиакасса</t>
        </is>
      </c>
      <c r="B145" s="8" t="inlineStr">
        <is>
          <t>2026-03</t>
        </is>
      </c>
      <c r="C145" s="14" t="n">
        <v>94293.05</v>
      </c>
      <c r="D145" s="14" t="n">
        <v>-202427.46</v>
      </c>
      <c r="E145" s="14" t="n">
        <v>-296720.51</v>
      </c>
      <c r="F145" s="14" t="n">
        <v>-145335.0500000001</v>
      </c>
      <c r="G145" s="14" t="n">
        <v>191587.4599999999</v>
      </c>
      <c r="H145" s="14" t="n">
        <v>336922.51</v>
      </c>
      <c r="I145" s="14" t="n">
        <v>-51042.0000000001</v>
      </c>
      <c r="J145" s="14" t="n">
        <v>-10840.00000000009</v>
      </c>
      <c r="K145" s="14" t="n">
        <v>2.91038304567337e-11</v>
      </c>
      <c r="L145" s="8" t="b">
        <v>0</v>
      </c>
      <c r="M145" s="14" t="n">
        <v>0</v>
      </c>
      <c r="N145" s="19">
        <f>ROUND((J145-I145)-(K145+E145+H145),4)</f>
        <v/>
      </c>
    </row>
    <row r="146">
      <c r="A146" s="8" t="inlineStr">
        <is>
          <t>Ала-Арча Авиакасса</t>
        </is>
      </c>
      <c r="B146" s="8" t="inlineStr">
        <is>
          <t>2026-04</t>
        </is>
      </c>
      <c r="C146" s="14" t="n">
        <v>-202427.46</v>
      </c>
      <c r="D146" s="14" t="n">
        <v>-733646.29</v>
      </c>
      <c r="E146" s="14" t="n">
        <v>-531218.83</v>
      </c>
      <c r="F146" s="14" t="n">
        <v>191587.4600000001</v>
      </c>
      <c r="G146" s="14" t="n">
        <v>416606.29</v>
      </c>
      <c r="H146" s="14" t="n">
        <v>225018.83</v>
      </c>
      <c r="I146" s="14" t="n">
        <v>-10839.99999999994</v>
      </c>
      <c r="J146" s="14" t="n">
        <v>-317040</v>
      </c>
      <c r="K146" s="14" t="n">
        <v>-1.164153218269348e-10</v>
      </c>
      <c r="L146" s="8" t="b">
        <v>0</v>
      </c>
      <c r="M146" s="14" t="n">
        <v>0</v>
      </c>
      <c r="N146" s="19">
        <f>ROUND((J146-I146)-(K146+E146+H146),4)</f>
        <v/>
      </c>
    </row>
    <row r="147">
      <c r="A147" s="8" t="inlineStr">
        <is>
          <t>Ала-Арча Авиакасса</t>
        </is>
      </c>
      <c r="B147" s="8" t="inlineStr">
        <is>
          <t>2026-05</t>
        </is>
      </c>
      <c r="C147" s="14" t="n">
        <v>-733646.29</v>
      </c>
      <c r="D147" s="14" t="n">
        <v>-764798.38</v>
      </c>
      <c r="E147" s="14" t="n">
        <v>-31152.08999999998</v>
      </c>
      <c r="F147" s="14" t="n">
        <v>416606.29</v>
      </c>
      <c r="G147" s="14" t="n">
        <v>38858.38</v>
      </c>
      <c r="H147" s="14" t="n">
        <v>-377747.91</v>
      </c>
      <c r="I147" s="14" t="n">
        <v>-317040</v>
      </c>
      <c r="J147" s="14" t="n">
        <v>-725940</v>
      </c>
      <c r="K147" s="14" t="n">
        <v>0</v>
      </c>
      <c r="L147" s="8" t="b">
        <v>0</v>
      </c>
      <c r="M147" s="14" t="n">
        <v>0</v>
      </c>
      <c r="N147" s="19">
        <f>ROUND((J147-I147)-(K147+E147+H147),4)</f>
        <v/>
      </c>
    </row>
    <row r="148">
      <c r="A148" s="8" t="inlineStr">
        <is>
          <t>Ала-Арча Авиакасса</t>
        </is>
      </c>
      <c r="B148" s="8" t="inlineStr">
        <is>
          <t>2026-06</t>
        </is>
      </c>
      <c r="C148" s="14" t="n">
        <v>-764798.38</v>
      </c>
      <c r="D148" s="14" t="n">
        <v>-503746.11</v>
      </c>
      <c r="E148" s="14" t="n">
        <v>261052.27</v>
      </c>
      <c r="F148" s="14" t="n">
        <v>38858.37999999998</v>
      </c>
      <c r="G148" s="14" t="n">
        <v>-186986.4300000001</v>
      </c>
      <c r="H148" s="14" t="n">
        <v>-225844.81</v>
      </c>
      <c r="I148" s="14" t="n">
        <v>-725940</v>
      </c>
      <c r="J148" s="14" t="n">
        <v>-690732.54</v>
      </c>
      <c r="K148" s="14" t="n">
        <v>0</v>
      </c>
      <c r="L148" s="8" t="b">
        <v>0</v>
      </c>
      <c r="M148" s="14" t="n">
        <v>0</v>
      </c>
      <c r="N148" s="19">
        <f>ROUND((J148-I148)-(K148+E148+H148),4)</f>
        <v/>
      </c>
    </row>
    <row r="149">
      <c r="A149" s="8" t="inlineStr">
        <is>
          <t>Ала-Арча Авиакасса</t>
        </is>
      </c>
      <c r="B149" s="8" t="inlineStr">
        <is>
          <t>2026-07</t>
        </is>
      </c>
      <c r="C149" s="14" t="n">
        <v>-503746.11</v>
      </c>
      <c r="D149" s="14" t="n">
        <v>-207754.43</v>
      </c>
      <c r="E149" s="14" t="n">
        <v>295991.68</v>
      </c>
      <c r="F149" s="14" t="n">
        <v>-186986.4300000002</v>
      </c>
      <c r="G149" s="14" t="n">
        <v>-482978.1100000002</v>
      </c>
      <c r="H149" s="14" t="n">
        <v>-295991.68</v>
      </c>
      <c r="I149" s="14" t="n">
        <v>-690732.5400000002</v>
      </c>
      <c r="J149" s="14" t="n">
        <v>-690732.5400000002</v>
      </c>
      <c r="K149" s="14" t="n">
        <v>0</v>
      </c>
      <c r="L149" s="8" t="b">
        <v>0</v>
      </c>
      <c r="M149" s="14" t="n">
        <v>0</v>
      </c>
      <c r="N149" s="19">
        <f>ROUND((J149-I149)-(K149+E149+H149),4)</f>
        <v/>
      </c>
    </row>
    <row r="150">
      <c r="A150" s="8" t="inlineStr">
        <is>
          <t>Ала-Арча Тревел</t>
        </is>
      </c>
      <c r="B150" s="8" t="inlineStr">
        <is>
          <t>2026-01</t>
        </is>
      </c>
      <c r="C150" s="14" t="n">
        <v>-789666.86</v>
      </c>
      <c r="D150" s="14" t="n">
        <v>-1690022.53</v>
      </c>
      <c r="E150" s="14" t="n">
        <v>-900355.6699999999</v>
      </c>
      <c r="F150" s="14" t="n">
        <v>777013.0600000001</v>
      </c>
      <c r="G150" s="14" t="n">
        <v>1677368.73</v>
      </c>
      <c r="H150" s="14" t="n">
        <v>900355.6699999999</v>
      </c>
      <c r="I150" s="14" t="n">
        <v>-12653.79999999993</v>
      </c>
      <c r="J150" s="14" t="n">
        <v>-12653.80000000005</v>
      </c>
      <c r="K150" s="14" t="n">
        <v>-2.328306436538696e-10</v>
      </c>
      <c r="L150" s="8" t="b">
        <v>0</v>
      </c>
      <c r="M150" s="14" t="n">
        <v>0</v>
      </c>
      <c r="N150" s="19">
        <f>ROUND((J150-I150)-(K150+E150+H150),4)</f>
        <v/>
      </c>
    </row>
    <row r="151">
      <c r="A151" s="8" t="inlineStr">
        <is>
          <t>Ала-Арча Тревел</t>
        </is>
      </c>
      <c r="B151" s="8" t="inlineStr">
        <is>
          <t>2026-02</t>
        </is>
      </c>
      <c r="C151" s="14" t="n">
        <v>-1690022.53</v>
      </c>
      <c r="D151" s="14" t="n">
        <v>-1522427.99</v>
      </c>
      <c r="E151" s="14" t="n">
        <v>167594.54</v>
      </c>
      <c r="F151" s="14" t="n">
        <v>1677368.73</v>
      </c>
      <c r="G151" s="14" t="n">
        <v>1509774.19</v>
      </c>
      <c r="H151" s="14" t="n">
        <v>-167594.54</v>
      </c>
      <c r="I151" s="14" t="n">
        <v>-12653.80000000005</v>
      </c>
      <c r="J151" s="14" t="n">
        <v>-12653.80000000005</v>
      </c>
      <c r="K151" s="14" t="n">
        <v>0</v>
      </c>
      <c r="L151" s="8" t="b">
        <v>0</v>
      </c>
      <c r="M151" s="14" t="n">
        <v>0</v>
      </c>
      <c r="N151" s="19">
        <f>ROUND((J151-I151)-(K151+E151+H151),4)</f>
        <v/>
      </c>
    </row>
    <row r="152">
      <c r="A152" s="8" t="inlineStr">
        <is>
          <t>Ала-Арча Тревел</t>
        </is>
      </c>
      <c r="B152" s="8" t="inlineStr">
        <is>
          <t>2026-03</t>
        </is>
      </c>
      <c r="C152" s="14" t="n">
        <v>-1522427.99</v>
      </c>
      <c r="D152" s="14" t="n">
        <v>-1235791.43</v>
      </c>
      <c r="E152" s="14" t="n">
        <v>286636.56</v>
      </c>
      <c r="F152" s="14" t="n">
        <v>1509774.19</v>
      </c>
      <c r="G152" s="14" t="n">
        <v>1229744.06</v>
      </c>
      <c r="H152" s="14" t="n">
        <v>-280030.13</v>
      </c>
      <c r="I152" s="14" t="n">
        <v>-12653.80000000005</v>
      </c>
      <c r="J152" s="14" t="n">
        <v>-6047.369999999879</v>
      </c>
      <c r="K152" s="14" t="n">
        <v>0</v>
      </c>
      <c r="L152" s="8" t="b">
        <v>0</v>
      </c>
      <c r="M152" s="14" t="n">
        <v>0</v>
      </c>
      <c r="N152" s="19">
        <f>ROUND((J152-I152)-(K152+E152+H152),4)</f>
        <v/>
      </c>
    </row>
    <row r="153">
      <c r="A153" s="8" t="inlineStr">
        <is>
          <t>Ала-Арча Тревел</t>
        </is>
      </c>
      <c r="B153" s="8" t="inlineStr">
        <is>
          <t>2026-04</t>
        </is>
      </c>
      <c r="C153" s="14" t="n">
        <v>-1235791.43</v>
      </c>
      <c r="D153" s="14" t="n">
        <v>-997485.59</v>
      </c>
      <c r="E153" s="14" t="n">
        <v>238305.84</v>
      </c>
      <c r="F153" s="14" t="n">
        <v>1229744.06</v>
      </c>
      <c r="G153" s="14" t="n">
        <v>991438.2200000001</v>
      </c>
      <c r="H153" s="14" t="n">
        <v>-238305.84</v>
      </c>
      <c r="I153" s="14" t="n">
        <v>-6047.369999999879</v>
      </c>
      <c r="J153" s="14" t="n">
        <v>-6047.369999999879</v>
      </c>
      <c r="K153" s="14" t="n">
        <v>0</v>
      </c>
      <c r="L153" s="8" t="b">
        <v>0</v>
      </c>
      <c r="M153" s="14" t="n">
        <v>0</v>
      </c>
      <c r="N153" s="19">
        <f>ROUND((J153-I153)-(K153+E153+H153),4)</f>
        <v/>
      </c>
    </row>
    <row r="154">
      <c r="A154" s="8" t="inlineStr">
        <is>
          <t>Ала-Арча Тревел</t>
        </is>
      </c>
      <c r="B154" s="8" t="inlineStr">
        <is>
          <t>2026-05</t>
        </is>
      </c>
      <c r="C154" s="14" t="n">
        <v>-997485.59</v>
      </c>
      <c r="D154" s="14" t="n">
        <v>-1161788.87</v>
      </c>
      <c r="E154" s="14" t="n">
        <v>-164303.28</v>
      </c>
      <c r="F154" s="14" t="n">
        <v>991438.22</v>
      </c>
      <c r="G154" s="14" t="n">
        <v>1164741.5</v>
      </c>
      <c r="H154" s="14" t="n">
        <v>173303.28</v>
      </c>
      <c r="I154" s="14" t="n">
        <v>-6047.369999999995</v>
      </c>
      <c r="J154" s="14" t="n">
        <v>2952.629999999888</v>
      </c>
      <c r="K154" s="14" t="n">
        <v>-2.328306436538696e-10</v>
      </c>
      <c r="L154" s="8" t="b">
        <v>0</v>
      </c>
      <c r="M154" s="14" t="n">
        <v>0</v>
      </c>
      <c r="N154" s="19">
        <f>ROUND((J154-I154)-(K154+E154+H154),4)</f>
        <v/>
      </c>
    </row>
    <row r="155">
      <c r="A155" s="8" t="inlineStr">
        <is>
          <t>Ала-Арча Тревел</t>
        </is>
      </c>
      <c r="B155" s="8" t="inlineStr">
        <is>
          <t>2026-06</t>
        </is>
      </c>
      <c r="C155" s="14" t="n">
        <v>-1161788.87</v>
      </c>
      <c r="D155" s="14" t="n">
        <v>-867023.73</v>
      </c>
      <c r="E155" s="14" t="n">
        <v>294765.14</v>
      </c>
      <c r="F155" s="14" t="n">
        <v>1164741.5</v>
      </c>
      <c r="G155" s="14" t="n">
        <v>868076.3600000001</v>
      </c>
      <c r="H155" s="14" t="n">
        <v>-296665.14</v>
      </c>
      <c r="I155" s="14" t="n">
        <v>2952.629999999888</v>
      </c>
      <c r="J155" s="14" t="n">
        <v>1052.630000000121</v>
      </c>
      <c r="K155" s="14" t="n">
        <v>1.164153218269348e-10</v>
      </c>
      <c r="L155" s="8" t="b">
        <v>0</v>
      </c>
      <c r="M155" s="14" t="n">
        <v>0</v>
      </c>
      <c r="N155" s="19">
        <f>ROUND((J155-I155)-(K155+E155+H155),4)</f>
        <v/>
      </c>
    </row>
    <row r="156">
      <c r="A156" s="8" t="inlineStr">
        <is>
          <t>Ала-Арча Тревел</t>
        </is>
      </c>
      <c r="B156" s="8" t="inlineStr">
        <is>
          <t>2026-07</t>
        </is>
      </c>
      <c r="C156" s="14" t="n">
        <v>-867023.73</v>
      </c>
      <c r="D156" s="14" t="n">
        <v>-368444.42</v>
      </c>
      <c r="E156" s="14" t="n">
        <v>498579.31</v>
      </c>
      <c r="F156" s="14" t="n">
        <v>868076.3600000001</v>
      </c>
      <c r="G156" s="14" t="n">
        <v>367481.35</v>
      </c>
      <c r="H156" s="14" t="n">
        <v>-500595.01</v>
      </c>
      <c r="I156" s="14" t="n">
        <v>1052.630000000121</v>
      </c>
      <c r="J156" s="14" t="n">
        <v>-963.0699999999488</v>
      </c>
      <c r="K156" s="14" t="n">
        <v>0</v>
      </c>
      <c r="L156" s="8" t="b">
        <v>0</v>
      </c>
      <c r="M156" s="14" t="n">
        <v>0</v>
      </c>
      <c r="N156" s="19">
        <f>ROUND((J156-I156)-(K156+E156+H156),4)</f>
        <v/>
      </c>
    </row>
    <row r="157">
      <c r="A157" s="8" t="inlineStr">
        <is>
          <t>Асанов Кубат Чынаревич</t>
        </is>
      </c>
      <c r="B157" s="8" t="inlineStr">
        <is>
          <t>2026-01</t>
        </is>
      </c>
      <c r="C157" s="14" t="n">
        <v>-599379.78</v>
      </c>
      <c r="D157" s="14" t="n">
        <v>-653284.6800000001</v>
      </c>
      <c r="E157" s="14" t="n">
        <v>-53904.89999999999</v>
      </c>
      <c r="F157" s="14" t="n">
        <v>599379.78</v>
      </c>
      <c r="G157" s="14" t="n">
        <v>653284.6800000001</v>
      </c>
      <c r="H157" s="14" t="n">
        <v>53904.89999999999</v>
      </c>
      <c r="I157" s="14" t="n">
        <v>0</v>
      </c>
      <c r="J157" s="14" t="n">
        <v>0</v>
      </c>
      <c r="K157" s="14" t="n">
        <v>0</v>
      </c>
      <c r="L157" s="8" t="b">
        <v>0</v>
      </c>
      <c r="M157" s="14" t="n">
        <v>0</v>
      </c>
      <c r="N157" s="19">
        <f>ROUND((J157-I157)-(K157+E157+H157),4)</f>
        <v/>
      </c>
    </row>
    <row r="158">
      <c r="A158" s="8" t="inlineStr">
        <is>
          <t>Асанов Кубат Чынаревич</t>
        </is>
      </c>
      <c r="B158" s="8" t="inlineStr">
        <is>
          <t>2026-03</t>
        </is>
      </c>
      <c r="C158" s="14" t="n">
        <v>-846180.6800000001</v>
      </c>
      <c r="D158" s="14" t="n">
        <v>-609237.55</v>
      </c>
      <c r="E158" s="14" t="n">
        <v>236943.13</v>
      </c>
      <c r="F158" s="14" t="n">
        <v>846180.6800000001</v>
      </c>
      <c r="G158" s="14" t="n">
        <v>609237.55</v>
      </c>
      <c r="H158" s="14" t="n">
        <v>-236943.13</v>
      </c>
      <c r="I158" s="14" t="n">
        <v>0</v>
      </c>
      <c r="J158" s="14" t="n">
        <v>0</v>
      </c>
      <c r="K158" s="14" t="n">
        <v>0</v>
      </c>
      <c r="L158" s="8" t="b">
        <v>0</v>
      </c>
      <c r="M158" s="14" t="n">
        <v>-192896</v>
      </c>
      <c r="N158" s="19">
        <f>ROUND((J158-I158)-(K158+E158+H158),4)</f>
        <v/>
      </c>
    </row>
    <row r="159">
      <c r="A159" s="8" t="inlineStr">
        <is>
          <t>Асанов Кубат Чынаревич</t>
        </is>
      </c>
      <c r="B159" s="8" t="inlineStr">
        <is>
          <t>2026-04</t>
        </is>
      </c>
      <c r="C159" s="14" t="n">
        <v>-609237.55</v>
      </c>
      <c r="D159" s="14" t="n">
        <v>-739145.01</v>
      </c>
      <c r="E159" s="14" t="n">
        <v>-129907.46</v>
      </c>
      <c r="F159" s="14" t="n">
        <v>609237.55</v>
      </c>
      <c r="G159" s="14" t="n">
        <v>739145.01</v>
      </c>
      <c r="H159" s="14" t="n">
        <v>129907.46</v>
      </c>
      <c r="I159" s="14" t="n">
        <v>0</v>
      </c>
      <c r="J159" s="14" t="n">
        <v>0</v>
      </c>
      <c r="K159" s="14" t="n">
        <v>0</v>
      </c>
      <c r="L159" s="8" t="b">
        <v>0</v>
      </c>
      <c r="M159" s="14" t="n">
        <v>0</v>
      </c>
      <c r="N159" s="19">
        <f>ROUND((J159-I159)-(K159+E159+H159),4)</f>
        <v/>
      </c>
    </row>
    <row r="160">
      <c r="A160" s="8" t="inlineStr">
        <is>
          <t>Асанов Кубат Чынаревич</t>
        </is>
      </c>
      <c r="B160" s="8" t="inlineStr">
        <is>
          <t>2026-05</t>
        </is>
      </c>
      <c r="C160" s="14" t="n">
        <v>-739145.01</v>
      </c>
      <c r="D160" s="14" t="n">
        <v>-522243.1</v>
      </c>
      <c r="E160" s="14" t="n">
        <v>216901.91</v>
      </c>
      <c r="F160" s="14" t="n">
        <v>739145.01</v>
      </c>
      <c r="G160" s="14" t="n">
        <v>522243.1</v>
      </c>
      <c r="H160" s="14" t="n">
        <v>-216901.91</v>
      </c>
      <c r="I160" s="14" t="n">
        <v>0</v>
      </c>
      <c r="J160" s="14" t="n">
        <v>0</v>
      </c>
      <c r="K160" s="14" t="n">
        <v>0</v>
      </c>
      <c r="L160" s="8" t="b">
        <v>0</v>
      </c>
      <c r="M160" s="14" t="n">
        <v>0</v>
      </c>
      <c r="N160" s="19">
        <f>ROUND((J160-I160)-(K160+E160+H160),4)</f>
        <v/>
      </c>
    </row>
    <row r="161">
      <c r="A161" s="8" t="inlineStr">
        <is>
          <t>Асанов Кубат Чынаревич</t>
        </is>
      </c>
      <c r="B161" s="8" t="inlineStr">
        <is>
          <t>2026-06</t>
        </is>
      </c>
      <c r="C161" s="14" t="n">
        <v>-522243.1</v>
      </c>
      <c r="D161" s="14" t="n">
        <v>-900498.65</v>
      </c>
      <c r="E161" s="14" t="n">
        <v>-378255.55</v>
      </c>
      <c r="F161" s="14" t="n">
        <v>522243.1000000001</v>
      </c>
      <c r="G161" s="14" t="n">
        <v>497330.7100000001</v>
      </c>
      <c r="H161" s="14" t="n">
        <v>-24912.38999999998</v>
      </c>
      <c r="I161" s="14" t="n">
        <v>1.164153218269348e-10</v>
      </c>
      <c r="J161" s="14" t="n">
        <v>-403167.9399999999</v>
      </c>
      <c r="K161" s="14" t="n">
        <v>-1.164153218269348e-10</v>
      </c>
      <c r="L161" s="8" t="b">
        <v>0</v>
      </c>
      <c r="M161" s="14" t="n">
        <v>0</v>
      </c>
      <c r="N161" s="19">
        <f>ROUND((J161-I161)-(K161+E161+H161),4)</f>
        <v/>
      </c>
    </row>
    <row r="162">
      <c r="A162" s="8" t="inlineStr">
        <is>
          <t>Асанов Кубат Чынаревич</t>
        </is>
      </c>
      <c r="B162" s="8" t="inlineStr">
        <is>
          <t>2026-07</t>
        </is>
      </c>
      <c r="C162" s="14" t="n">
        <v>-900498.65</v>
      </c>
      <c r="D162" s="14" t="n">
        <v>-742645.48</v>
      </c>
      <c r="E162" s="14" t="n">
        <v>157853.17</v>
      </c>
      <c r="F162" s="14" t="n">
        <v>497330.7100000001</v>
      </c>
      <c r="G162" s="14" t="n">
        <v>339586.5600000001</v>
      </c>
      <c r="H162" s="14" t="n">
        <v>-157744.15</v>
      </c>
      <c r="I162" s="14" t="n">
        <v>-403167.9399999999</v>
      </c>
      <c r="J162" s="14" t="n">
        <v>-403058.9199999999</v>
      </c>
      <c r="K162" s="14" t="n">
        <v>0</v>
      </c>
      <c r="L162" s="8" t="b">
        <v>0</v>
      </c>
      <c r="M162" s="14" t="n">
        <v>0</v>
      </c>
      <c r="N162" s="19">
        <f>ROUND((J162-I162)-(K162+E162+H162),4)</f>
        <v/>
      </c>
    </row>
    <row r="163">
      <c r="A163" s="8" t="inlineStr">
        <is>
          <t>Асанова Каныкей Эсенбекевна</t>
        </is>
      </c>
      <c r="B163" s="8" t="inlineStr">
        <is>
          <t>2026-01</t>
        </is>
      </c>
      <c r="C163" s="14" t="n">
        <v>0</v>
      </c>
      <c r="D163" s="14" t="n">
        <v>134983.51</v>
      </c>
      <c r="E163" s="14" t="n">
        <v>134983.51</v>
      </c>
      <c r="F163" s="14" t="n">
        <v>-320853.24</v>
      </c>
      <c r="G163" s="14" t="n">
        <v>-450705.75</v>
      </c>
      <c r="H163" s="14" t="n">
        <v>-129852.51</v>
      </c>
      <c r="I163" s="14" t="n">
        <v>-320853.24</v>
      </c>
      <c r="J163" s="14" t="n">
        <v>-315722.24</v>
      </c>
      <c r="K163" s="14" t="n">
        <v>0</v>
      </c>
      <c r="L163" s="8" t="b">
        <v>0</v>
      </c>
      <c r="M163" s="14" t="n">
        <v>0</v>
      </c>
      <c r="N163" s="19">
        <f>ROUND((J163-I163)-(K163+E163+H163),4)</f>
        <v/>
      </c>
    </row>
    <row r="164">
      <c r="A164" s="8" t="inlineStr">
        <is>
          <t>Асанова Каныкей Эсенбекевна</t>
        </is>
      </c>
      <c r="B164" s="8" t="inlineStr">
        <is>
          <t>2026-02</t>
        </is>
      </c>
      <c r="C164" s="14" t="n">
        <v>134983.51</v>
      </c>
      <c r="D164" s="14" t="n">
        <v>45745.25</v>
      </c>
      <c r="E164" s="14" t="n">
        <v>-89238.25999999999</v>
      </c>
      <c r="F164" s="14" t="n">
        <v>-450705.7500000001</v>
      </c>
      <c r="G164" s="14" t="n">
        <v>-361467.49</v>
      </c>
      <c r="H164" s="14" t="n">
        <v>89238.25999999999</v>
      </c>
      <c r="I164" s="14" t="n">
        <v>-315722.24</v>
      </c>
      <c r="J164" s="14" t="n">
        <v>-315722.24</v>
      </c>
      <c r="K164" s="14" t="n">
        <v>-1.455191522836685e-11</v>
      </c>
      <c r="L164" s="8" t="b">
        <v>0</v>
      </c>
      <c r="M164" s="14" t="n">
        <v>0</v>
      </c>
      <c r="N164" s="19">
        <f>ROUND((J164-I164)-(K164+E164+H164),4)</f>
        <v/>
      </c>
    </row>
    <row r="165">
      <c r="A165" s="8" t="inlineStr">
        <is>
          <t>Асанова Каныкей Эсенбекевна</t>
        </is>
      </c>
      <c r="B165" s="8" t="inlineStr">
        <is>
          <t>2026-03</t>
        </is>
      </c>
      <c r="C165" s="14" t="n">
        <v>45745.25</v>
      </c>
      <c r="D165" s="14" t="n">
        <v>39105.31</v>
      </c>
      <c r="E165" s="14" t="n">
        <v>-6639.939999999988</v>
      </c>
      <c r="F165" s="14" t="n">
        <v>-361467.4899999999</v>
      </c>
      <c r="G165" s="14" t="n">
        <v>-354827.5499999999</v>
      </c>
      <c r="H165" s="14" t="n">
        <v>6639.939999999995</v>
      </c>
      <c r="I165" s="14" t="n">
        <v>-315722.2399999999</v>
      </c>
      <c r="J165" s="14" t="n">
        <v>-315722.2399999999</v>
      </c>
      <c r="K165" s="14" t="n">
        <v>-1.455191522836685e-11</v>
      </c>
      <c r="L165" s="8" t="b">
        <v>0</v>
      </c>
      <c r="M165" s="14" t="n">
        <v>0</v>
      </c>
      <c r="N165" s="19">
        <f>ROUND((J165-I165)-(K165+E165+H165),4)</f>
        <v/>
      </c>
    </row>
    <row r="166">
      <c r="A166" s="8" t="inlineStr">
        <is>
          <t>Асанова Каныкей Эсенбекевна</t>
        </is>
      </c>
      <c r="B166" s="8" t="inlineStr">
        <is>
          <t>2026-04</t>
        </is>
      </c>
      <c r="C166" s="14" t="n">
        <v>39105.31</v>
      </c>
      <c r="D166" s="14" t="n">
        <v>128779.73</v>
      </c>
      <c r="E166" s="14" t="n">
        <v>89674.42</v>
      </c>
      <c r="F166" s="14" t="n">
        <v>-354827.55</v>
      </c>
      <c r="G166" s="14" t="n">
        <v>-440057.4300000001</v>
      </c>
      <c r="H166" s="14" t="n">
        <v>-85229.88</v>
      </c>
      <c r="I166" s="14" t="n">
        <v>-315722.24</v>
      </c>
      <c r="J166" s="14" t="n">
        <v>-311277.7000000001</v>
      </c>
      <c r="K166" s="14" t="n">
        <v>0</v>
      </c>
      <c r="L166" s="8" t="b">
        <v>0</v>
      </c>
      <c r="M166" s="14" t="n">
        <v>0</v>
      </c>
      <c r="N166" s="19">
        <f>ROUND((J166-I166)-(K166+E166+H166),4)</f>
        <v/>
      </c>
    </row>
    <row r="167">
      <c r="A167" s="8" t="inlineStr">
        <is>
          <t>Асанова Каныкей Эсенбекевна</t>
        </is>
      </c>
      <c r="B167" s="8" t="inlineStr">
        <is>
          <t>2026-05</t>
        </is>
      </c>
      <c r="C167" s="14" t="n">
        <v>128779.73</v>
      </c>
      <c r="D167" s="14" t="n">
        <v>331074.42</v>
      </c>
      <c r="E167" s="14" t="n">
        <v>202294.69</v>
      </c>
      <c r="F167" s="14" t="n">
        <v>-440057.43</v>
      </c>
      <c r="G167" s="14" t="n">
        <v>-675056.12</v>
      </c>
      <c r="H167" s="14" t="n">
        <v>-234998.69</v>
      </c>
      <c r="I167" s="14" t="n">
        <v>-311277.7</v>
      </c>
      <c r="J167" s="14" t="n">
        <v>-343981.7</v>
      </c>
      <c r="K167" s="14" t="n">
        <v>0</v>
      </c>
      <c r="L167" s="8" t="b">
        <v>0</v>
      </c>
      <c r="M167" s="14" t="n">
        <v>0</v>
      </c>
      <c r="N167" s="19">
        <f>ROUND((J167-I167)-(K167+E167+H167),4)</f>
        <v/>
      </c>
    </row>
    <row r="168">
      <c r="A168" s="8" t="inlineStr">
        <is>
          <t>Асанова Каныкей Эсенбекевна</t>
        </is>
      </c>
      <c r="B168" s="8" t="inlineStr">
        <is>
          <t>2026-06</t>
        </is>
      </c>
      <c r="C168" s="14" t="n">
        <v>331074.42</v>
      </c>
      <c r="D168" s="14" t="n">
        <v>-54483.61</v>
      </c>
      <c r="E168" s="14" t="n">
        <v>-385558.03</v>
      </c>
      <c r="F168" s="14" t="n">
        <v>-675056.12</v>
      </c>
      <c r="G168" s="14" t="n">
        <v>-289651.03</v>
      </c>
      <c r="H168" s="14" t="n">
        <v>385405.09</v>
      </c>
      <c r="I168" s="14" t="n">
        <v>-343981.7</v>
      </c>
      <c r="J168" s="14" t="n">
        <v>-344134.64</v>
      </c>
      <c r="K168" s="14" t="n">
        <v>4.365574568510056e-11</v>
      </c>
      <c r="L168" s="8" t="b">
        <v>0</v>
      </c>
      <c r="M168" s="14" t="n">
        <v>0</v>
      </c>
      <c r="N168" s="19">
        <f>ROUND((J168-I168)-(K168+E168+H168),4)</f>
        <v/>
      </c>
    </row>
    <row r="169">
      <c r="A169" s="8" t="inlineStr">
        <is>
          <t>Асанова Каныкей Эсенбекевна</t>
        </is>
      </c>
      <c r="B169" s="8" t="inlineStr">
        <is>
          <t>2026-07</t>
        </is>
      </c>
      <c r="C169" s="14" t="n">
        <v>-54483.61</v>
      </c>
      <c r="D169" s="14" t="n">
        <v>-110947.5</v>
      </c>
      <c r="E169" s="14" t="n">
        <v>-56463.89000000001</v>
      </c>
      <c r="F169" s="14" t="n">
        <v>-289651.0299999999</v>
      </c>
      <c r="G169" s="14" t="n">
        <v>-216121.9399999999</v>
      </c>
      <c r="H169" s="14" t="n">
        <v>73529.09</v>
      </c>
      <c r="I169" s="14" t="n">
        <v>-344134.6399999999</v>
      </c>
      <c r="J169" s="14" t="n">
        <v>-327069.4399999999</v>
      </c>
      <c r="K169" s="14" t="n">
        <v>0</v>
      </c>
      <c r="L169" s="8" t="b">
        <v>0</v>
      </c>
      <c r="M169" s="14" t="n">
        <v>0</v>
      </c>
      <c r="N169" s="19">
        <f>ROUND((J169-I169)-(K169+E169+H169),4)</f>
        <v/>
      </c>
    </row>
    <row r="170">
      <c r="A170" s="8" t="inlineStr">
        <is>
          <t>БАЙТУР ТУРИЗМ</t>
        </is>
      </c>
      <c r="B170" s="8" t="inlineStr">
        <is>
          <t>2026-01</t>
        </is>
      </c>
      <c r="C170" s="14" t="n">
        <v>0</v>
      </c>
      <c r="D170" s="14" t="n">
        <v>-118458.94</v>
      </c>
      <c r="E170" s="14" t="n">
        <v>-118458.94</v>
      </c>
      <c r="F170" s="14" t="n">
        <v>0</v>
      </c>
      <c r="G170" s="14" t="n">
        <v>118458.94</v>
      </c>
      <c r="H170" s="14" t="n">
        <v>118458.94</v>
      </c>
      <c r="I170" s="14" t="n">
        <v>0</v>
      </c>
      <c r="J170" s="14" t="n">
        <v>0</v>
      </c>
      <c r="K170" s="14" t="n">
        <v>0</v>
      </c>
      <c r="L170" s="8" t="b">
        <v>0</v>
      </c>
      <c r="M170" s="14" t="n">
        <v>0</v>
      </c>
      <c r="N170" s="19">
        <f>ROUND((J170-I170)-(K170+E170+H170),4)</f>
        <v/>
      </c>
    </row>
    <row r="171">
      <c r="A171" s="8" t="inlineStr">
        <is>
          <t>БАЙТУР ТУРИЗМ</t>
        </is>
      </c>
      <c r="B171" s="8" t="inlineStr">
        <is>
          <t>2026-02</t>
        </is>
      </c>
      <c r="C171" s="14" t="n">
        <v>-118458.94</v>
      </c>
      <c r="D171" s="14" t="n">
        <v>-429040.13</v>
      </c>
      <c r="E171" s="14" t="n">
        <v>-310581.19</v>
      </c>
      <c r="F171" s="14" t="n">
        <v>118458.94</v>
      </c>
      <c r="G171" s="14" t="n">
        <v>119640.1299999999</v>
      </c>
      <c r="H171" s="14" t="n">
        <v>1181.189999999977</v>
      </c>
      <c r="I171" s="14" t="n">
        <v>-2.91038304567337e-11</v>
      </c>
      <c r="J171" s="14" t="n">
        <v>-309400.0000000001</v>
      </c>
      <c r="K171" s="14" t="n">
        <v>0</v>
      </c>
      <c r="L171" s="8" t="b">
        <v>0</v>
      </c>
      <c r="M171" s="14" t="n">
        <v>0</v>
      </c>
      <c r="N171" s="19">
        <f>ROUND((J171-I171)-(K171+E171+H171),4)</f>
        <v/>
      </c>
    </row>
    <row r="172">
      <c r="A172" s="8" t="inlineStr">
        <is>
          <t>БАЙТУР ТУРИЗМ</t>
        </is>
      </c>
      <c r="B172" s="8" t="inlineStr">
        <is>
          <t>2026-03</t>
        </is>
      </c>
      <c r="C172" s="14" t="n">
        <v>-429040.13</v>
      </c>
      <c r="D172" s="14" t="n">
        <v>-113956.69</v>
      </c>
      <c r="E172" s="14" t="n">
        <v>315083.44</v>
      </c>
      <c r="F172" s="14" t="n">
        <v>119640.13</v>
      </c>
      <c r="G172" s="14" t="n">
        <v>-195443.31</v>
      </c>
      <c r="H172" s="14" t="n">
        <v>-315083.44</v>
      </c>
      <c r="I172" s="14" t="n">
        <v>-309400</v>
      </c>
      <c r="J172" s="14" t="n">
        <v>-309400</v>
      </c>
      <c r="K172" s="14" t="n">
        <v>0</v>
      </c>
      <c r="L172" s="8" t="b">
        <v>0</v>
      </c>
      <c r="M172" s="14" t="n">
        <v>0</v>
      </c>
      <c r="N172" s="19">
        <f>ROUND((J172-I172)-(K172+E172+H172),4)</f>
        <v/>
      </c>
    </row>
    <row r="173">
      <c r="A173" s="8" t="inlineStr">
        <is>
          <t>БАЙТУР ТУРИЗМ</t>
        </is>
      </c>
      <c r="B173" s="8" t="inlineStr">
        <is>
          <t>2026-04</t>
        </is>
      </c>
      <c r="C173" s="14" t="n">
        <v>-113956.69</v>
      </c>
      <c r="D173" s="14" t="n">
        <v>126228.32</v>
      </c>
      <c r="E173" s="14" t="n">
        <v>240185.01</v>
      </c>
      <c r="F173" s="14" t="n">
        <v>-195443.3100000001</v>
      </c>
      <c r="G173" s="14" t="n">
        <v>-633464.3200000001</v>
      </c>
      <c r="H173" s="14" t="n">
        <v>-438021.01</v>
      </c>
      <c r="I173" s="14" t="n">
        <v>-309400.0000000001</v>
      </c>
      <c r="J173" s="14" t="n">
        <v>-507236.0000000001</v>
      </c>
      <c r="K173" s="14" t="n">
        <v>0</v>
      </c>
      <c r="L173" s="8" t="b">
        <v>0</v>
      </c>
      <c r="M173" s="14" t="n">
        <v>0</v>
      </c>
      <c r="N173" s="19">
        <f>ROUND((J173-I173)-(K173+E173+H173),4)</f>
        <v/>
      </c>
    </row>
    <row r="174">
      <c r="A174" s="8" t="inlineStr">
        <is>
          <t>БАЙТУР ТУРИЗМ</t>
        </is>
      </c>
      <c r="B174" s="8" t="inlineStr">
        <is>
          <t>2026-05</t>
        </is>
      </c>
      <c r="C174" s="14" t="n">
        <v>126228.32</v>
      </c>
      <c r="D174" s="14" t="n">
        <v>173055.91</v>
      </c>
      <c r="E174" s="14" t="n">
        <v>46827.58999999997</v>
      </c>
      <c r="F174" s="14" t="n">
        <v>-633464.3200000001</v>
      </c>
      <c r="G174" s="14" t="n">
        <v>-673600.87</v>
      </c>
      <c r="H174" s="14" t="n">
        <v>-40136.54999999999</v>
      </c>
      <c r="I174" s="14" t="n">
        <v>-507236.0000000001</v>
      </c>
      <c r="J174" s="14" t="n">
        <v>-500544.96</v>
      </c>
      <c r="K174" s="14" t="n">
        <v>2.91038304567337e-11</v>
      </c>
      <c r="L174" s="8" t="b">
        <v>0</v>
      </c>
      <c r="M174" s="14" t="n">
        <v>0</v>
      </c>
      <c r="N174" s="19">
        <f>ROUND((J174-I174)-(K174+E174+H174),4)</f>
        <v/>
      </c>
    </row>
    <row r="175">
      <c r="A175" s="8" t="inlineStr">
        <is>
          <t>БАЙТУР ТУРИЗМ</t>
        </is>
      </c>
      <c r="B175" s="8" t="inlineStr">
        <is>
          <t>2026-06</t>
        </is>
      </c>
      <c r="C175" s="14" t="n">
        <v>173055.91</v>
      </c>
      <c r="D175" s="14" t="n">
        <v>-476391.22</v>
      </c>
      <c r="E175" s="14" t="n">
        <v>-649447.13</v>
      </c>
      <c r="F175" s="14" t="n">
        <v>-673600.8700000001</v>
      </c>
      <c r="G175" s="14" t="n">
        <v>-24255.47000000003</v>
      </c>
      <c r="H175" s="14" t="n">
        <v>649345.4</v>
      </c>
      <c r="I175" s="14" t="n">
        <v>-500544.9600000001</v>
      </c>
      <c r="J175" s="14" t="n">
        <v>-500646.69</v>
      </c>
      <c r="K175" s="14" t="n">
        <v>0</v>
      </c>
      <c r="L175" s="8" t="b">
        <v>0</v>
      </c>
      <c r="M175" s="14" t="n">
        <v>0</v>
      </c>
      <c r="N175" s="19">
        <f>ROUND((J175-I175)-(K175+E175+H175),4)</f>
        <v/>
      </c>
    </row>
    <row r="176">
      <c r="A176" s="8" t="inlineStr">
        <is>
          <t>БАЙТУР ТУРИЗМ</t>
        </is>
      </c>
      <c r="B176" s="8" t="inlineStr">
        <is>
          <t>2026-07</t>
        </is>
      </c>
      <c r="C176" s="14" t="n">
        <v>-476391.22</v>
      </c>
      <c r="D176" s="14" t="n">
        <v>-471562.82</v>
      </c>
      <c r="E176" s="14" t="n">
        <v>4828.400000000023</v>
      </c>
      <c r="F176" s="14" t="n">
        <v>-24255.46999999994</v>
      </c>
      <c r="G176" s="14" t="n">
        <v>-26068.04999999999</v>
      </c>
      <c r="H176" s="14" t="n">
        <v>-1812.580000000045</v>
      </c>
      <c r="I176" s="14" t="n">
        <v>-500646.6899999999</v>
      </c>
      <c r="J176" s="14" t="n">
        <v>-497630.87</v>
      </c>
      <c r="K176" s="14" t="n">
        <v>-5.820766091346741e-11</v>
      </c>
      <c r="L176" s="8" t="b">
        <v>0</v>
      </c>
      <c r="M176" s="14" t="n">
        <v>0</v>
      </c>
      <c r="N176" s="19">
        <f>ROUND((J176-I176)-(K176+E176+H176),4)</f>
        <v/>
      </c>
    </row>
    <row r="177">
      <c r="A177" s="8" t="inlineStr">
        <is>
          <t>Байтур Трип</t>
        </is>
      </c>
      <c r="B177" s="8" t="inlineStr">
        <is>
          <t>2026-01</t>
        </is>
      </c>
      <c r="C177" s="14" t="n">
        <v>0</v>
      </c>
      <c r="D177" s="14" t="n">
        <v>21111</v>
      </c>
      <c r="E177" s="14" t="n">
        <v>21111.00000000004</v>
      </c>
      <c r="F177" s="14" t="n">
        <v>0</v>
      </c>
      <c r="G177" s="14" t="n">
        <v>-438193.5499999999</v>
      </c>
      <c r="H177" s="14" t="n">
        <v>-438193.5499999999</v>
      </c>
      <c r="I177" s="14" t="n">
        <v>0</v>
      </c>
      <c r="J177" s="14" t="n">
        <v>-417082.5499999999</v>
      </c>
      <c r="K177" s="14" t="n">
        <v>-3.637978807091713e-11</v>
      </c>
      <c r="L177" s="8" t="b">
        <v>0</v>
      </c>
      <c r="M177" s="14" t="n">
        <v>0</v>
      </c>
      <c r="N177" s="19">
        <f>ROUND((J177-I177)-(K177+E177+H177),4)</f>
        <v/>
      </c>
    </row>
    <row r="178">
      <c r="A178" s="8" t="inlineStr">
        <is>
          <t>Байтур Трип</t>
        </is>
      </c>
      <c r="B178" s="8" t="inlineStr">
        <is>
          <t>2026-02</t>
        </is>
      </c>
      <c r="C178" s="14" t="n">
        <v>21111</v>
      </c>
      <c r="D178" s="14" t="n">
        <v>-383589.76</v>
      </c>
      <c r="E178" s="14" t="n">
        <v>-404700.76</v>
      </c>
      <c r="F178" s="14" t="n">
        <v>-438193.5499999999</v>
      </c>
      <c r="G178" s="14" t="n">
        <v>-89099.88999999996</v>
      </c>
      <c r="H178" s="14" t="n">
        <v>349093.66</v>
      </c>
      <c r="I178" s="14" t="n">
        <v>-417082.5499999999</v>
      </c>
      <c r="J178" s="14" t="n">
        <v>-472689.65</v>
      </c>
      <c r="K178" s="14" t="n">
        <v>0</v>
      </c>
      <c r="L178" s="8" t="b">
        <v>0</v>
      </c>
      <c r="M178" s="14" t="n">
        <v>0</v>
      </c>
      <c r="N178" s="19">
        <f>ROUND((J178-I178)-(K178+E178+H178),4)</f>
        <v/>
      </c>
    </row>
    <row r="179">
      <c r="A179" s="8" t="inlineStr">
        <is>
          <t>Байтур Трип</t>
        </is>
      </c>
      <c r="B179" s="8" t="inlineStr">
        <is>
          <t>2026-03</t>
        </is>
      </c>
      <c r="C179" s="14" t="n">
        <v>-383589.76</v>
      </c>
      <c r="D179" s="14" t="n">
        <v>-231830.32</v>
      </c>
      <c r="E179" s="14" t="n">
        <v>151759.44</v>
      </c>
      <c r="F179" s="14" t="n">
        <v>-89099.88999999996</v>
      </c>
      <c r="G179" s="14" t="n">
        <v>-329486.3899999999</v>
      </c>
      <c r="H179" s="14" t="n">
        <v>-240386.4999999999</v>
      </c>
      <c r="I179" s="14" t="n">
        <v>-472689.65</v>
      </c>
      <c r="J179" s="14" t="n">
        <v>-561316.71</v>
      </c>
      <c r="K179" s="14" t="n">
        <v>2.91038304567337e-11</v>
      </c>
      <c r="L179" s="8" t="b">
        <v>0</v>
      </c>
      <c r="M179" s="14" t="n">
        <v>0</v>
      </c>
      <c r="N179" s="19">
        <f>ROUND((J179-I179)-(K179+E179+H179),4)</f>
        <v/>
      </c>
    </row>
    <row r="180">
      <c r="A180" s="8" t="inlineStr">
        <is>
          <t>Байтур Трип</t>
        </is>
      </c>
      <c r="B180" s="8" t="inlineStr">
        <is>
          <t>2026-04</t>
        </is>
      </c>
      <c r="C180" s="14" t="n">
        <v>-231830.32</v>
      </c>
      <c r="D180" s="14" t="n">
        <v>-404780.56</v>
      </c>
      <c r="E180" s="14" t="n">
        <v>-172950.24</v>
      </c>
      <c r="F180" s="14" t="n">
        <v>-329486.3899999999</v>
      </c>
      <c r="G180" s="14" t="n">
        <v>-156536.1499999999</v>
      </c>
      <c r="H180" s="14" t="n">
        <v>172950.24</v>
      </c>
      <c r="I180" s="14" t="n">
        <v>-561316.71</v>
      </c>
      <c r="J180" s="14" t="n">
        <v>-561316.7099999998</v>
      </c>
      <c r="K180" s="14" t="n">
        <v>0</v>
      </c>
      <c r="L180" s="8" t="b">
        <v>0</v>
      </c>
      <c r="M180" s="14" t="n">
        <v>0</v>
      </c>
      <c r="N180" s="19">
        <f>ROUND((J180-I180)-(K180+E180+H180),4)</f>
        <v/>
      </c>
    </row>
    <row r="181">
      <c r="A181" s="8" t="inlineStr">
        <is>
          <t>Байтур Трип</t>
        </is>
      </c>
      <c r="B181" s="8" t="inlineStr">
        <is>
          <t>2026-05</t>
        </is>
      </c>
      <c r="C181" s="14" t="n">
        <v>-404780.56</v>
      </c>
      <c r="D181" s="14" t="n">
        <v>-282700.69</v>
      </c>
      <c r="E181" s="14" t="n">
        <v>122079.87</v>
      </c>
      <c r="F181" s="14" t="n">
        <v>-156536.1500000001</v>
      </c>
      <c r="G181" s="14" t="n">
        <v>-224941.2199999999</v>
      </c>
      <c r="H181" s="14" t="n">
        <v>-68405.06999999988</v>
      </c>
      <c r="I181" s="14" t="n">
        <v>-561316.7100000001</v>
      </c>
      <c r="J181" s="14" t="n">
        <v>-507641.9099999999</v>
      </c>
      <c r="K181" s="14" t="n">
        <v>-5.820766091346741e-11</v>
      </c>
      <c r="L181" s="8" t="b">
        <v>0</v>
      </c>
      <c r="M181" s="14" t="n">
        <v>0</v>
      </c>
      <c r="N181" s="19">
        <f>ROUND((J181-I181)-(K181+E181+H181),4)</f>
        <v/>
      </c>
    </row>
    <row r="182">
      <c r="A182" s="8" t="inlineStr">
        <is>
          <t>Байтур Трип</t>
        </is>
      </c>
      <c r="B182" s="8" t="inlineStr">
        <is>
          <t>2026-06</t>
        </is>
      </c>
      <c r="C182" s="14" t="n">
        <v>-282700.69</v>
      </c>
      <c r="D182" s="14" t="n">
        <v>-1358037.53</v>
      </c>
      <c r="E182" s="14" t="n">
        <v>-1075336.84</v>
      </c>
      <c r="F182" s="14" t="n">
        <v>-224941.2200000002</v>
      </c>
      <c r="G182" s="14" t="n">
        <v>824117.9899999998</v>
      </c>
      <c r="H182" s="14" t="n">
        <v>1049059.21</v>
      </c>
      <c r="I182" s="14" t="n">
        <v>-507641.9100000002</v>
      </c>
      <c r="J182" s="14" t="n">
        <v>-533919.5400000003</v>
      </c>
      <c r="K182" s="14" t="n">
        <v>0</v>
      </c>
      <c r="L182" s="8" t="b">
        <v>0</v>
      </c>
      <c r="M182" s="14" t="n">
        <v>0</v>
      </c>
      <c r="N182" s="19">
        <f>ROUND((J182-I182)-(K182+E182+H182),4)</f>
        <v/>
      </c>
    </row>
    <row r="183">
      <c r="A183" s="8" t="inlineStr">
        <is>
          <t>Байтур Трип</t>
        </is>
      </c>
      <c r="B183" s="8" t="inlineStr">
        <is>
          <t>2026-07</t>
        </is>
      </c>
      <c r="C183" s="14" t="n">
        <v>-1358037.53</v>
      </c>
      <c r="D183" s="14" t="n">
        <v>-684715.28</v>
      </c>
      <c r="E183" s="14" t="n">
        <v>673322.25</v>
      </c>
      <c r="F183" s="14" t="n">
        <v>824117.99</v>
      </c>
      <c r="G183" s="14" t="n">
        <v>-450604.26</v>
      </c>
      <c r="H183" s="14" t="n">
        <v>-1274722.25</v>
      </c>
      <c r="I183" s="14" t="n">
        <v>-533919.54</v>
      </c>
      <c r="J183" s="14" t="n">
        <v>-1135319.54</v>
      </c>
      <c r="K183" s="14" t="n">
        <v>0</v>
      </c>
      <c r="L183" s="8" t="b">
        <v>0</v>
      </c>
      <c r="M183" s="14" t="n">
        <v>0</v>
      </c>
      <c r="N183" s="19">
        <f>ROUND((J183-I183)-(K183+E183+H183),4)</f>
        <v/>
      </c>
    </row>
    <row r="184">
      <c r="A184" s="8" t="inlineStr">
        <is>
          <t>Бейшенова Н. Ч.</t>
        </is>
      </c>
      <c r="B184" s="8" t="inlineStr">
        <is>
          <t>2026-01</t>
        </is>
      </c>
      <c r="C184" s="14" t="n">
        <v>0</v>
      </c>
      <c r="D184" s="14" t="n">
        <v>-806282.5</v>
      </c>
      <c r="E184" s="14" t="n">
        <v>-806282.5</v>
      </c>
      <c r="F184" s="14" t="n">
        <v>0</v>
      </c>
      <c r="G184" s="14" t="n">
        <v>428682.4999999999</v>
      </c>
      <c r="H184" s="14" t="n">
        <v>428682.4999999999</v>
      </c>
      <c r="I184" s="14" t="n">
        <v>0</v>
      </c>
      <c r="J184" s="14" t="n">
        <v>-377600.0000000001</v>
      </c>
      <c r="K184" s="14" t="n">
        <v>0</v>
      </c>
      <c r="L184" s="8" t="b">
        <v>0</v>
      </c>
      <c r="M184" s="14" t="n">
        <v>0</v>
      </c>
      <c r="N184" s="19">
        <f>ROUND((J184-I184)-(K184+E184+H184),4)</f>
        <v/>
      </c>
    </row>
    <row r="185">
      <c r="A185" s="8" t="inlineStr">
        <is>
          <t>Бейшенова Н. Ч.</t>
        </is>
      </c>
      <c r="B185" s="8" t="inlineStr">
        <is>
          <t>2026-02</t>
        </is>
      </c>
      <c r="C185" s="14" t="n">
        <v>-806282.5</v>
      </c>
      <c r="D185" s="14" t="n">
        <v>-579521.74</v>
      </c>
      <c r="E185" s="14" t="n">
        <v>226760.76</v>
      </c>
      <c r="F185" s="14" t="n">
        <v>428682.5000000001</v>
      </c>
      <c r="G185" s="14" t="n">
        <v>-18278.25999999998</v>
      </c>
      <c r="H185" s="14" t="n">
        <v>-446960.7600000001</v>
      </c>
      <c r="I185" s="14" t="n">
        <v>-377599.9999999999</v>
      </c>
      <c r="J185" s="14" t="n">
        <v>-597800</v>
      </c>
      <c r="K185" s="14" t="n">
        <v>0</v>
      </c>
      <c r="L185" s="8" t="b">
        <v>0</v>
      </c>
      <c r="M185" s="14" t="n">
        <v>0</v>
      </c>
      <c r="N185" s="19">
        <f>ROUND((J185-I185)-(K185+E185+H185),4)</f>
        <v/>
      </c>
    </row>
    <row r="186">
      <c r="A186" s="8" t="inlineStr">
        <is>
          <t>Бейшенова Н. Ч.</t>
        </is>
      </c>
      <c r="B186" s="8" t="inlineStr">
        <is>
          <t>2026-03</t>
        </is>
      </c>
      <c r="C186" s="14" t="n">
        <v>-579521.74</v>
      </c>
      <c r="D186" s="14" t="n">
        <v>-1072482.5</v>
      </c>
      <c r="E186" s="14" t="n">
        <v>-492960.76</v>
      </c>
      <c r="F186" s="14" t="n">
        <v>-18278.26000000001</v>
      </c>
      <c r="G186" s="14" t="n">
        <v>-44317.5</v>
      </c>
      <c r="H186" s="14" t="n">
        <v>-26039.23999999999</v>
      </c>
      <c r="I186" s="14" t="n">
        <v>-597800</v>
      </c>
      <c r="J186" s="14" t="n">
        <v>-1116800</v>
      </c>
      <c r="K186" s="14" t="n">
        <v>0</v>
      </c>
      <c r="L186" s="8" t="b">
        <v>0</v>
      </c>
      <c r="M186" s="14" t="n">
        <v>0</v>
      </c>
      <c r="N186" s="19">
        <f>ROUND((J186-I186)-(K186+E186+H186),4)</f>
        <v/>
      </c>
    </row>
    <row r="187">
      <c r="A187" s="8" t="inlineStr">
        <is>
          <t>Бейшенова Н. Ч.</t>
        </is>
      </c>
      <c r="B187" s="8" t="inlineStr">
        <is>
          <t>2026-04</t>
        </is>
      </c>
      <c r="C187" s="14" t="n">
        <v>-964925.4</v>
      </c>
      <c r="D187" s="14" t="n">
        <v>-1273207.56</v>
      </c>
      <c r="E187" s="14" t="n">
        <v>-308282.16</v>
      </c>
      <c r="F187" s="14" t="n">
        <v>-44317.49999999994</v>
      </c>
      <c r="G187" s="14" t="n">
        <v>263964.66</v>
      </c>
      <c r="H187" s="14" t="n">
        <v>308282.16</v>
      </c>
      <c r="I187" s="14" t="n">
        <v>-1009242.9</v>
      </c>
      <c r="J187" s="14" t="n">
        <v>-1009242.9</v>
      </c>
      <c r="K187" s="14" t="n">
        <v>0</v>
      </c>
      <c r="L187" s="8" t="b">
        <v>1</v>
      </c>
      <c r="M187" s="14" t="n">
        <v>107557.1</v>
      </c>
      <c r="N187" s="19">
        <f>ROUND((J187-I187)-(K187+E187+H187),4)</f>
        <v/>
      </c>
    </row>
    <row r="188">
      <c r="A188" s="8" t="inlineStr">
        <is>
          <t>Бейшенова Н. Ч.</t>
        </is>
      </c>
      <c r="B188" s="8" t="inlineStr">
        <is>
          <t>2026-05</t>
        </is>
      </c>
      <c r="C188" s="14" t="n">
        <v>-1273207.56</v>
      </c>
      <c r="D188" s="14" t="n">
        <v>-792355.98</v>
      </c>
      <c r="E188" s="14" t="n">
        <v>480851.58</v>
      </c>
      <c r="F188" s="14" t="n">
        <v>263964.66</v>
      </c>
      <c r="G188" s="14" t="n">
        <v>-273308.32</v>
      </c>
      <c r="H188" s="14" t="n">
        <v>-537272.98</v>
      </c>
      <c r="I188" s="14" t="n">
        <v>-1009242.9</v>
      </c>
      <c r="J188" s="14" t="n">
        <v>-1065664.3</v>
      </c>
      <c r="K188" s="14" t="n">
        <v>1.164153218269348e-10</v>
      </c>
      <c r="L188" s="8" t="b">
        <v>0</v>
      </c>
      <c r="M188" s="14" t="n">
        <v>0</v>
      </c>
      <c r="N188" s="19">
        <f>ROUND((J188-I188)-(K188+E188+H188),4)</f>
        <v/>
      </c>
    </row>
    <row r="189">
      <c r="A189" s="8" t="inlineStr">
        <is>
          <t>Бейшенова Н. Ч.</t>
        </is>
      </c>
      <c r="B189" s="8" t="inlineStr">
        <is>
          <t>2026-06</t>
        </is>
      </c>
      <c r="C189" s="14" t="n">
        <v>-792355.98</v>
      </c>
      <c r="D189" s="14" t="n">
        <v>-363005.61</v>
      </c>
      <c r="E189" s="14" t="n">
        <v>429350.37</v>
      </c>
      <c r="F189" s="14" t="n">
        <v>-273308.3199999999</v>
      </c>
      <c r="G189" s="14" t="n">
        <v>-646650.9999999999</v>
      </c>
      <c r="H189" s="14" t="n">
        <v>-373342.68</v>
      </c>
      <c r="I189" s="14" t="n">
        <v>-1065664.3</v>
      </c>
      <c r="J189" s="14" t="n">
        <v>-1009656.61</v>
      </c>
      <c r="K189" s="14" t="n">
        <v>0</v>
      </c>
      <c r="L189" s="8" t="b">
        <v>0</v>
      </c>
      <c r="M189" s="14" t="n">
        <v>0</v>
      </c>
      <c r="N189" s="19">
        <f>ROUND((J189-I189)-(K189+E189+H189),4)</f>
        <v/>
      </c>
    </row>
    <row r="190">
      <c r="A190" s="8" t="inlineStr">
        <is>
          <t>Бейшенова Н. Ч.</t>
        </is>
      </c>
      <c r="B190" s="8" t="inlineStr">
        <is>
          <t>2026-07</t>
        </is>
      </c>
      <c r="C190" s="14" t="n">
        <v>-363005.61</v>
      </c>
      <c r="D190" s="14" t="n">
        <v>186412.58</v>
      </c>
      <c r="E190" s="14" t="n">
        <v>549418.1900000001</v>
      </c>
      <c r="F190" s="14" t="n">
        <v>-646650.9999999998</v>
      </c>
      <c r="G190" s="14" t="n">
        <v>-1209493.25</v>
      </c>
      <c r="H190" s="14" t="n">
        <v>-562842.25</v>
      </c>
      <c r="I190" s="14" t="n">
        <v>-1009656.61</v>
      </c>
      <c r="J190" s="14" t="n">
        <v>-1023080.67</v>
      </c>
      <c r="K190" s="14" t="n">
        <v>-8.731149137020111e-11</v>
      </c>
      <c r="L190" s="8" t="b">
        <v>0</v>
      </c>
      <c r="M190" s="14" t="n">
        <v>0</v>
      </c>
      <c r="N190" s="19">
        <f>ROUND((J190-I190)-(K190+E190+H190),4)</f>
        <v/>
      </c>
    </row>
    <row r="191">
      <c r="A191" s="8" t="inlineStr">
        <is>
          <t>Бирлик Трип</t>
        </is>
      </c>
      <c r="B191" s="8" t="inlineStr">
        <is>
          <t>2026-01</t>
        </is>
      </c>
      <c r="C191" s="14" t="n">
        <v>0</v>
      </c>
      <c r="D191" s="14" t="n">
        <v>622793.71</v>
      </c>
      <c r="E191" s="14" t="n">
        <v>622793.71</v>
      </c>
      <c r="F191" s="14" t="n">
        <v>0</v>
      </c>
      <c r="G191" s="14" t="n">
        <v>-632793.71</v>
      </c>
      <c r="H191" s="14" t="n">
        <v>-632793.71</v>
      </c>
      <c r="I191" s="14" t="n">
        <v>0</v>
      </c>
      <c r="J191" s="14" t="n">
        <v>-10000</v>
      </c>
      <c r="K191" s="14" t="n">
        <v>0</v>
      </c>
      <c r="L191" s="8" t="b">
        <v>0</v>
      </c>
      <c r="M191" s="14" t="n">
        <v>0</v>
      </c>
      <c r="N191" s="19">
        <f>ROUND((J191-I191)-(K191+E191+H191),4)</f>
        <v/>
      </c>
    </row>
    <row r="192">
      <c r="A192" s="8" t="inlineStr">
        <is>
          <t>Бирлик Трип</t>
        </is>
      </c>
      <c r="B192" s="8" t="inlineStr">
        <is>
          <t>2026-02</t>
        </is>
      </c>
      <c r="C192" s="14" t="n">
        <v>622793.71</v>
      </c>
      <c r="D192" s="14" t="n">
        <v>-72679.57000000001</v>
      </c>
      <c r="E192" s="14" t="n">
        <v>-695473.28</v>
      </c>
      <c r="F192" s="14" t="n">
        <v>-632793.7099999998</v>
      </c>
      <c r="G192" s="14" t="n">
        <v>62617.14000000004</v>
      </c>
      <c r="H192" s="14" t="n">
        <v>695410.8499999999</v>
      </c>
      <c r="I192" s="14" t="n">
        <v>-9999.999999999884</v>
      </c>
      <c r="J192" s="14" t="n">
        <v>-10062.42999999996</v>
      </c>
      <c r="K192" s="14" t="n">
        <v>5.820766091346741e-11</v>
      </c>
      <c r="L192" s="8" t="b">
        <v>0</v>
      </c>
      <c r="M192" s="14" t="n">
        <v>0</v>
      </c>
      <c r="N192" s="19">
        <f>ROUND((J192-I192)-(K192+E192+H192),4)</f>
        <v/>
      </c>
    </row>
    <row r="193">
      <c r="A193" s="8" t="inlineStr">
        <is>
          <t>Бирлик Трип</t>
        </is>
      </c>
      <c r="B193" s="8" t="inlineStr">
        <is>
          <t>2026-03</t>
        </is>
      </c>
      <c r="C193" s="14" t="n">
        <v>-72679.57000000001</v>
      </c>
      <c r="D193" s="14" t="n">
        <v>-339628.62</v>
      </c>
      <c r="E193" s="14" t="n">
        <v>-266949.05</v>
      </c>
      <c r="F193" s="14" t="n">
        <v>62617.14000000019</v>
      </c>
      <c r="G193" s="14" t="n">
        <v>489935.9700000001</v>
      </c>
      <c r="H193" s="14" t="n">
        <v>427318.83</v>
      </c>
      <c r="I193" s="14" t="n">
        <v>-10062.42999999982</v>
      </c>
      <c r="J193" s="14" t="n">
        <v>150307.3500000002</v>
      </c>
      <c r="K193" s="14" t="n">
        <v>0</v>
      </c>
      <c r="L193" s="8" t="b">
        <v>0</v>
      </c>
      <c r="M193" s="14" t="n">
        <v>0</v>
      </c>
      <c r="N193" s="19">
        <f>ROUND((J193-I193)-(K193+E193+H193),4)</f>
        <v/>
      </c>
    </row>
    <row r="194">
      <c r="A194" s="8" t="inlineStr">
        <is>
          <t>Бирлик Трип</t>
        </is>
      </c>
      <c r="B194" s="8" t="inlineStr">
        <is>
          <t>2026-04</t>
        </is>
      </c>
      <c r="C194" s="14" t="n">
        <v>-339628.62</v>
      </c>
      <c r="D194" s="14" t="n">
        <v>-830056.88</v>
      </c>
      <c r="E194" s="14" t="n">
        <v>-490428.26</v>
      </c>
      <c r="F194" s="14" t="n">
        <v>489935.97</v>
      </c>
      <c r="G194" s="14" t="n">
        <v>780524.9300000001</v>
      </c>
      <c r="H194" s="14" t="n">
        <v>290588.96</v>
      </c>
      <c r="I194" s="14" t="n">
        <v>150307.35</v>
      </c>
      <c r="J194" s="14" t="n">
        <v>-49531.94999999995</v>
      </c>
      <c r="K194" s="14" t="n">
        <v>0</v>
      </c>
      <c r="L194" s="8" t="b">
        <v>0</v>
      </c>
      <c r="M194" s="14" t="n">
        <v>0</v>
      </c>
      <c r="N194" s="19">
        <f>ROUND((J194-I194)-(K194+E194+H194),4)</f>
        <v/>
      </c>
    </row>
    <row r="195">
      <c r="A195" s="8" t="inlineStr">
        <is>
          <t>Бирлик Трип</t>
        </is>
      </c>
      <c r="B195" s="8" t="inlineStr">
        <is>
          <t>2026-05</t>
        </is>
      </c>
      <c r="C195" s="14" t="n">
        <v>-830056.88</v>
      </c>
      <c r="D195" s="14" t="n">
        <v>-664456.4300000001</v>
      </c>
      <c r="E195" s="14" t="n">
        <v>165600.45</v>
      </c>
      <c r="F195" s="14" t="n">
        <v>780524.9300000002</v>
      </c>
      <c r="G195" s="14" t="n">
        <v>595266.3800000001</v>
      </c>
      <c r="H195" s="14" t="n">
        <v>-185258.55</v>
      </c>
      <c r="I195" s="14" t="n">
        <v>-49531.94999999984</v>
      </c>
      <c r="J195" s="14" t="n">
        <v>-69190.04999999993</v>
      </c>
      <c r="K195" s="14" t="n">
        <v>0</v>
      </c>
      <c r="L195" s="8" t="b">
        <v>0</v>
      </c>
      <c r="M195" s="14" t="n">
        <v>0</v>
      </c>
      <c r="N195" s="19">
        <f>ROUND((J195-I195)-(K195+E195+H195),4)</f>
        <v/>
      </c>
    </row>
    <row r="196">
      <c r="A196" s="8" t="inlineStr">
        <is>
          <t>Бирлик Трип</t>
        </is>
      </c>
      <c r="B196" s="8" t="inlineStr">
        <is>
          <t>2026-06</t>
        </is>
      </c>
      <c r="C196" s="14" t="n">
        <v>-664456.4300000001</v>
      </c>
      <c r="D196" s="14" t="n">
        <v>-204974.03</v>
      </c>
      <c r="E196" s="14" t="n">
        <v>459482.4</v>
      </c>
      <c r="F196" s="14" t="n">
        <v>595266.3800000001</v>
      </c>
      <c r="G196" s="14" t="n">
        <v>151177.9400000002</v>
      </c>
      <c r="H196" s="14" t="n">
        <v>-444088.4399999999</v>
      </c>
      <c r="I196" s="14" t="n">
        <v>-69190.04999999993</v>
      </c>
      <c r="J196" s="14" t="n">
        <v>-53796.08999999982</v>
      </c>
      <c r="K196" s="14" t="n">
        <v>8.731149137020111e-11</v>
      </c>
      <c r="L196" s="8" t="b">
        <v>0</v>
      </c>
      <c r="M196" s="14" t="n">
        <v>0</v>
      </c>
      <c r="N196" s="19">
        <f>ROUND((J196-I196)-(K196+E196+H196),4)</f>
        <v/>
      </c>
    </row>
    <row r="197">
      <c r="A197" s="8" t="inlineStr">
        <is>
          <t>Бирлик Трип</t>
        </is>
      </c>
      <c r="B197" s="8" t="inlineStr">
        <is>
          <t>2026-07</t>
        </is>
      </c>
      <c r="C197" s="14" t="n">
        <v>-204974.03</v>
      </c>
      <c r="D197" s="14" t="n">
        <v>-273947.35</v>
      </c>
      <c r="E197" s="14" t="n">
        <v>-68973.31999999999</v>
      </c>
      <c r="F197" s="14" t="n">
        <v>151177.9400000002</v>
      </c>
      <c r="G197" s="14" t="n">
        <v>-99448.73999999982</v>
      </c>
      <c r="H197" s="14" t="n">
        <v>-250626.68</v>
      </c>
      <c r="I197" s="14" t="n">
        <v>-53796.08999999979</v>
      </c>
      <c r="J197" s="14" t="n">
        <v>-373396.0899999998</v>
      </c>
      <c r="K197" s="14" t="n">
        <v>0</v>
      </c>
      <c r="L197" s="8" t="b">
        <v>0</v>
      </c>
      <c r="M197" s="14" t="n">
        <v>0</v>
      </c>
      <c r="N197" s="19">
        <f>ROUND((J197-I197)-(K197+E197+H197),4)</f>
        <v/>
      </c>
    </row>
    <row r="198">
      <c r="A198" s="8" t="inlineStr">
        <is>
          <t>Джолдош уулу Руслан</t>
        </is>
      </c>
      <c r="B198" s="8" t="inlineStr">
        <is>
          <t>2026-01</t>
        </is>
      </c>
      <c r="C198" s="14" t="n">
        <v>-322858.44</v>
      </c>
      <c r="D198" s="14" t="n">
        <v>-494747.84</v>
      </c>
      <c r="E198" s="14" t="n">
        <v>-171889.4</v>
      </c>
      <c r="F198" s="14" t="n">
        <v>-3400793.17</v>
      </c>
      <c r="G198" s="14" t="n">
        <v>-3228903.77</v>
      </c>
      <c r="H198" s="14" t="n">
        <v>171889.4</v>
      </c>
      <c r="I198" s="14" t="n">
        <v>-3723651.61</v>
      </c>
      <c r="J198" s="14" t="n">
        <v>-3723651.61</v>
      </c>
      <c r="K198" s="14" t="n">
        <v>-5.820766091346741e-11</v>
      </c>
      <c r="L198" s="8" t="b">
        <v>0</v>
      </c>
      <c r="M198" s="14" t="n">
        <v>0</v>
      </c>
      <c r="N198" s="19">
        <f>ROUND((J198-I198)-(K198+E198+H198),4)</f>
        <v/>
      </c>
    </row>
    <row r="199">
      <c r="A199" s="8" t="inlineStr">
        <is>
          <t>Джолдош уулу Руслан</t>
        </is>
      </c>
      <c r="B199" s="8" t="inlineStr">
        <is>
          <t>2026-02</t>
        </is>
      </c>
      <c r="C199" s="14" t="n">
        <v>-494747.84</v>
      </c>
      <c r="D199" s="14" t="n">
        <v>100410.83</v>
      </c>
      <c r="E199" s="14" t="n">
        <v>595158.6699999999</v>
      </c>
      <c r="F199" s="14" t="n">
        <v>-3228903.77</v>
      </c>
      <c r="G199" s="14" t="n">
        <v>-3824062.44</v>
      </c>
      <c r="H199" s="14" t="n">
        <v>-595158.67</v>
      </c>
      <c r="I199" s="14" t="n">
        <v>-3723651.61</v>
      </c>
      <c r="J199" s="14" t="n">
        <v>-3723651.61</v>
      </c>
      <c r="K199" s="14" t="n">
        <v>1.01863406598568e-10</v>
      </c>
      <c r="L199" s="8" t="b">
        <v>0</v>
      </c>
      <c r="M199" s="14" t="n">
        <v>0</v>
      </c>
      <c r="N199" s="19">
        <f>ROUND((J199-I199)-(K199+E199+H199),4)</f>
        <v/>
      </c>
    </row>
    <row r="200">
      <c r="A200" s="8" t="inlineStr">
        <is>
          <t>Джолдош уулу Руслан</t>
        </is>
      </c>
      <c r="B200" s="8" t="inlineStr">
        <is>
          <t>2026-03</t>
        </is>
      </c>
      <c r="C200" s="14" t="n">
        <v>100410.83</v>
      </c>
      <c r="D200" s="14" t="n">
        <v>-154265.16</v>
      </c>
      <c r="E200" s="14" t="n">
        <v>-254675.99</v>
      </c>
      <c r="F200" s="14" t="n">
        <v>-3824062.44</v>
      </c>
      <c r="G200" s="14" t="n">
        <v>-3606494.6</v>
      </c>
      <c r="H200" s="14" t="n">
        <v>217567.84</v>
      </c>
      <c r="I200" s="14" t="n">
        <v>-3723651.61</v>
      </c>
      <c r="J200" s="14" t="n">
        <v>-3760759.76</v>
      </c>
      <c r="K200" s="14" t="n">
        <v>-2.91038304567337e-11</v>
      </c>
      <c r="L200" s="8" t="b">
        <v>0</v>
      </c>
      <c r="M200" s="14" t="n">
        <v>0</v>
      </c>
      <c r="N200" s="19">
        <f>ROUND((J200-I200)-(K200+E200+H200),4)</f>
        <v/>
      </c>
    </row>
    <row r="201">
      <c r="A201" s="8" t="inlineStr">
        <is>
          <t>Джолдош уулу Руслан</t>
        </is>
      </c>
      <c r="B201" s="8" t="inlineStr">
        <is>
          <t>2026-04</t>
        </is>
      </c>
      <c r="C201" s="14" t="n">
        <v>-154265.16</v>
      </c>
      <c r="D201" s="14" t="n">
        <v>-613630.58</v>
      </c>
      <c r="E201" s="14" t="n">
        <v>-459365.4199999999</v>
      </c>
      <c r="F201" s="14" t="n">
        <v>-3606494.6</v>
      </c>
      <c r="G201" s="14" t="n">
        <v>-3853729.18</v>
      </c>
      <c r="H201" s="14" t="n">
        <v>-247234.58</v>
      </c>
      <c r="I201" s="14" t="n">
        <v>-3760759.76</v>
      </c>
      <c r="J201" s="14" t="n">
        <v>-4467359.76</v>
      </c>
      <c r="K201" s="14" t="n">
        <v>0</v>
      </c>
      <c r="L201" s="8" t="b">
        <v>0</v>
      </c>
      <c r="M201" s="14" t="n">
        <v>0</v>
      </c>
      <c r="N201" s="19">
        <f>ROUND((J201-I201)-(K201+E201+H201),4)</f>
        <v/>
      </c>
    </row>
    <row r="202">
      <c r="A202" s="8" t="inlineStr">
        <is>
          <t>Джолдош уулу Руслан</t>
        </is>
      </c>
      <c r="B202" s="8" t="inlineStr">
        <is>
          <t>2026-05</t>
        </is>
      </c>
      <c r="C202" s="14" t="n">
        <v>-613630.58</v>
      </c>
      <c r="D202" s="14" t="n">
        <v>-549008.4399999999</v>
      </c>
      <c r="E202" s="14" t="n">
        <v>64622.14000000001</v>
      </c>
      <c r="F202" s="14" t="n">
        <v>-3853729.18</v>
      </c>
      <c r="G202" s="14" t="n">
        <v>-3918351.32</v>
      </c>
      <c r="H202" s="14" t="n">
        <v>-64622.14000000001</v>
      </c>
      <c r="I202" s="14" t="n">
        <v>-4467359.76</v>
      </c>
      <c r="J202" s="14" t="n">
        <v>-4467359.76</v>
      </c>
      <c r="K202" s="14" t="n">
        <v>0</v>
      </c>
      <c r="L202" s="8" t="b">
        <v>0</v>
      </c>
      <c r="M202" s="14" t="n">
        <v>0</v>
      </c>
      <c r="N202" s="19">
        <f>ROUND((J202-I202)-(K202+E202+H202),4)</f>
        <v/>
      </c>
    </row>
    <row r="203">
      <c r="A203" s="8" t="inlineStr">
        <is>
          <t>Джолдош уулу Руслан</t>
        </is>
      </c>
      <c r="B203" s="8" t="inlineStr">
        <is>
          <t>2026-06</t>
        </is>
      </c>
      <c r="C203" s="14" t="n">
        <v>-549008.4399999999</v>
      </c>
      <c r="D203" s="14" t="n">
        <v>-496322.75</v>
      </c>
      <c r="E203" s="14" t="n">
        <v>52685.69000000002</v>
      </c>
      <c r="F203" s="14" t="n">
        <v>-3918351.32</v>
      </c>
      <c r="G203" s="14" t="n">
        <v>-3931708.59</v>
      </c>
      <c r="H203" s="14" t="n">
        <v>-13357.26999999999</v>
      </c>
      <c r="I203" s="14" t="n">
        <v>-4467359.76</v>
      </c>
      <c r="J203" s="14" t="n">
        <v>-4428031.34</v>
      </c>
      <c r="K203" s="14" t="n">
        <v>-5.820766091346741e-11</v>
      </c>
      <c r="L203" s="8" t="b">
        <v>0</v>
      </c>
      <c r="M203" s="14" t="n">
        <v>0</v>
      </c>
      <c r="N203" s="19">
        <f>ROUND((J203-I203)-(K203+E203+H203),4)</f>
        <v/>
      </c>
    </row>
    <row r="204">
      <c r="A204" s="8" t="inlineStr">
        <is>
          <t>Джолдош уулу Руслан</t>
        </is>
      </c>
      <c r="B204" s="8" t="inlineStr">
        <is>
          <t>2026-07</t>
        </is>
      </c>
      <c r="C204" s="14" t="n">
        <v>-496322.75</v>
      </c>
      <c r="D204" s="14" t="n">
        <v>-603811.92</v>
      </c>
      <c r="E204" s="14" t="n">
        <v>-107489.17</v>
      </c>
      <c r="F204" s="14" t="n">
        <v>-3931708.59</v>
      </c>
      <c r="G204" s="14" t="n">
        <v>-3863637.94</v>
      </c>
      <c r="H204" s="14" t="n">
        <v>68070.64999999997</v>
      </c>
      <c r="I204" s="14" t="n">
        <v>-4428031.34</v>
      </c>
      <c r="J204" s="14" t="n">
        <v>-4467449.86</v>
      </c>
      <c r="K204" s="14" t="n">
        <v>-1.164153218269348e-10</v>
      </c>
      <c r="L204" s="8" t="b">
        <v>0</v>
      </c>
      <c r="M204" s="14" t="n">
        <v>0</v>
      </c>
      <c r="N204" s="19">
        <f>ROUND((J204-I204)-(K204+E204+H204),4)</f>
        <v/>
      </c>
    </row>
    <row r="205">
      <c r="A205" s="8" t="inlineStr">
        <is>
          <t>Джолдош уулу Эмир</t>
        </is>
      </c>
      <c r="B205" s="8" t="inlineStr">
        <is>
          <t>2026-01</t>
        </is>
      </c>
      <c r="C205" s="14" t="n">
        <v>-752758.9300000001</v>
      </c>
      <c r="D205" s="14" t="n">
        <v>-643392.45</v>
      </c>
      <c r="E205" s="14" t="n">
        <v>109366.48</v>
      </c>
      <c r="F205" s="14" t="n">
        <v>752758.9300000001</v>
      </c>
      <c r="G205" s="14" t="n">
        <v>649226.9700000001</v>
      </c>
      <c r="H205" s="14" t="n">
        <v>-103531.9599999999</v>
      </c>
      <c r="I205" s="14" t="n">
        <v>0</v>
      </c>
      <c r="J205" s="14" t="n">
        <v>5834.520000000135</v>
      </c>
      <c r="K205" s="14" t="n">
        <v>1.164153218269348e-10</v>
      </c>
      <c r="L205" s="8" t="b">
        <v>0</v>
      </c>
      <c r="M205" s="14" t="n">
        <v>0</v>
      </c>
      <c r="N205" s="19">
        <f>ROUND((J205-I205)-(K205+E205+H205),4)</f>
        <v/>
      </c>
    </row>
    <row r="206">
      <c r="A206" s="8" t="inlineStr">
        <is>
          <t>Джолдош уулу Эмир</t>
        </is>
      </c>
      <c r="B206" s="8" t="inlineStr">
        <is>
          <t>2026-02</t>
        </is>
      </c>
      <c r="C206" s="14" t="n">
        <v>-643392.45</v>
      </c>
      <c r="D206" s="14" t="n">
        <v>-1373609.99</v>
      </c>
      <c r="E206" s="14" t="n">
        <v>-730217.54</v>
      </c>
      <c r="F206" s="14" t="n">
        <v>649226.97</v>
      </c>
      <c r="G206" s="14" t="n">
        <v>1214244.51</v>
      </c>
      <c r="H206" s="14" t="n">
        <v>565017.54</v>
      </c>
      <c r="I206" s="14" t="n">
        <v>5834.520000000019</v>
      </c>
      <c r="J206" s="14" t="n">
        <v>-159365.48</v>
      </c>
      <c r="K206" s="14" t="n">
        <v>0</v>
      </c>
      <c r="L206" s="8" t="b">
        <v>0</v>
      </c>
      <c r="M206" s="14" t="n">
        <v>0</v>
      </c>
      <c r="N206" s="19">
        <f>ROUND((J206-I206)-(K206+E206+H206),4)</f>
        <v/>
      </c>
    </row>
    <row r="207">
      <c r="A207" s="8" t="inlineStr">
        <is>
          <t>Джолдош уулу Эмир</t>
        </is>
      </c>
      <c r="B207" s="8" t="inlineStr">
        <is>
          <t>2026-03</t>
        </is>
      </c>
      <c r="C207" s="14" t="n">
        <v>-1373609.99</v>
      </c>
      <c r="D207" s="14" t="n">
        <v>-1113233.23</v>
      </c>
      <c r="E207" s="14" t="n">
        <v>260376.76</v>
      </c>
      <c r="F207" s="14" t="n">
        <v>1214244.51</v>
      </c>
      <c r="G207" s="14" t="n">
        <v>712867.75</v>
      </c>
      <c r="H207" s="14" t="n">
        <v>-501376.76</v>
      </c>
      <c r="I207" s="14" t="n">
        <v>-159365.48</v>
      </c>
      <c r="J207" s="14" t="n">
        <v>-400365.48</v>
      </c>
      <c r="K207" s="14" t="n">
        <v>0</v>
      </c>
      <c r="L207" s="8" t="b">
        <v>0</v>
      </c>
      <c r="M207" s="14" t="n">
        <v>0</v>
      </c>
      <c r="N207" s="19">
        <f>ROUND((J207-I207)-(K207+E207+H207),4)</f>
        <v/>
      </c>
    </row>
    <row r="208">
      <c r="A208" s="8" t="inlineStr">
        <is>
          <t>Джолдош уулу Эмир</t>
        </is>
      </c>
      <c r="B208" s="8" t="inlineStr">
        <is>
          <t>2026-04</t>
        </is>
      </c>
      <c r="C208" s="14" t="n">
        <v>-1113233.23</v>
      </c>
      <c r="D208" s="14" t="n">
        <v>-1485379.87</v>
      </c>
      <c r="E208" s="14" t="n">
        <v>-372146.64</v>
      </c>
      <c r="F208" s="14" t="n">
        <v>712867.7499999999</v>
      </c>
      <c r="G208" s="14" t="n">
        <v>1085014.39</v>
      </c>
      <c r="H208" s="14" t="n">
        <v>372146.64</v>
      </c>
      <c r="I208" s="14" t="n">
        <v>-400365.4800000001</v>
      </c>
      <c r="J208" s="14" t="n">
        <v>-400365.4800000002</v>
      </c>
      <c r="K208" s="14" t="n">
        <v>0</v>
      </c>
      <c r="L208" s="8" t="b">
        <v>0</v>
      </c>
      <c r="M208" s="14" t="n">
        <v>0</v>
      </c>
      <c r="N208" s="19">
        <f>ROUND((J208-I208)-(K208+E208+H208),4)</f>
        <v/>
      </c>
    </row>
    <row r="209">
      <c r="A209" s="8" t="inlineStr">
        <is>
          <t>Джолдош уулу Эмир</t>
        </is>
      </c>
      <c r="B209" s="8" t="inlineStr">
        <is>
          <t>2026-05</t>
        </is>
      </c>
      <c r="C209" s="14" t="n">
        <v>-1485379.87</v>
      </c>
      <c r="D209" s="14" t="n">
        <v>-1788423.59</v>
      </c>
      <c r="E209" s="14" t="n">
        <v>-303043.72</v>
      </c>
      <c r="F209" s="14" t="n">
        <v>1085014.39</v>
      </c>
      <c r="G209" s="14" t="n">
        <v>1388501.78</v>
      </c>
      <c r="H209" s="14" t="n">
        <v>303487.3899999999</v>
      </c>
      <c r="I209" s="14" t="n">
        <v>-400365.4800000002</v>
      </c>
      <c r="J209" s="14" t="n">
        <v>-399921.8100000003</v>
      </c>
      <c r="K209" s="14" t="n">
        <v>0</v>
      </c>
      <c r="L209" s="8" t="b">
        <v>0</v>
      </c>
      <c r="M209" s="14" t="n">
        <v>0</v>
      </c>
      <c r="N209" s="19">
        <f>ROUND((J209-I209)-(K209+E209+H209),4)</f>
        <v/>
      </c>
    </row>
    <row r="210">
      <c r="A210" s="8" t="inlineStr">
        <is>
          <t>Джолдош уулу Эмир</t>
        </is>
      </c>
      <c r="B210" s="8" t="inlineStr">
        <is>
          <t>2026-06</t>
        </is>
      </c>
      <c r="C210" s="14" t="n">
        <v>-1680866.49</v>
      </c>
      <c r="D210" s="14" t="n">
        <v>-1447778.07</v>
      </c>
      <c r="E210" s="14" t="n">
        <v>233088.42</v>
      </c>
      <c r="F210" s="14" t="n">
        <v>1388501.78</v>
      </c>
      <c r="G210" s="14" t="n">
        <v>867781.7199999997</v>
      </c>
      <c r="H210" s="14" t="n">
        <v>-520720.06</v>
      </c>
      <c r="I210" s="14" t="n">
        <v>-292364.7100000002</v>
      </c>
      <c r="J210" s="14" t="n">
        <v>-579996.3500000003</v>
      </c>
      <c r="K210" s="14" t="n">
        <v>0</v>
      </c>
      <c r="L210" s="8" t="b">
        <v>1</v>
      </c>
      <c r="M210" s="14" t="n">
        <v>107557.1000000001</v>
      </c>
      <c r="N210" s="19">
        <f>ROUND((J210-I210)-(K210+E210+H210),4)</f>
        <v/>
      </c>
    </row>
    <row r="211">
      <c r="A211" s="8" t="inlineStr">
        <is>
          <t>Джолдош уулу Эмир</t>
        </is>
      </c>
      <c r="B211" s="8" t="inlineStr">
        <is>
          <t>2026-07</t>
        </is>
      </c>
      <c r="C211" s="14" t="n">
        <v>-1447778.07</v>
      </c>
      <c r="D211" s="14" t="n">
        <v>-1278841.22</v>
      </c>
      <c r="E211" s="14" t="n">
        <v>168936.85</v>
      </c>
      <c r="F211" s="14" t="n">
        <v>867781.72</v>
      </c>
      <c r="G211" s="14" t="n">
        <v>278544.8699999998</v>
      </c>
      <c r="H211" s="14" t="n">
        <v>-589236.8500000001</v>
      </c>
      <c r="I211" s="14" t="n">
        <v>-579996.3500000001</v>
      </c>
      <c r="J211" s="14" t="n">
        <v>-1000296.35</v>
      </c>
      <c r="K211" s="14" t="n">
        <v>2.328306436538696e-10</v>
      </c>
      <c r="L211" s="8" t="b">
        <v>0</v>
      </c>
      <c r="M211" s="14" t="n">
        <v>0</v>
      </c>
      <c r="N211" s="19">
        <f>ROUND((J211-I211)-(K211+E211+H211),4)</f>
        <v/>
      </c>
    </row>
    <row r="212">
      <c r="A212" s="8" t="inlineStr">
        <is>
          <t>Джолдошова Салтанат Сатаревна</t>
        </is>
      </c>
      <c r="B212" s="8" t="inlineStr">
        <is>
          <t>2026-01</t>
        </is>
      </c>
      <c r="C212" s="14" t="n">
        <v>-253910.3</v>
      </c>
      <c r="D212" s="14" t="n">
        <v>-1220101.66</v>
      </c>
      <c r="E212" s="14" t="n">
        <v>-966191.36</v>
      </c>
      <c r="F212" s="14" t="n">
        <v>-449483.23</v>
      </c>
      <c r="G212" s="14" t="n">
        <v>-69020.58000000013</v>
      </c>
      <c r="H212" s="14" t="n">
        <v>380462.6499999999</v>
      </c>
      <c r="I212" s="14" t="n">
        <v>-703393.53</v>
      </c>
      <c r="J212" s="14" t="n">
        <v>-1289122.24</v>
      </c>
      <c r="K212" s="14" t="n">
        <v>0</v>
      </c>
      <c r="L212" s="8" t="b">
        <v>0</v>
      </c>
      <c r="M212" s="14" t="n">
        <v>0</v>
      </c>
      <c r="N212" s="19">
        <f>ROUND((J212-I212)-(K212+E212+H212),4)</f>
        <v/>
      </c>
    </row>
    <row r="213">
      <c r="A213" s="8" t="inlineStr">
        <is>
          <t>Джолдошова Салтанат Сатаревна</t>
        </is>
      </c>
      <c r="B213" s="8" t="inlineStr">
        <is>
          <t>2026-02</t>
        </is>
      </c>
      <c r="C213" s="14" t="n">
        <v>-1220101.66</v>
      </c>
      <c r="D213" s="14" t="n">
        <v>-1762655.6</v>
      </c>
      <c r="E213" s="14" t="n">
        <v>-542553.9400000001</v>
      </c>
      <c r="F213" s="14" t="n">
        <v>-69020.58000000013</v>
      </c>
      <c r="G213" s="14" t="n">
        <v>230516.2499999999</v>
      </c>
      <c r="H213" s="14" t="n">
        <v>299536.8300000001</v>
      </c>
      <c r="I213" s="14" t="n">
        <v>-1289122.24</v>
      </c>
      <c r="J213" s="14" t="n">
        <v>-1532139.35</v>
      </c>
      <c r="K213" s="14" t="n">
        <v>0</v>
      </c>
      <c r="L213" s="8" t="b">
        <v>0</v>
      </c>
      <c r="M213" s="14" t="n">
        <v>0</v>
      </c>
      <c r="N213" s="19">
        <f>ROUND((J213-I213)-(K213+E213+H213),4)</f>
        <v/>
      </c>
    </row>
    <row r="214">
      <c r="A214" s="8" t="inlineStr">
        <is>
          <t>Джолдошова Салтанат Сатаревна</t>
        </is>
      </c>
      <c r="B214" s="8" t="inlineStr">
        <is>
          <t>2026-03</t>
        </is>
      </c>
      <c r="C214" s="14" t="n">
        <v>-1762655.6</v>
      </c>
      <c r="D214" s="14" t="n">
        <v>-1397683.81</v>
      </c>
      <c r="E214" s="14" t="n">
        <v>364971.7899999999</v>
      </c>
      <c r="F214" s="14" t="n">
        <v>230516.2499999998</v>
      </c>
      <c r="G214" s="14" t="n">
        <v>-355370.4399999999</v>
      </c>
      <c r="H214" s="14" t="n">
        <v>-585886.6899999997</v>
      </c>
      <c r="I214" s="14" t="n">
        <v>-1532139.35</v>
      </c>
      <c r="J214" s="14" t="n">
        <v>-1753054.25</v>
      </c>
      <c r="K214" s="14" t="n">
        <v>0</v>
      </c>
      <c r="L214" s="8" t="b">
        <v>0</v>
      </c>
      <c r="M214" s="14" t="n">
        <v>0</v>
      </c>
      <c r="N214" s="19">
        <f>ROUND((J214-I214)-(K214+E214+H214),4)</f>
        <v/>
      </c>
    </row>
    <row r="215">
      <c r="A215" s="8" t="inlineStr">
        <is>
          <t>Джолдошова Салтанат Сатаревна</t>
        </is>
      </c>
      <c r="B215" s="8" t="inlineStr">
        <is>
          <t>2026-04</t>
        </is>
      </c>
      <c r="C215" s="14" t="n">
        <v>-1392883.81</v>
      </c>
      <c r="D215" s="14" t="n">
        <v>-2247290.74</v>
      </c>
      <c r="E215" s="14" t="n">
        <v>-854406.9299999999</v>
      </c>
      <c r="F215" s="14" t="n">
        <v>-355370.4399999999</v>
      </c>
      <c r="G215" s="14" t="n">
        <v>285946.1500000001</v>
      </c>
      <c r="H215" s="14" t="n">
        <v>641316.59</v>
      </c>
      <c r="I215" s="14" t="n">
        <v>-1748254.25</v>
      </c>
      <c r="J215" s="14" t="n">
        <v>-1961344.59</v>
      </c>
      <c r="K215" s="14" t="n">
        <v>0</v>
      </c>
      <c r="L215" s="8" t="b">
        <v>1</v>
      </c>
      <c r="M215" s="14" t="n">
        <v>4800</v>
      </c>
      <c r="N215" s="19">
        <f>ROUND((J215-I215)-(K215+E215+H215),4)</f>
        <v/>
      </c>
    </row>
    <row r="216">
      <c r="A216" s="8" t="inlineStr">
        <is>
          <t>Джолдошова Салтанат Сатаревна</t>
        </is>
      </c>
      <c r="B216" s="8" t="inlineStr">
        <is>
          <t>2026-05</t>
        </is>
      </c>
      <c r="C216" s="14" t="n">
        <v>-2247290.74</v>
      </c>
      <c r="D216" s="14" t="n">
        <v>-2281209.27</v>
      </c>
      <c r="E216" s="14" t="n">
        <v>-33918.52999999999</v>
      </c>
      <c r="F216" s="14" t="n">
        <v>285946.1499999998</v>
      </c>
      <c r="G216" s="14" t="n">
        <v>198671.0799999998</v>
      </c>
      <c r="H216" s="14" t="n">
        <v>-87275.06999999999</v>
      </c>
      <c r="I216" s="14" t="n">
        <v>-1961344.59</v>
      </c>
      <c r="J216" s="14" t="n">
        <v>-2082538.19</v>
      </c>
      <c r="K216" s="14" t="n">
        <v>0</v>
      </c>
      <c r="L216" s="8" t="b">
        <v>0</v>
      </c>
      <c r="M216" s="14" t="n">
        <v>0</v>
      </c>
      <c r="N216" s="19">
        <f>ROUND((J216-I216)-(K216+E216+H216),4)</f>
        <v/>
      </c>
    </row>
    <row r="217">
      <c r="A217" s="8" t="inlineStr">
        <is>
          <t>Джолдошова Салтанат Сатаревна</t>
        </is>
      </c>
      <c r="B217" s="8" t="inlineStr">
        <is>
          <t>2026-06</t>
        </is>
      </c>
      <c r="C217" s="14" t="n">
        <v>-2281209.27</v>
      </c>
      <c r="D217" s="14" t="n">
        <v>-1897627.59</v>
      </c>
      <c r="E217" s="14" t="n">
        <v>383581.68</v>
      </c>
      <c r="F217" s="14" t="n">
        <v>198671.0799999998</v>
      </c>
      <c r="G217" s="14" t="n">
        <v>-261410.2400000002</v>
      </c>
      <c r="H217" s="14" t="n">
        <v>-460081.32</v>
      </c>
      <c r="I217" s="14" t="n">
        <v>-2082538.19</v>
      </c>
      <c r="J217" s="14" t="n">
        <v>-2159037.83</v>
      </c>
      <c r="K217" s="14" t="n">
        <v>0</v>
      </c>
      <c r="L217" s="8" t="b">
        <v>0</v>
      </c>
      <c r="M217" s="14" t="n">
        <v>0</v>
      </c>
      <c r="N217" s="19">
        <f>ROUND((J217-I217)-(K217+E217+H217),4)</f>
        <v/>
      </c>
    </row>
    <row r="218">
      <c r="A218" s="8" t="inlineStr">
        <is>
          <t>Джолдошова Салтанат Сатаревна</t>
        </is>
      </c>
      <c r="B218" s="8" t="inlineStr">
        <is>
          <t>2026-07</t>
        </is>
      </c>
      <c r="C218" s="14" t="n">
        <v>-1897627.59</v>
      </c>
      <c r="D218" s="14" t="n">
        <v>-1068557.63</v>
      </c>
      <c r="E218" s="14" t="n">
        <v>829069.96</v>
      </c>
      <c r="F218" s="14" t="n">
        <v>-261410.2400000005</v>
      </c>
      <c r="G218" s="14" t="n">
        <v>-1433023.96</v>
      </c>
      <c r="H218" s="14" t="n">
        <v>-1171613.72</v>
      </c>
      <c r="I218" s="14" t="n">
        <v>-2159037.830000001</v>
      </c>
      <c r="J218" s="14" t="n">
        <v>-2501581.59</v>
      </c>
      <c r="K218" s="14" t="n">
        <v>2.328306436538696e-10</v>
      </c>
      <c r="L218" s="8" t="b">
        <v>0</v>
      </c>
      <c r="M218" s="14" t="n">
        <v>0</v>
      </c>
      <c r="N218" s="19">
        <f>ROUND((J218-I218)-(K218+E218+H218),4)</f>
        <v/>
      </c>
    </row>
    <row r="219">
      <c r="A219" s="8" t="inlineStr">
        <is>
          <t>Жибек Авиакасса</t>
        </is>
      </c>
      <c r="B219" s="8" t="inlineStr">
        <is>
          <t>2026-01</t>
        </is>
      </c>
      <c r="C219" s="14" t="n">
        <v>0</v>
      </c>
      <c r="D219" s="14" t="n">
        <v>244111.51</v>
      </c>
      <c r="E219" s="14" t="n">
        <v>244111.51</v>
      </c>
      <c r="F219" s="14" t="n">
        <v>0</v>
      </c>
      <c r="G219" s="14" t="n">
        <v>-499913.53</v>
      </c>
      <c r="H219" s="14" t="n">
        <v>-499913.53</v>
      </c>
      <c r="I219" s="14" t="n">
        <v>0</v>
      </c>
      <c r="J219" s="14" t="n">
        <v>-255802.02</v>
      </c>
      <c r="K219" s="14" t="n">
        <v>0</v>
      </c>
      <c r="L219" s="8" t="b">
        <v>0</v>
      </c>
      <c r="M219" s="14" t="n">
        <v>0</v>
      </c>
      <c r="N219" s="19">
        <f>ROUND((J219-I219)-(K219+E219+H219),4)</f>
        <v/>
      </c>
    </row>
    <row r="220">
      <c r="A220" s="8" t="inlineStr">
        <is>
          <t>Жибек Авиакасса</t>
        </is>
      </c>
      <c r="B220" s="8" t="inlineStr">
        <is>
          <t>2026-02</t>
        </is>
      </c>
      <c r="C220" s="14" t="n">
        <v>244111.51</v>
      </c>
      <c r="D220" s="14" t="n">
        <v>133304.31</v>
      </c>
      <c r="E220" s="14" t="n">
        <v>-110807.2</v>
      </c>
      <c r="F220" s="14" t="n">
        <v>-499913.53</v>
      </c>
      <c r="G220" s="14" t="n">
        <v>-558686.4399999999</v>
      </c>
      <c r="H220" s="14" t="n">
        <v>-58772.90999999996</v>
      </c>
      <c r="I220" s="14" t="n">
        <v>-255802.02</v>
      </c>
      <c r="J220" s="14" t="n">
        <v>-425382.1299999999</v>
      </c>
      <c r="K220" s="14" t="n">
        <v>0</v>
      </c>
      <c r="L220" s="8" t="b">
        <v>0</v>
      </c>
      <c r="M220" s="14" t="n">
        <v>0</v>
      </c>
      <c r="N220" s="19">
        <f>ROUND((J220-I220)-(K220+E220+H220),4)</f>
        <v/>
      </c>
    </row>
    <row r="221">
      <c r="A221" s="8" t="inlineStr">
        <is>
          <t>Жибек Авиакасса</t>
        </is>
      </c>
      <c r="B221" s="8" t="inlineStr">
        <is>
          <t>2026-03</t>
        </is>
      </c>
      <c r="C221" s="14" t="n">
        <v>133304.31</v>
      </c>
      <c r="D221" s="14" t="n">
        <v>507004.26</v>
      </c>
      <c r="E221" s="14" t="n">
        <v>373699.95</v>
      </c>
      <c r="F221" s="14" t="n">
        <v>-558686.4400000002</v>
      </c>
      <c r="G221" s="14" t="n">
        <v>-978985.8500000001</v>
      </c>
      <c r="H221" s="14" t="n">
        <v>-420299.4099999999</v>
      </c>
      <c r="I221" s="14" t="n">
        <v>-425382.1300000002</v>
      </c>
      <c r="J221" s="14" t="n">
        <v>-471981.5900000001</v>
      </c>
      <c r="K221" s="14" t="n">
        <v>0</v>
      </c>
      <c r="L221" s="8" t="b">
        <v>0</v>
      </c>
      <c r="M221" s="14" t="n">
        <v>0</v>
      </c>
      <c r="N221" s="19">
        <f>ROUND((J221-I221)-(K221+E221+H221),4)</f>
        <v/>
      </c>
    </row>
    <row r="222">
      <c r="A222" s="8" t="inlineStr">
        <is>
          <t>Жибек Авиакасса</t>
        </is>
      </c>
      <c r="B222" s="8" t="inlineStr">
        <is>
          <t>2026-04</t>
        </is>
      </c>
      <c r="C222" s="14" t="n">
        <v>507004.26</v>
      </c>
      <c r="D222" s="14" t="n">
        <v>56903</v>
      </c>
      <c r="E222" s="14" t="n">
        <v>-450101.26</v>
      </c>
      <c r="F222" s="14" t="n">
        <v>-978985.8499999999</v>
      </c>
      <c r="G222" s="14" t="n">
        <v>-471606.35</v>
      </c>
      <c r="H222" s="14" t="n">
        <v>507379.4999999999</v>
      </c>
      <c r="I222" s="14" t="n">
        <v>-471981.5899999999</v>
      </c>
      <c r="J222" s="14" t="n">
        <v>-414703.35</v>
      </c>
      <c r="K222" s="14" t="n">
        <v>0</v>
      </c>
      <c r="L222" s="8" t="b">
        <v>0</v>
      </c>
      <c r="M222" s="14" t="n">
        <v>0</v>
      </c>
      <c r="N222" s="19">
        <f>ROUND((J222-I222)-(K222+E222+H222),4)</f>
        <v/>
      </c>
    </row>
    <row r="223">
      <c r="A223" s="8" t="inlineStr">
        <is>
          <t>Жибек Авиакасса</t>
        </is>
      </c>
      <c r="B223" s="8" t="inlineStr">
        <is>
          <t>2026-05</t>
        </is>
      </c>
      <c r="C223" s="14" t="n">
        <v>56903</v>
      </c>
      <c r="D223" s="14" t="n">
        <v>589598.15</v>
      </c>
      <c r="E223" s="14" t="n">
        <v>532695.15</v>
      </c>
      <c r="F223" s="14" t="n">
        <v>-471606.3499999997</v>
      </c>
      <c r="G223" s="14" t="n">
        <v>-976321.2799999997</v>
      </c>
      <c r="H223" s="14" t="n">
        <v>-504714.93</v>
      </c>
      <c r="I223" s="14" t="n">
        <v>-414703.3499999997</v>
      </c>
      <c r="J223" s="14" t="n">
        <v>-386723.1299999997</v>
      </c>
      <c r="K223" s="14" t="n">
        <v>0</v>
      </c>
      <c r="L223" s="8" t="b">
        <v>0</v>
      </c>
      <c r="M223" s="14" t="n">
        <v>0</v>
      </c>
      <c r="N223" s="19">
        <f>ROUND((J223-I223)-(K223+E223+H223),4)</f>
        <v/>
      </c>
    </row>
    <row r="224">
      <c r="A224" s="8" t="inlineStr">
        <is>
          <t>Жибек Авиакасса</t>
        </is>
      </c>
      <c r="B224" s="8" t="inlineStr">
        <is>
          <t>2026-06</t>
        </is>
      </c>
      <c r="C224" s="14" t="n">
        <v>589598.15</v>
      </c>
      <c r="D224" s="14" t="n">
        <v>449807.42</v>
      </c>
      <c r="E224" s="14" t="n">
        <v>-139790.73</v>
      </c>
      <c r="F224" s="14" t="n">
        <v>-976321.2799999998</v>
      </c>
      <c r="G224" s="14" t="n">
        <v>-834388.9499999998</v>
      </c>
      <c r="H224" s="14" t="n">
        <v>141932.33</v>
      </c>
      <c r="I224" s="14" t="n">
        <v>-386723.1299999998</v>
      </c>
      <c r="J224" s="14" t="n">
        <v>-384581.5299999999</v>
      </c>
      <c r="K224" s="14" t="n">
        <v>-5.820766091346741e-11</v>
      </c>
      <c r="L224" s="8" t="b">
        <v>0</v>
      </c>
      <c r="M224" s="14" t="n">
        <v>0</v>
      </c>
      <c r="N224" s="19">
        <f>ROUND((J224-I224)-(K224+E224+H224),4)</f>
        <v/>
      </c>
    </row>
    <row r="225">
      <c r="A225" s="8" t="inlineStr">
        <is>
          <t>Жибек Авиакасса</t>
        </is>
      </c>
      <c r="B225" s="8" t="inlineStr">
        <is>
          <t>2026-07</t>
        </is>
      </c>
      <c r="C225" s="14" t="n">
        <v>449807.42</v>
      </c>
      <c r="D225" s="14" t="n">
        <v>676614.53</v>
      </c>
      <c r="E225" s="14" t="n">
        <v>226807.11</v>
      </c>
      <c r="F225" s="14" t="n">
        <v>-834388.9500000001</v>
      </c>
      <c r="G225" s="14" t="n">
        <v>-1372100.29</v>
      </c>
      <c r="H225" s="14" t="n">
        <v>-537711.34</v>
      </c>
      <c r="I225" s="14" t="n">
        <v>-384581.5300000001</v>
      </c>
      <c r="J225" s="14" t="n">
        <v>-695485.76</v>
      </c>
      <c r="K225" s="14" t="n">
        <v>0</v>
      </c>
      <c r="L225" s="8" t="b">
        <v>0</v>
      </c>
      <c r="M225" s="14" t="n">
        <v>0</v>
      </c>
      <c r="N225" s="19">
        <f>ROUND((J225-I225)-(K225+E225+H225),4)</f>
        <v/>
      </c>
    </row>
    <row r="226">
      <c r="A226" s="8" t="inlineStr">
        <is>
          <t>Жибек Вояж</t>
        </is>
      </c>
      <c r="B226" s="8" t="inlineStr">
        <is>
          <t>2026-01</t>
        </is>
      </c>
      <c r="C226" s="14" t="n">
        <v>0</v>
      </c>
      <c r="D226" s="14" t="n">
        <v>33862.8</v>
      </c>
      <c r="E226" s="14" t="n">
        <v>33862.8</v>
      </c>
      <c r="F226" s="14" t="n">
        <v>0</v>
      </c>
      <c r="G226" s="14" t="n">
        <v>-33011.69</v>
      </c>
      <c r="H226" s="14" t="n">
        <v>-33011.69</v>
      </c>
      <c r="I226" s="14" t="n">
        <v>0</v>
      </c>
      <c r="J226" s="14" t="n">
        <v>851.1100000000006</v>
      </c>
      <c r="K226" s="14" t="n">
        <v>0</v>
      </c>
      <c r="L226" s="8" t="b">
        <v>0</v>
      </c>
      <c r="M226" s="14" t="n">
        <v>0</v>
      </c>
      <c r="N226" s="19">
        <f>ROUND((J226-I226)-(K226+E226+H226),4)</f>
        <v/>
      </c>
    </row>
    <row r="227">
      <c r="A227" s="8" t="inlineStr">
        <is>
          <t>Жибек Вояж</t>
        </is>
      </c>
      <c r="B227" s="8" t="inlineStr">
        <is>
          <t>2026-02</t>
        </is>
      </c>
      <c r="C227" s="14" t="n">
        <v>33862.8</v>
      </c>
      <c r="D227" s="14" t="n">
        <v>-177078.86</v>
      </c>
      <c r="E227" s="14" t="n">
        <v>-210941.66</v>
      </c>
      <c r="F227" s="14" t="n">
        <v>-33011.69</v>
      </c>
      <c r="G227" s="14" t="n">
        <v>177929.97</v>
      </c>
      <c r="H227" s="14" t="n">
        <v>210941.66</v>
      </c>
      <c r="I227" s="14" t="n">
        <v>851.1100000000006</v>
      </c>
      <c r="J227" s="14" t="n">
        <v>851.1100000000151</v>
      </c>
      <c r="K227" s="14" t="n">
        <v>0</v>
      </c>
      <c r="L227" s="8" t="b">
        <v>0</v>
      </c>
      <c r="M227" s="14" t="n">
        <v>0</v>
      </c>
      <c r="N227" s="19">
        <f>ROUND((J227-I227)-(K227+E227+H227),4)</f>
        <v/>
      </c>
    </row>
    <row r="228">
      <c r="A228" s="8" t="inlineStr">
        <is>
          <t>Жибек Вояж</t>
        </is>
      </c>
      <c r="B228" s="8" t="inlineStr">
        <is>
          <t>2026-03</t>
        </is>
      </c>
      <c r="C228" s="14" t="n">
        <v>-177078.86</v>
      </c>
      <c r="D228" s="14" t="n">
        <v>-197796.96</v>
      </c>
      <c r="E228" s="14" t="n">
        <v>-20718.10000000001</v>
      </c>
      <c r="F228" s="14" t="n">
        <v>177929.9699999999</v>
      </c>
      <c r="G228" s="14" t="n">
        <v>-4951.930000000048</v>
      </c>
      <c r="H228" s="14" t="n">
        <v>-182881.9</v>
      </c>
      <c r="I228" s="14" t="n">
        <v>851.1099999999569</v>
      </c>
      <c r="J228" s="14" t="n">
        <v>-202748.89</v>
      </c>
      <c r="K228" s="14" t="n">
        <v>0</v>
      </c>
      <c r="L228" s="8" t="b">
        <v>0</v>
      </c>
      <c r="M228" s="14" t="n">
        <v>0</v>
      </c>
      <c r="N228" s="19">
        <f>ROUND((J228-I228)-(K228+E228+H228),4)</f>
        <v/>
      </c>
    </row>
    <row r="229">
      <c r="A229" s="8" t="inlineStr">
        <is>
          <t>Жибек Вояж</t>
        </is>
      </c>
      <c r="B229" s="8" t="inlineStr">
        <is>
          <t>2026-05</t>
        </is>
      </c>
      <c r="C229" s="14" t="n">
        <v>106851.1</v>
      </c>
      <c r="D229" s="14" t="n">
        <v>305894.87</v>
      </c>
      <c r="E229" s="14" t="n">
        <v>199043.77</v>
      </c>
      <c r="F229" s="14" t="n">
        <v>-309740.5700000001</v>
      </c>
      <c r="G229" s="14" t="n">
        <v>-537635.8200000001</v>
      </c>
      <c r="H229" s="14" t="n">
        <v>-227895.25</v>
      </c>
      <c r="I229" s="14" t="n">
        <v>-202889.4700000001</v>
      </c>
      <c r="J229" s="14" t="n">
        <v>-231740.9500000001</v>
      </c>
      <c r="K229" s="14" t="n">
        <v>0</v>
      </c>
      <c r="L229" s="8" t="b">
        <v>0</v>
      </c>
      <c r="M229" s="14" t="n">
        <v>304648.06</v>
      </c>
      <c r="N229" s="19">
        <f>ROUND((J229-I229)-(K229+E229+H229),4)</f>
        <v/>
      </c>
    </row>
    <row r="230">
      <c r="A230" s="8" t="inlineStr">
        <is>
          <t>Жибек Вояж</t>
        </is>
      </c>
      <c r="B230" s="8" t="inlineStr">
        <is>
          <t>2026-06</t>
        </is>
      </c>
      <c r="C230" s="14" t="n">
        <v>305894.87</v>
      </c>
      <c r="D230" s="14" t="n">
        <v>711174.3199999999</v>
      </c>
      <c r="E230" s="14" t="n">
        <v>405279.45</v>
      </c>
      <c r="F230" s="14" t="n">
        <v>-537635.8200000001</v>
      </c>
      <c r="G230" s="14" t="n">
        <v>-941268.2700000001</v>
      </c>
      <c r="H230" s="14" t="n">
        <v>-403632.45</v>
      </c>
      <c r="I230" s="14" t="n">
        <v>-231740.9500000001</v>
      </c>
      <c r="J230" s="14" t="n">
        <v>-230093.9500000002</v>
      </c>
      <c r="K230" s="14" t="n">
        <v>-1.164153218269348e-10</v>
      </c>
      <c r="L230" s="8" t="b">
        <v>0</v>
      </c>
      <c r="M230" s="14" t="n">
        <v>0</v>
      </c>
      <c r="N230" s="19">
        <f>ROUND((J230-I230)-(K230+E230+H230),4)</f>
        <v/>
      </c>
    </row>
    <row r="231">
      <c r="A231" s="8" t="inlineStr">
        <is>
          <t>Жибек Вояж</t>
        </is>
      </c>
      <c r="B231" s="8" t="inlineStr">
        <is>
          <t>2026-07</t>
        </is>
      </c>
      <c r="C231" s="14" t="n">
        <v>711174.3199999999</v>
      </c>
      <c r="D231" s="14" t="n">
        <v>51186.04</v>
      </c>
      <c r="E231" s="14" t="n">
        <v>-659988.28</v>
      </c>
      <c r="F231" s="14" t="n">
        <v>-941268.2700000001</v>
      </c>
      <c r="G231" s="14" t="n">
        <v>-232896.9900000001</v>
      </c>
      <c r="H231" s="14" t="n">
        <v>708371.28</v>
      </c>
      <c r="I231" s="14" t="n">
        <v>-230093.9500000002</v>
      </c>
      <c r="J231" s="14" t="n">
        <v>-181710.9500000001</v>
      </c>
      <c r="K231" s="14" t="n">
        <v>8.003553375601768e-11</v>
      </c>
      <c r="L231" s="8" t="b">
        <v>0</v>
      </c>
      <c r="M231" s="14" t="n">
        <v>0</v>
      </c>
      <c r="N231" s="19">
        <f>ROUND((J231-I231)-(K231+E231+H231),4)</f>
        <v/>
      </c>
    </row>
    <row r="232">
      <c r="A232" s="8" t="inlineStr">
        <is>
          <t>Жибек Эйр</t>
        </is>
      </c>
      <c r="B232" s="8" t="inlineStr">
        <is>
          <t>2026-01</t>
        </is>
      </c>
      <c r="C232" s="14" t="n">
        <v>-165084.59</v>
      </c>
      <c r="D232" s="14" t="n">
        <v>-1880498.41</v>
      </c>
      <c r="E232" s="14" t="n">
        <v>-1715413.82</v>
      </c>
      <c r="F232" s="14" t="n">
        <v>418797.0800000001</v>
      </c>
      <c r="G232" s="14" t="n">
        <v>1840768.22</v>
      </c>
      <c r="H232" s="14" t="n">
        <v>1421971.14</v>
      </c>
      <c r="I232" s="14" t="n">
        <v>253712.4900000001</v>
      </c>
      <c r="J232" s="14" t="n">
        <v>-39730.18999999971</v>
      </c>
      <c r="K232" s="14" t="n">
        <v>2.328306436538696e-10</v>
      </c>
      <c r="L232" s="8" t="b">
        <v>0</v>
      </c>
      <c r="M232" s="14" t="n">
        <v>0</v>
      </c>
      <c r="N232" s="19">
        <f>ROUND((J232-I232)-(K232+E232+H232),4)</f>
        <v/>
      </c>
    </row>
    <row r="233">
      <c r="A233" s="8" t="inlineStr">
        <is>
          <t>Жибек Эйр</t>
        </is>
      </c>
      <c r="B233" s="8" t="inlineStr">
        <is>
          <t>2026-02</t>
        </is>
      </c>
      <c r="C233" s="14" t="n">
        <v>-1880498.41</v>
      </c>
      <c r="D233" s="14" t="n">
        <v>-2284019.46</v>
      </c>
      <c r="E233" s="14" t="n">
        <v>-403521.0499999999</v>
      </c>
      <c r="F233" s="14" t="n">
        <v>1840768.22</v>
      </c>
      <c r="G233" s="14" t="n">
        <v>2024045.93</v>
      </c>
      <c r="H233" s="14" t="n">
        <v>183277.7099999999</v>
      </c>
      <c r="I233" s="14" t="n">
        <v>-39730.19000000018</v>
      </c>
      <c r="J233" s="14" t="n">
        <v>-259973.5300000003</v>
      </c>
      <c r="K233" s="14" t="n">
        <v>0</v>
      </c>
      <c r="L233" s="8" t="b">
        <v>0</v>
      </c>
      <c r="M233" s="14" t="n">
        <v>0</v>
      </c>
      <c r="N233" s="19">
        <f>ROUND((J233-I233)-(K233+E233+H233),4)</f>
        <v/>
      </c>
    </row>
    <row r="234">
      <c r="A234" s="8" t="inlineStr">
        <is>
          <t>Жибек Эйр</t>
        </is>
      </c>
      <c r="B234" s="8" t="inlineStr">
        <is>
          <t>2026-03</t>
        </is>
      </c>
      <c r="C234" s="14" t="n">
        <v>-2284019.46</v>
      </c>
      <c r="D234" s="14" t="n">
        <v>-2196501.14</v>
      </c>
      <c r="E234" s="14" t="n">
        <v>87518.31999999999</v>
      </c>
      <c r="F234" s="14" t="n">
        <v>2024045.93</v>
      </c>
      <c r="G234" s="14" t="n">
        <v>1936158.01</v>
      </c>
      <c r="H234" s="14" t="n">
        <v>-87887.92000000007</v>
      </c>
      <c r="I234" s="14" t="n">
        <v>-259973.53</v>
      </c>
      <c r="J234" s="14" t="n">
        <v>-260343.1300000004</v>
      </c>
      <c r="K234" s="14" t="n">
        <v>0</v>
      </c>
      <c r="L234" s="8" t="b">
        <v>0</v>
      </c>
      <c r="M234" s="14" t="n">
        <v>0</v>
      </c>
      <c r="N234" s="19">
        <f>ROUND((J234-I234)-(K234+E234+H234),4)</f>
        <v/>
      </c>
    </row>
    <row r="235">
      <c r="A235" s="8" t="inlineStr">
        <is>
          <t>Жибек Эйр</t>
        </is>
      </c>
      <c r="B235" s="8" t="inlineStr">
        <is>
          <t>2026-06</t>
        </is>
      </c>
      <c r="C235" s="14" t="n">
        <v>-1316554.76</v>
      </c>
      <c r="D235" s="14" t="n">
        <v>521511.79</v>
      </c>
      <c r="E235" s="14" t="n">
        <v>1838066.55</v>
      </c>
      <c r="F235" s="14" t="n">
        <v>998979.0900000004</v>
      </c>
      <c r="G235" s="14" t="n">
        <v>-841118.4599999996</v>
      </c>
      <c r="H235" s="14" t="n">
        <v>-1840097.55</v>
      </c>
      <c r="I235" s="14" t="n">
        <v>-317575.6699999996</v>
      </c>
      <c r="J235" s="14" t="n">
        <v>-319606.6699999996</v>
      </c>
      <c r="K235" s="14" t="n">
        <v>-5.820766091346741e-11</v>
      </c>
      <c r="L235" s="8" t="b">
        <v>0</v>
      </c>
      <c r="M235" s="14" t="n">
        <v>879946.3800000001</v>
      </c>
      <c r="N235" s="19">
        <f>ROUND((J235-I235)-(K235+E235+H235),4)</f>
        <v/>
      </c>
    </row>
    <row r="236">
      <c r="A236" s="8" t="inlineStr">
        <is>
          <t>Жибек Эйр</t>
        </is>
      </c>
      <c r="B236" s="8" t="inlineStr">
        <is>
          <t>2026-07</t>
        </is>
      </c>
      <c r="C236" s="14" t="n">
        <v>521511.79</v>
      </c>
      <c r="D236" s="14" t="n">
        <v>180609.78</v>
      </c>
      <c r="E236" s="14" t="n">
        <v>-340902.01</v>
      </c>
      <c r="F236" s="14" t="n">
        <v>-841118.4600000004</v>
      </c>
      <c r="G236" s="14" t="n">
        <v>-719632.4200000003</v>
      </c>
      <c r="H236" s="14" t="n">
        <v>121486.0400000001</v>
      </c>
      <c r="I236" s="14" t="n">
        <v>-319606.6700000004</v>
      </c>
      <c r="J236" s="14" t="n">
        <v>-539022.6400000002</v>
      </c>
      <c r="K236" s="14" t="n">
        <v>2.91038304567337e-11</v>
      </c>
      <c r="L236" s="8" t="b">
        <v>0</v>
      </c>
      <c r="M236" s="14" t="n">
        <v>0</v>
      </c>
      <c r="N236" s="19">
        <f>ROUND((J236-I236)-(K236+E236+H236),4)</f>
        <v/>
      </c>
    </row>
    <row r="237">
      <c r="A237" s="8" t="inlineStr">
        <is>
          <t>Жолчу кызы А.</t>
        </is>
      </c>
      <c r="B237" s="8" t="inlineStr">
        <is>
          <t>2026-01</t>
        </is>
      </c>
      <c r="C237" s="14" t="n">
        <v>0</v>
      </c>
      <c r="D237" s="14" t="n">
        <v>-509744.64</v>
      </c>
      <c r="E237" s="14" t="n">
        <v>-509744.64</v>
      </c>
      <c r="F237" s="14" t="n">
        <v>0</v>
      </c>
      <c r="G237" s="14" t="n">
        <v>455744.64</v>
      </c>
      <c r="H237" s="14" t="n">
        <v>455744.64</v>
      </c>
      <c r="I237" s="14" t="n">
        <v>0</v>
      </c>
      <c r="J237" s="14" t="n">
        <v>-54000</v>
      </c>
      <c r="K237" s="14" t="n">
        <v>0</v>
      </c>
      <c r="L237" s="8" t="b">
        <v>0</v>
      </c>
      <c r="M237" s="14" t="n">
        <v>0</v>
      </c>
      <c r="N237" s="19">
        <f>ROUND((J237-I237)-(K237+E237+H237),4)</f>
        <v/>
      </c>
    </row>
    <row r="238">
      <c r="A238" s="8" t="inlineStr">
        <is>
          <t>Жолчу кызы А.</t>
        </is>
      </c>
      <c r="B238" s="8" t="inlineStr">
        <is>
          <t>2026-02</t>
        </is>
      </c>
      <c r="C238" s="14" t="n">
        <v>-509744.64</v>
      </c>
      <c r="D238" s="14" t="n">
        <v>-1305227.27</v>
      </c>
      <c r="E238" s="14" t="n">
        <v>-795482.63</v>
      </c>
      <c r="F238" s="14" t="n">
        <v>455744.6400000001</v>
      </c>
      <c r="G238" s="14" t="n">
        <v>1219514.47</v>
      </c>
      <c r="H238" s="14" t="n">
        <v>763769.8299999998</v>
      </c>
      <c r="I238" s="14" t="n">
        <v>-53999.99999999988</v>
      </c>
      <c r="J238" s="14" t="n">
        <v>-85712.80000000005</v>
      </c>
      <c r="K238" s="14" t="n">
        <v>0</v>
      </c>
      <c r="L238" s="8" t="b">
        <v>0</v>
      </c>
      <c r="M238" s="14" t="n">
        <v>0</v>
      </c>
      <c r="N238" s="19">
        <f>ROUND((J238-I238)-(K238+E238+H238),4)</f>
        <v/>
      </c>
    </row>
    <row r="239">
      <c r="A239" s="8" t="inlineStr">
        <is>
          <t>Жолчу кызы А.</t>
        </is>
      </c>
      <c r="B239" s="8" t="inlineStr">
        <is>
          <t>2026-03</t>
        </is>
      </c>
      <c r="C239" s="14" t="n">
        <v>-1305227.27</v>
      </c>
      <c r="D239" s="14" t="n">
        <v>-1322931.38</v>
      </c>
      <c r="E239" s="14" t="n">
        <v>-17704.10999999999</v>
      </c>
      <c r="F239" s="14" t="n">
        <v>1219514.47</v>
      </c>
      <c r="G239" s="14" t="n">
        <v>909359.3799999999</v>
      </c>
      <c r="H239" s="14" t="n">
        <v>-310155.09</v>
      </c>
      <c r="I239" s="14" t="n">
        <v>-85712.80000000005</v>
      </c>
      <c r="J239" s="14" t="n">
        <v>-413572</v>
      </c>
      <c r="K239" s="14" t="n">
        <v>0</v>
      </c>
      <c r="L239" s="8" t="b">
        <v>0</v>
      </c>
      <c r="M239" s="14" t="n">
        <v>0</v>
      </c>
      <c r="N239" s="19">
        <f>ROUND((J239-I239)-(K239+E239+H239),4)</f>
        <v/>
      </c>
    </row>
    <row r="240">
      <c r="A240" s="8" t="inlineStr">
        <is>
          <t>Жолчу кызы А.</t>
        </is>
      </c>
      <c r="B240" s="8" t="inlineStr">
        <is>
          <t>2026-04</t>
        </is>
      </c>
      <c r="C240" s="14" t="n">
        <v>-1322931.38</v>
      </c>
      <c r="D240" s="14" t="n">
        <v>-827848.3100000001</v>
      </c>
      <c r="E240" s="14" t="n">
        <v>495083.07</v>
      </c>
      <c r="F240" s="14" t="n">
        <v>909359.38</v>
      </c>
      <c r="G240" s="14" t="n">
        <v>268076.3100000001</v>
      </c>
      <c r="H240" s="14" t="n">
        <v>-641283.0699999999</v>
      </c>
      <c r="I240" s="14" t="n">
        <v>-413571.9999999999</v>
      </c>
      <c r="J240" s="14" t="n">
        <v>-559772</v>
      </c>
      <c r="K240" s="14" t="n">
        <v>-2.328306436538696e-10</v>
      </c>
      <c r="L240" s="8" t="b">
        <v>0</v>
      </c>
      <c r="M240" s="14" t="n">
        <v>0</v>
      </c>
      <c r="N240" s="19">
        <f>ROUND((J240-I240)-(K240+E240+H240),4)</f>
        <v/>
      </c>
    </row>
    <row r="241">
      <c r="A241" s="8" t="inlineStr">
        <is>
          <t>Жолчу кызы А.</t>
        </is>
      </c>
      <c r="B241" s="8" t="inlineStr">
        <is>
          <t>2026-05</t>
        </is>
      </c>
      <c r="C241" s="14" t="n">
        <v>-827848.3100000001</v>
      </c>
      <c r="D241" s="14" t="n">
        <v>-534280.46</v>
      </c>
      <c r="E241" s="14" t="n">
        <v>293567.85</v>
      </c>
      <c r="F241" s="14" t="n">
        <v>268076.3099999999</v>
      </c>
      <c r="G241" s="14" t="n">
        <v>-58467.6399999999</v>
      </c>
      <c r="H241" s="14" t="n">
        <v>-326543.9499999998</v>
      </c>
      <c r="I241" s="14" t="n">
        <v>-559772.0000000001</v>
      </c>
      <c r="J241" s="14" t="n">
        <v>-592748.0999999999</v>
      </c>
      <c r="K241" s="14" t="n">
        <v>1.164153218269348e-10</v>
      </c>
      <c r="L241" s="8" t="b">
        <v>0</v>
      </c>
      <c r="M241" s="14" t="n">
        <v>0</v>
      </c>
      <c r="N241" s="19">
        <f>ROUND((J241-I241)-(K241+E241+H241),4)</f>
        <v/>
      </c>
    </row>
    <row r="242">
      <c r="A242" s="8" t="inlineStr">
        <is>
          <t>Жолчу кызы А.</t>
        </is>
      </c>
      <c r="B242" s="8" t="inlineStr">
        <is>
          <t>2026-07</t>
        </is>
      </c>
      <c r="C242" s="14" t="n">
        <v>-1125552.11</v>
      </c>
      <c r="D242" s="14" t="n">
        <v>-1008369.14</v>
      </c>
      <c r="E242" s="14" t="n">
        <v>117182.97</v>
      </c>
      <c r="F242" s="14" t="n">
        <v>529913.17</v>
      </c>
      <c r="G242" s="14" t="n">
        <v>-46058.59999999998</v>
      </c>
      <c r="H242" s="14" t="n">
        <v>-575971.77</v>
      </c>
      <c r="I242" s="14" t="n">
        <v>-595638.9400000001</v>
      </c>
      <c r="J242" s="14" t="n">
        <v>-1054427.74</v>
      </c>
      <c r="K242" s="14" t="n">
        <v>1.164153218269348e-10</v>
      </c>
      <c r="L242" s="8" t="b">
        <v>0</v>
      </c>
      <c r="M242" s="14" t="n">
        <v>-591271.6500000001</v>
      </c>
      <c r="N242" s="19">
        <f>ROUND((J242-I242)-(K242+E242+H242),4)</f>
        <v/>
      </c>
    </row>
    <row r="243">
      <c r="A243" s="8" t="inlineStr">
        <is>
          <t>Жумабек кызы Умут</t>
        </is>
      </c>
      <c r="B243" s="8" t="inlineStr">
        <is>
          <t>2026-01</t>
        </is>
      </c>
      <c r="C243" s="14" t="n">
        <v>-642211.28</v>
      </c>
      <c r="D243" s="14" t="n">
        <v>-625918.35</v>
      </c>
      <c r="E243" s="14" t="n">
        <v>16292.93000000001</v>
      </c>
      <c r="F243" s="14" t="n">
        <v>557007.1799999999</v>
      </c>
      <c r="G243" s="14" t="n">
        <v>525163.25</v>
      </c>
      <c r="H243" s="14" t="n">
        <v>-31843.92999999999</v>
      </c>
      <c r="I243" s="14" t="n">
        <v>-85204.10000000009</v>
      </c>
      <c r="J243" s="14" t="n">
        <v>-100755.1</v>
      </c>
      <c r="K243" s="14" t="n">
        <v>0</v>
      </c>
      <c r="L243" s="8" t="b">
        <v>0</v>
      </c>
      <c r="M243" s="14" t="n">
        <v>0</v>
      </c>
      <c r="N243" s="19">
        <f>ROUND((J243-I243)-(K243+E243+H243),4)</f>
        <v/>
      </c>
    </row>
    <row r="244">
      <c r="A244" s="8" t="inlineStr">
        <is>
          <t>Жумабек кызы Умут</t>
        </is>
      </c>
      <c r="B244" s="8" t="inlineStr">
        <is>
          <t>2026-02</t>
        </is>
      </c>
      <c r="C244" s="14" t="n">
        <v>-625918.35</v>
      </c>
      <c r="D244" s="14" t="n">
        <v>-510503.52</v>
      </c>
      <c r="E244" s="14" t="n">
        <v>115414.83</v>
      </c>
      <c r="F244" s="14" t="n">
        <v>525163.25</v>
      </c>
      <c r="G244" s="14" t="n">
        <v>411548.42</v>
      </c>
      <c r="H244" s="14" t="n">
        <v>-113614.83</v>
      </c>
      <c r="I244" s="14" t="n">
        <v>-100755.1</v>
      </c>
      <c r="J244" s="14" t="n">
        <v>-98955.10000000003</v>
      </c>
      <c r="K244" s="14" t="n">
        <v>-5.820766091346741e-11</v>
      </c>
      <c r="L244" s="8" t="b">
        <v>0</v>
      </c>
      <c r="M244" s="14" t="n">
        <v>0</v>
      </c>
      <c r="N244" s="19">
        <f>ROUND((J244-I244)-(K244+E244+H244),4)</f>
        <v/>
      </c>
    </row>
    <row r="245">
      <c r="A245" s="8" t="inlineStr">
        <is>
          <t>Жумабек кызы Умут</t>
        </is>
      </c>
      <c r="B245" s="8" t="inlineStr">
        <is>
          <t>2026-03</t>
        </is>
      </c>
      <c r="C245" s="14" t="n">
        <v>-510503.52</v>
      </c>
      <c r="D245" s="14" t="n">
        <v>-597053.12</v>
      </c>
      <c r="E245" s="14" t="n">
        <v>-86549.60000000002</v>
      </c>
      <c r="F245" s="14" t="n">
        <v>411548.42</v>
      </c>
      <c r="G245" s="14" t="n">
        <v>453098.02</v>
      </c>
      <c r="H245" s="14" t="n">
        <v>41549.60000000003</v>
      </c>
      <c r="I245" s="14" t="n">
        <v>-98955.10000000003</v>
      </c>
      <c r="J245" s="14" t="n">
        <v>-143955.1</v>
      </c>
      <c r="K245" s="14" t="n">
        <v>0</v>
      </c>
      <c r="L245" s="8" t="b">
        <v>0</v>
      </c>
      <c r="M245" s="14" t="n">
        <v>0</v>
      </c>
      <c r="N245" s="19">
        <f>ROUND((J245-I245)-(K245+E245+H245),4)</f>
        <v/>
      </c>
    </row>
    <row r="246">
      <c r="A246" s="8" t="inlineStr">
        <is>
          <t>Жумабек кызы Умут</t>
        </is>
      </c>
      <c r="B246" s="8" t="inlineStr">
        <is>
          <t>2026-04</t>
        </is>
      </c>
      <c r="C246" s="14" t="n">
        <v>-592253.12</v>
      </c>
      <c r="D246" s="14" t="n">
        <v>-547286.96</v>
      </c>
      <c r="E246" s="14" t="n">
        <v>44966.16</v>
      </c>
      <c r="F246" s="14" t="n">
        <v>453098.02</v>
      </c>
      <c r="G246" s="14" t="n">
        <v>408040.12</v>
      </c>
      <c r="H246" s="14" t="n">
        <v>-45057.9</v>
      </c>
      <c r="I246" s="14" t="n">
        <v>-139155.1</v>
      </c>
      <c r="J246" s="14" t="n">
        <v>-139246.84</v>
      </c>
      <c r="K246" s="14" t="n">
        <v>0</v>
      </c>
      <c r="L246" s="8" t="b">
        <v>1</v>
      </c>
      <c r="M246" s="14" t="n">
        <v>4800</v>
      </c>
      <c r="N246" s="19">
        <f>ROUND((J246-I246)-(K246+E246+H246),4)</f>
        <v/>
      </c>
    </row>
    <row r="247">
      <c r="A247" s="8" t="inlineStr">
        <is>
          <t>Жумабек кызы Умут</t>
        </is>
      </c>
      <c r="B247" s="8" t="inlineStr">
        <is>
          <t>2026-05</t>
        </is>
      </c>
      <c r="C247" s="14" t="n">
        <v>-547286.96</v>
      </c>
      <c r="D247" s="14" t="n">
        <v>-148970</v>
      </c>
      <c r="E247" s="14" t="n">
        <v>398316.96</v>
      </c>
      <c r="F247" s="14" t="n">
        <v>408040.12</v>
      </c>
      <c r="G247" s="14" t="n">
        <v>9521.819999999949</v>
      </c>
      <c r="H247" s="14" t="n">
        <v>-398518.3</v>
      </c>
      <c r="I247" s="14" t="n">
        <v>-139246.84</v>
      </c>
      <c r="J247" s="14" t="n">
        <v>-139448.1800000001</v>
      </c>
      <c r="K247" s="14" t="n">
        <v>-5.820766091346741e-11</v>
      </c>
      <c r="L247" s="8" t="b">
        <v>0</v>
      </c>
      <c r="M247" s="14" t="n">
        <v>0</v>
      </c>
      <c r="N247" s="19">
        <f>ROUND((J247-I247)-(K247+E247+H247),4)</f>
        <v/>
      </c>
    </row>
    <row r="248">
      <c r="A248" s="8" t="inlineStr">
        <is>
          <t>Жумабек кызы Умут</t>
        </is>
      </c>
      <c r="B248" s="8" t="inlineStr">
        <is>
          <t>2026-06</t>
        </is>
      </c>
      <c r="C248" s="14" t="n">
        <v>-148970</v>
      </c>
      <c r="D248" s="14" t="n">
        <v>-58266.26</v>
      </c>
      <c r="E248" s="14" t="n">
        <v>90703.73999999999</v>
      </c>
      <c r="F248" s="14" t="n">
        <v>9521.819999999949</v>
      </c>
      <c r="G248" s="14" t="n">
        <v>-109542.92</v>
      </c>
      <c r="H248" s="14" t="n">
        <v>-119064.74</v>
      </c>
      <c r="I248" s="14" t="n">
        <v>-139448.1800000001</v>
      </c>
      <c r="J248" s="14" t="n">
        <v>-167809.1800000001</v>
      </c>
      <c r="K248" s="14" t="n">
        <v>7.275957614183426e-12</v>
      </c>
      <c r="L248" s="8" t="b">
        <v>0</v>
      </c>
      <c r="M248" s="14" t="n">
        <v>0</v>
      </c>
      <c r="N248" s="19">
        <f>ROUND((J248-I248)-(K248+E248+H248),4)</f>
        <v/>
      </c>
    </row>
    <row r="249">
      <c r="A249" s="8" t="inlineStr">
        <is>
          <t>Жумабек кызы Умут</t>
        </is>
      </c>
      <c r="B249" s="8" t="inlineStr">
        <is>
          <t>2026-07</t>
        </is>
      </c>
      <c r="C249" s="14" t="n">
        <v>-58266.26</v>
      </c>
      <c r="D249" s="14" t="n">
        <v>-587623.33</v>
      </c>
      <c r="E249" s="14" t="n">
        <v>-529357.0699999999</v>
      </c>
      <c r="F249" s="14" t="n">
        <v>-109542.9200000003</v>
      </c>
      <c r="G249" s="14" t="n">
        <v>419814.1499999999</v>
      </c>
      <c r="H249" s="14" t="n">
        <v>529357.0700000002</v>
      </c>
      <c r="I249" s="14" t="n">
        <v>-167809.1800000003</v>
      </c>
      <c r="J249" s="14" t="n">
        <v>-167809.1800000001</v>
      </c>
      <c r="K249" s="14" t="n">
        <v>0</v>
      </c>
      <c r="L249" s="8" t="b">
        <v>0</v>
      </c>
      <c r="M249" s="14" t="n">
        <v>0</v>
      </c>
      <c r="N249" s="19">
        <f>ROUND((J249-I249)-(K249+E249+H249),4)</f>
        <v/>
      </c>
    </row>
    <row r="250">
      <c r="A250" s="8" t="inlineStr">
        <is>
          <t>ИП Абдылдаова У. О.</t>
        </is>
      </c>
      <c r="B250" s="8" t="inlineStr">
        <is>
          <t>2026-01</t>
        </is>
      </c>
      <c r="C250" s="14" t="n">
        <v>586183.4399999999</v>
      </c>
      <c r="D250" s="14" t="n">
        <v>406431.65</v>
      </c>
      <c r="E250" s="14" t="n">
        <v>-179751.79</v>
      </c>
      <c r="F250" s="14" t="n">
        <v>-586183.4399999999</v>
      </c>
      <c r="G250" s="14" t="n">
        <v>-756665.24</v>
      </c>
      <c r="H250" s="14" t="n">
        <v>-170481.8</v>
      </c>
      <c r="I250" s="14" t="n">
        <v>0</v>
      </c>
      <c r="J250" s="14" t="n">
        <v>-350233.59</v>
      </c>
      <c r="K250" s="14" t="n">
        <v>5.820766091346741e-11</v>
      </c>
      <c r="L250" s="8" t="b">
        <v>0</v>
      </c>
      <c r="M250" s="14" t="n">
        <v>0</v>
      </c>
      <c r="N250" s="19">
        <f>ROUND((J250-I250)-(K250+E250+H250),4)</f>
        <v/>
      </c>
    </row>
    <row r="251">
      <c r="A251" s="8" t="inlineStr">
        <is>
          <t>ИП Абдылдаова У. О.</t>
        </is>
      </c>
      <c r="B251" s="8" t="inlineStr">
        <is>
          <t>2026-02</t>
        </is>
      </c>
      <c r="C251" s="14" t="n">
        <v>406431.65</v>
      </c>
      <c r="D251" s="14" t="n">
        <v>598392.89</v>
      </c>
      <c r="E251" s="14" t="n">
        <v>191961.24</v>
      </c>
      <c r="F251" s="14" t="n">
        <v>-756665.2399999999</v>
      </c>
      <c r="G251" s="14" t="n">
        <v>-948577.8799999999</v>
      </c>
      <c r="H251" s="14" t="n">
        <v>-191912.64</v>
      </c>
      <c r="I251" s="14" t="n">
        <v>-350233.5899999999</v>
      </c>
      <c r="J251" s="14" t="n">
        <v>-350184.9899999999</v>
      </c>
      <c r="K251" s="14" t="n">
        <v>0</v>
      </c>
      <c r="L251" s="8" t="b">
        <v>0</v>
      </c>
      <c r="M251" s="14" t="n">
        <v>0</v>
      </c>
      <c r="N251" s="19">
        <f>ROUND((J251-I251)-(K251+E251+H251),4)</f>
        <v/>
      </c>
    </row>
    <row r="252">
      <c r="A252" s="8" t="inlineStr">
        <is>
          <t>ИП Абдылдаова У. О.</t>
        </is>
      </c>
      <c r="B252" s="8" t="inlineStr">
        <is>
          <t>2026-03</t>
        </is>
      </c>
      <c r="C252" s="14" t="n">
        <v>598392.89</v>
      </c>
      <c r="D252" s="14" t="n">
        <v>437037.29</v>
      </c>
      <c r="E252" s="14" t="n">
        <v>-161355.6</v>
      </c>
      <c r="F252" s="14" t="n">
        <v>-948577.88</v>
      </c>
      <c r="G252" s="14" t="n">
        <v>-787269.08</v>
      </c>
      <c r="H252" s="14" t="n">
        <v>161308.8</v>
      </c>
      <c r="I252" s="14" t="n">
        <v>-350184.99</v>
      </c>
      <c r="J252" s="14" t="n">
        <v>-350231.79</v>
      </c>
      <c r="K252" s="14" t="n">
        <v>-5.820766091346741e-11</v>
      </c>
      <c r="L252" s="8" t="b">
        <v>0</v>
      </c>
      <c r="M252" s="14" t="n">
        <v>0</v>
      </c>
      <c r="N252" s="19">
        <f>ROUND((J252-I252)-(K252+E252+H252),4)</f>
        <v/>
      </c>
    </row>
    <row r="253">
      <c r="A253" s="8" t="inlineStr">
        <is>
          <t>ИП Абдылдаова У. О.</t>
        </is>
      </c>
      <c r="B253" s="8" t="inlineStr">
        <is>
          <t>2026-04</t>
        </is>
      </c>
      <c r="C253" s="14" t="n">
        <v>437037.29</v>
      </c>
      <c r="D253" s="14" t="n">
        <v>749496.52</v>
      </c>
      <c r="E253" s="14" t="n">
        <v>312459.23</v>
      </c>
      <c r="F253" s="14" t="n">
        <v>-787269.0800000001</v>
      </c>
      <c r="G253" s="14" t="n">
        <v>-1099728.31</v>
      </c>
      <c r="H253" s="14" t="n">
        <v>-312459.23</v>
      </c>
      <c r="I253" s="14" t="n">
        <v>-350231.7900000001</v>
      </c>
      <c r="J253" s="14" t="n">
        <v>-350231.79</v>
      </c>
      <c r="K253" s="14" t="n">
        <v>0</v>
      </c>
      <c r="L253" s="8" t="b">
        <v>0</v>
      </c>
      <c r="M253" s="14" t="n">
        <v>0</v>
      </c>
      <c r="N253" s="19">
        <f>ROUND((J253-I253)-(K253+E253+H253),4)</f>
        <v/>
      </c>
    </row>
    <row r="254">
      <c r="A254" s="8" t="inlineStr">
        <is>
          <t>ИП Абдылдаова У. О.</t>
        </is>
      </c>
      <c r="B254" s="8" t="inlineStr">
        <is>
          <t>2026-05</t>
        </is>
      </c>
      <c r="C254" s="14" t="n">
        <v>749496.52</v>
      </c>
      <c r="D254" s="14" t="n">
        <v>1468701.36</v>
      </c>
      <c r="E254" s="14" t="n">
        <v>719204.84</v>
      </c>
      <c r="F254" s="14" t="n">
        <v>-1099728.31</v>
      </c>
      <c r="G254" s="14" t="n">
        <v>-1818933.15</v>
      </c>
      <c r="H254" s="14" t="n">
        <v>-719204.8400000002</v>
      </c>
      <c r="I254" s="14" t="n">
        <v>-350231.7899999996</v>
      </c>
      <c r="J254" s="14" t="n">
        <v>-350231.7899999998</v>
      </c>
      <c r="K254" s="14" t="n">
        <v>2.328306436538696e-10</v>
      </c>
      <c r="L254" s="8" t="b">
        <v>0</v>
      </c>
      <c r="M254" s="14" t="n">
        <v>0</v>
      </c>
      <c r="N254" s="19">
        <f>ROUND((J254-I254)-(K254+E254+H254),4)</f>
        <v/>
      </c>
    </row>
    <row r="255">
      <c r="A255" s="8" t="inlineStr">
        <is>
          <t>ИП Абдылдаова У. О.</t>
        </is>
      </c>
      <c r="B255" s="8" t="inlineStr">
        <is>
          <t>2026-06</t>
        </is>
      </c>
      <c r="C255" s="14" t="n">
        <v>1468701.36</v>
      </c>
      <c r="D255" s="14" t="n">
        <v>625987.6800000001</v>
      </c>
      <c r="E255" s="14" t="n">
        <v>-842713.6800000001</v>
      </c>
      <c r="F255" s="14" t="n">
        <v>-1818933.15</v>
      </c>
      <c r="G255" s="14" t="n">
        <v>-1342747.37</v>
      </c>
      <c r="H255" s="14" t="n">
        <v>476185.78</v>
      </c>
      <c r="I255" s="14" t="n">
        <v>-350231.7899999998</v>
      </c>
      <c r="J255" s="14" t="n">
        <v>-716759.6899999998</v>
      </c>
      <c r="K255" s="14" t="n">
        <v>0</v>
      </c>
      <c r="L255" s="8" t="b">
        <v>0</v>
      </c>
      <c r="M255" s="14" t="n">
        <v>0</v>
      </c>
      <c r="N255" s="19">
        <f>ROUND((J255-I255)-(K255+E255+H255),4)</f>
        <v/>
      </c>
    </row>
    <row r="256">
      <c r="A256" s="8" t="inlineStr">
        <is>
          <t>ИП Абдылдаова У. О.</t>
        </is>
      </c>
      <c r="B256" s="8" t="inlineStr">
        <is>
          <t>2026-07</t>
        </is>
      </c>
      <c r="C256" s="14" t="n">
        <v>625987.6800000001</v>
      </c>
      <c r="D256" s="14" t="n">
        <v>650355.6800000001</v>
      </c>
      <c r="E256" s="14" t="n">
        <v>24367.99999999999</v>
      </c>
      <c r="F256" s="14" t="n">
        <v>-1342747.37</v>
      </c>
      <c r="G256" s="14" t="n">
        <v>-1379753.77</v>
      </c>
      <c r="H256" s="14" t="n">
        <v>-37006.40000000001</v>
      </c>
      <c r="I256" s="14" t="n">
        <v>-716759.6900000001</v>
      </c>
      <c r="J256" s="14" t="n">
        <v>-729398.09</v>
      </c>
      <c r="K256" s="14" t="n">
        <v>0</v>
      </c>
      <c r="L256" s="8" t="b">
        <v>0</v>
      </c>
      <c r="M256" s="14" t="n">
        <v>0</v>
      </c>
      <c r="N256" s="19">
        <f>ROUND((J256-I256)-(K256+E256+H256),4)</f>
        <v/>
      </c>
    </row>
    <row r="257">
      <c r="A257" s="8" t="inlineStr">
        <is>
          <t>ИП Абдыраманова Ж. Д.</t>
        </is>
      </c>
      <c r="B257" s="8" t="inlineStr">
        <is>
          <t>2026-01</t>
        </is>
      </c>
      <c r="C257" s="14" t="n">
        <v>-212688.13</v>
      </c>
      <c r="D257" s="14" t="n">
        <v>77151.73</v>
      </c>
      <c r="E257" s="14" t="n">
        <v>289839.86</v>
      </c>
      <c r="F257" s="14" t="n">
        <v>212688.13</v>
      </c>
      <c r="G257" s="14" t="n">
        <v>-93062.60000000003</v>
      </c>
      <c r="H257" s="14" t="n">
        <v>-305750.73</v>
      </c>
      <c r="I257" s="14" t="n">
        <v>0</v>
      </c>
      <c r="J257" s="14" t="n">
        <v>-15910.87000000004</v>
      </c>
      <c r="K257" s="14" t="n">
        <v>1.455191522836685e-11</v>
      </c>
      <c r="L257" s="8" t="b">
        <v>0</v>
      </c>
      <c r="M257" s="14" t="n">
        <v>0</v>
      </c>
      <c r="N257" s="19">
        <f>ROUND((J257-I257)-(K257+E257+H257),4)</f>
        <v/>
      </c>
    </row>
    <row r="258">
      <c r="A258" s="8" t="inlineStr">
        <is>
          <t>ИП Абдыраманова Ж. Д.</t>
        </is>
      </c>
      <c r="B258" s="8" t="inlineStr">
        <is>
          <t>2026-02</t>
        </is>
      </c>
      <c r="C258" s="14" t="n">
        <v>77151.73</v>
      </c>
      <c r="D258" s="14" t="n">
        <v>-89768.25</v>
      </c>
      <c r="E258" s="14" t="n">
        <v>-166919.98</v>
      </c>
      <c r="F258" s="14" t="n">
        <v>-93062.60000000001</v>
      </c>
      <c r="G258" s="14" t="n">
        <v>73857.37999999998</v>
      </c>
      <c r="H258" s="14" t="n">
        <v>166919.98</v>
      </c>
      <c r="I258" s="14" t="n">
        <v>-15910.87000000001</v>
      </c>
      <c r="J258" s="14" t="n">
        <v>-15910.87000000002</v>
      </c>
      <c r="K258" s="14" t="n">
        <v>-1.455191522836685e-11</v>
      </c>
      <c r="L258" s="8" t="b">
        <v>0</v>
      </c>
      <c r="M258" s="14" t="n">
        <v>0</v>
      </c>
      <c r="N258" s="19">
        <f>ROUND((J258-I258)-(K258+E258+H258),4)</f>
        <v/>
      </c>
    </row>
    <row r="259">
      <c r="A259" s="8" t="inlineStr">
        <is>
          <t>ИП Абдыраманова Ж. Д.</t>
        </is>
      </c>
      <c r="B259" s="8" t="inlineStr">
        <is>
          <t>2026-03</t>
        </is>
      </c>
      <c r="C259" s="14" t="n">
        <v>-89768.25</v>
      </c>
      <c r="D259" s="14" t="n">
        <v>111765.65</v>
      </c>
      <c r="E259" s="14" t="n">
        <v>201533.9</v>
      </c>
      <c r="F259" s="14" t="n">
        <v>73857.38</v>
      </c>
      <c r="G259" s="14" t="n">
        <v>-95421.71000000002</v>
      </c>
      <c r="H259" s="14" t="n">
        <v>-169279.09</v>
      </c>
      <c r="I259" s="14" t="n">
        <v>-15910.87</v>
      </c>
      <c r="J259" s="14" t="n">
        <v>16343.93999999997</v>
      </c>
      <c r="K259" s="14" t="n">
        <v>-2.91038304567337e-11</v>
      </c>
      <c r="L259" s="8" t="b">
        <v>0</v>
      </c>
      <c r="M259" s="14" t="n">
        <v>0</v>
      </c>
      <c r="N259" s="19">
        <f>ROUND((J259-I259)-(K259+E259+H259),4)</f>
        <v/>
      </c>
    </row>
    <row r="260">
      <c r="A260" s="8" t="inlineStr">
        <is>
          <t>ИП Абдыраманова Ж. Д.</t>
        </is>
      </c>
      <c r="B260" s="8" t="inlineStr">
        <is>
          <t>2026-04</t>
        </is>
      </c>
      <c r="C260" s="14" t="n">
        <v>111765.65</v>
      </c>
      <c r="D260" s="14" t="n">
        <v>444126.54</v>
      </c>
      <c r="E260" s="14" t="n">
        <v>332360.89</v>
      </c>
      <c r="F260" s="14" t="n">
        <v>-95421.70999999996</v>
      </c>
      <c r="G260" s="14" t="n">
        <v>-427782.6</v>
      </c>
      <c r="H260" s="14" t="n">
        <v>-332360.89</v>
      </c>
      <c r="I260" s="14" t="n">
        <v>16343.94000000003</v>
      </c>
      <c r="J260" s="14" t="n">
        <v>16343.94</v>
      </c>
      <c r="K260" s="14" t="n">
        <v>-5.820766091346741e-11</v>
      </c>
      <c r="L260" s="8" t="b">
        <v>0</v>
      </c>
      <c r="M260" s="14" t="n">
        <v>0</v>
      </c>
      <c r="N260" s="19">
        <f>ROUND((J260-I260)-(K260+E260+H260),4)</f>
        <v/>
      </c>
    </row>
    <row r="261">
      <c r="A261" s="8" t="inlineStr">
        <is>
          <t>ИП Абдыраманова Ж. Д.</t>
        </is>
      </c>
      <c r="B261" s="8" t="inlineStr">
        <is>
          <t>2026-05</t>
        </is>
      </c>
      <c r="C261" s="14" t="n">
        <v>444126.54</v>
      </c>
      <c r="D261" s="14" t="n">
        <v>-451765.53</v>
      </c>
      <c r="E261" s="14" t="n">
        <v>-895892.0699999999</v>
      </c>
      <c r="F261" s="14" t="n">
        <v>-427782.6</v>
      </c>
      <c r="G261" s="14" t="n">
        <v>468109.47</v>
      </c>
      <c r="H261" s="14" t="n">
        <v>895892.0699999999</v>
      </c>
      <c r="I261" s="14" t="n">
        <v>16343.94</v>
      </c>
      <c r="J261" s="14" t="n">
        <v>16343.93999999994</v>
      </c>
      <c r="K261" s="14" t="n">
        <v>-5.820766091346741e-11</v>
      </c>
      <c r="L261" s="8" t="b">
        <v>0</v>
      </c>
      <c r="M261" s="14" t="n">
        <v>0</v>
      </c>
      <c r="N261" s="19">
        <f>ROUND((J261-I261)-(K261+E261+H261),4)</f>
        <v/>
      </c>
    </row>
    <row r="262">
      <c r="A262" s="8" t="inlineStr">
        <is>
          <t>ИП Абдыраманова Ж. Д.</t>
        </is>
      </c>
      <c r="B262" s="8" t="inlineStr">
        <is>
          <t>2026-06</t>
        </is>
      </c>
      <c r="C262" s="14" t="n">
        <v>-451765.53</v>
      </c>
      <c r="D262" s="14" t="n">
        <v>-489424.35</v>
      </c>
      <c r="E262" s="14" t="n">
        <v>-37658.82000000001</v>
      </c>
      <c r="F262" s="14" t="n">
        <v>468109.47</v>
      </c>
      <c r="G262" s="14" t="n">
        <v>583061.73</v>
      </c>
      <c r="H262" s="14" t="n">
        <v>114952.26</v>
      </c>
      <c r="I262" s="14" t="n">
        <v>16343.93999999994</v>
      </c>
      <c r="J262" s="14" t="n">
        <v>93637.38</v>
      </c>
      <c r="K262" s="14" t="n">
        <v>5.820766091346741e-11</v>
      </c>
      <c r="L262" s="8" t="b">
        <v>0</v>
      </c>
      <c r="M262" s="14" t="n">
        <v>0</v>
      </c>
      <c r="N262" s="19">
        <f>ROUND((J262-I262)-(K262+E262+H262),4)</f>
        <v/>
      </c>
    </row>
    <row r="263">
      <c r="A263" s="8" t="inlineStr">
        <is>
          <t>ИП Абдыраманова Ж. Д.</t>
        </is>
      </c>
      <c r="B263" s="8" t="inlineStr">
        <is>
          <t>2026-07</t>
        </is>
      </c>
      <c r="C263" s="14" t="n">
        <v>-489424.35</v>
      </c>
      <c r="D263" s="14" t="n">
        <v>-147422.86</v>
      </c>
      <c r="E263" s="14" t="n">
        <v>342001.49</v>
      </c>
      <c r="F263" s="14" t="n">
        <v>583061.73</v>
      </c>
      <c r="G263" s="14" t="n">
        <v>90318.23999999985</v>
      </c>
      <c r="H263" s="14" t="n">
        <v>-492743.4900000002</v>
      </c>
      <c r="I263" s="14" t="n">
        <v>93637.38</v>
      </c>
      <c r="J263" s="14" t="n">
        <v>-57104.62000000014</v>
      </c>
      <c r="K263" s="14" t="n">
        <v>0</v>
      </c>
      <c r="L263" s="8" t="b">
        <v>0</v>
      </c>
      <c r="M263" s="14" t="n">
        <v>0</v>
      </c>
      <c r="N263" s="19">
        <f>ROUND((J263-I263)-(K263+E263+H263),4)</f>
        <v/>
      </c>
    </row>
    <row r="264">
      <c r="A264" s="8" t="inlineStr">
        <is>
          <t>ИП Асанов К. Б.</t>
        </is>
      </c>
      <c r="B264" s="8" t="inlineStr">
        <is>
          <t>2026-01</t>
        </is>
      </c>
      <c r="C264" s="14" t="n">
        <v>0</v>
      </c>
      <c r="D264" s="14" t="n">
        <v>-50110.52</v>
      </c>
      <c r="E264" s="14" t="n">
        <v>-50110.51999999999</v>
      </c>
      <c r="F264" s="14" t="n">
        <v>0</v>
      </c>
      <c r="G264" s="14" t="n">
        <v>50102.13</v>
      </c>
      <c r="H264" s="14" t="n">
        <v>50102.13</v>
      </c>
      <c r="I264" s="14" t="n">
        <v>0</v>
      </c>
      <c r="J264" s="14" t="n">
        <v>-8.389999999992142</v>
      </c>
      <c r="K264" s="14" t="n">
        <v>-7.275957614183426e-12</v>
      </c>
      <c r="L264" s="8" t="b">
        <v>0</v>
      </c>
      <c r="M264" s="14" t="n">
        <v>0</v>
      </c>
      <c r="N264" s="19">
        <f>ROUND((J264-I264)-(K264+E264+H264),4)</f>
        <v/>
      </c>
    </row>
    <row r="265">
      <c r="A265" s="8" t="inlineStr">
        <is>
          <t>ИП Асанов К. Б.</t>
        </is>
      </c>
      <c r="B265" s="8" t="inlineStr">
        <is>
          <t>2026-03</t>
        </is>
      </c>
      <c r="C265" s="14" t="n">
        <v>-37243.37</v>
      </c>
      <c r="D265" s="14" t="n">
        <v>-129168.64</v>
      </c>
      <c r="E265" s="14" t="n">
        <v>-91925.27000000002</v>
      </c>
      <c r="F265" s="14" t="n">
        <v>34534.97999999989</v>
      </c>
      <c r="G265" s="14" t="n">
        <v>126108.5099999999</v>
      </c>
      <c r="H265" s="14" t="n">
        <v>91573.53000000003</v>
      </c>
      <c r="I265" s="14" t="n">
        <v>-2708.390000000109</v>
      </c>
      <c r="J265" s="14" t="n">
        <v>-3060.130000000077</v>
      </c>
      <c r="K265" s="14" t="n">
        <v>1.455191522836685e-11</v>
      </c>
      <c r="L265" s="8" t="b">
        <v>0</v>
      </c>
      <c r="M265" s="14" t="n">
        <v>12867.14999999999</v>
      </c>
      <c r="N265" s="19">
        <f>ROUND((J265-I265)-(K265+E265+H265),4)</f>
        <v/>
      </c>
    </row>
    <row r="266">
      <c r="A266" s="8" t="inlineStr">
        <is>
          <t>ИП Асанов К. Б.</t>
        </is>
      </c>
      <c r="B266" s="8" t="inlineStr">
        <is>
          <t>2026-04</t>
        </is>
      </c>
      <c r="C266" s="14" t="n">
        <v>-129168.64</v>
      </c>
      <c r="D266" s="14" t="n">
        <v>-804803.14</v>
      </c>
      <c r="E266" s="14" t="n">
        <v>-675634.5</v>
      </c>
      <c r="F266" s="14" t="n">
        <v>126108.5099999998</v>
      </c>
      <c r="G266" s="14" t="n">
        <v>801743.0099999998</v>
      </c>
      <c r="H266" s="14" t="n">
        <v>675634.5</v>
      </c>
      <c r="I266" s="14" t="n">
        <v>-3060.130000000223</v>
      </c>
      <c r="J266" s="14" t="n">
        <v>-3060.130000000237</v>
      </c>
      <c r="K266" s="14" t="n">
        <v>0</v>
      </c>
      <c r="L266" s="8" t="b">
        <v>0</v>
      </c>
      <c r="M266" s="14" t="n">
        <v>0</v>
      </c>
      <c r="N266" s="19">
        <f>ROUND((J266-I266)-(K266+E266+H266),4)</f>
        <v/>
      </c>
    </row>
    <row r="267">
      <c r="A267" s="8" t="inlineStr">
        <is>
          <t>ИП Асанов К. Б.</t>
        </is>
      </c>
      <c r="B267" s="8" t="inlineStr">
        <is>
          <t>2026-05</t>
        </is>
      </c>
      <c r="C267" s="14" t="n">
        <v>-804803.14</v>
      </c>
      <c r="D267" s="14" t="n">
        <v>-1399552.45</v>
      </c>
      <c r="E267" s="14" t="n">
        <v>-594749.3100000001</v>
      </c>
      <c r="F267" s="14" t="n">
        <v>801743.0099999998</v>
      </c>
      <c r="G267" s="14" t="n">
        <v>1396492.32</v>
      </c>
      <c r="H267" s="14" t="n">
        <v>594749.3100000001</v>
      </c>
      <c r="I267" s="14" t="n">
        <v>-3060.130000000237</v>
      </c>
      <c r="J267" s="14" t="n">
        <v>-3060.130000000121</v>
      </c>
      <c r="K267" s="14" t="n">
        <v>2.328306436538696e-10</v>
      </c>
      <c r="L267" s="8" t="b">
        <v>0</v>
      </c>
      <c r="M267" s="14" t="n">
        <v>0</v>
      </c>
      <c r="N267" s="19">
        <f>ROUND((J267-I267)-(K267+E267+H267),4)</f>
        <v/>
      </c>
    </row>
    <row r="268">
      <c r="A268" s="8" t="inlineStr">
        <is>
          <t>ИП Асанов К. Б.</t>
        </is>
      </c>
      <c r="B268" s="8" t="inlineStr">
        <is>
          <t>2026-06</t>
        </is>
      </c>
      <c r="C268" s="14" t="n">
        <v>-1399552.45</v>
      </c>
      <c r="D268" s="14" t="n">
        <v>-732350.47</v>
      </c>
      <c r="E268" s="14" t="n">
        <v>667201.98</v>
      </c>
      <c r="F268" s="14" t="n">
        <v>1396492.32</v>
      </c>
      <c r="G268" s="14" t="n">
        <v>441816.4699999997</v>
      </c>
      <c r="H268" s="14" t="n">
        <v>-954675.85</v>
      </c>
      <c r="I268" s="14" t="n">
        <v>-3060.130000000121</v>
      </c>
      <c r="J268" s="14" t="n">
        <v>-290534.0000000002</v>
      </c>
      <c r="K268" s="14" t="n">
        <v>0</v>
      </c>
      <c r="L268" s="8" t="b">
        <v>0</v>
      </c>
      <c r="M268" s="14" t="n">
        <v>0</v>
      </c>
      <c r="N268" s="19">
        <f>ROUND((J268-I268)-(K268+E268+H268),4)</f>
        <v/>
      </c>
    </row>
    <row r="269">
      <c r="A269" s="8" t="inlineStr">
        <is>
          <t>ИП Асанов К. Б.</t>
        </is>
      </c>
      <c r="B269" s="8" t="inlineStr">
        <is>
          <t>2026-07</t>
        </is>
      </c>
      <c r="C269" s="14" t="n">
        <v>-732350.47</v>
      </c>
      <c r="D269" s="14" t="n">
        <v>-572473.15</v>
      </c>
      <c r="E269" s="14" t="n">
        <v>159877.32</v>
      </c>
      <c r="F269" s="14" t="n">
        <v>441816.4699999999</v>
      </c>
      <c r="G269" s="14" t="n">
        <v>242578.8099999999</v>
      </c>
      <c r="H269" s="14" t="n">
        <v>-199237.66</v>
      </c>
      <c r="I269" s="14" t="n">
        <v>-290534.0000000001</v>
      </c>
      <c r="J269" s="14" t="n">
        <v>-329894.3400000001</v>
      </c>
      <c r="K269" s="14" t="n">
        <v>-1.164153218269348e-10</v>
      </c>
      <c r="L269" s="8" t="b">
        <v>0</v>
      </c>
      <c r="M269" s="14" t="n">
        <v>0</v>
      </c>
      <c r="N269" s="19">
        <f>ROUND((J269-I269)-(K269+E269+H269),4)</f>
        <v/>
      </c>
    </row>
    <row r="270">
      <c r="A270" s="8" t="inlineStr">
        <is>
          <t>ИП Бейшенова Д. О.</t>
        </is>
      </c>
      <c r="B270" s="8" t="inlineStr">
        <is>
          <t>2026-01</t>
        </is>
      </c>
      <c r="C270" s="14" t="n">
        <v>0</v>
      </c>
      <c r="D270" s="14" t="n">
        <v>424575.31</v>
      </c>
      <c r="E270" s="14" t="n">
        <v>424575.31</v>
      </c>
      <c r="F270" s="14" t="n">
        <v>0</v>
      </c>
      <c r="G270" s="14" t="n">
        <v>-449377.3100000001</v>
      </c>
      <c r="H270" s="14" t="n">
        <v>-449377.3100000001</v>
      </c>
      <c r="I270" s="14" t="n">
        <v>0</v>
      </c>
      <c r="J270" s="14" t="n">
        <v>-24802.00000000006</v>
      </c>
      <c r="K270" s="14" t="n">
        <v>0</v>
      </c>
      <c r="L270" s="8" t="b">
        <v>0</v>
      </c>
      <c r="M270" s="14" t="n">
        <v>0</v>
      </c>
      <c r="N270" s="19">
        <f>ROUND((J270-I270)-(K270+E270+H270),4)</f>
        <v/>
      </c>
    </row>
    <row r="271">
      <c r="A271" s="8" t="inlineStr">
        <is>
          <t>ИП Бейшенова Д. О.</t>
        </is>
      </c>
      <c r="B271" s="8" t="inlineStr">
        <is>
          <t>2026-02</t>
        </is>
      </c>
      <c r="C271" s="14" t="n">
        <v>424575.31</v>
      </c>
      <c r="D271" s="14" t="n">
        <v>802644.47</v>
      </c>
      <c r="E271" s="14" t="n">
        <v>378069.1599999999</v>
      </c>
      <c r="F271" s="14" t="n">
        <v>-449377.3100000001</v>
      </c>
      <c r="G271" s="14" t="n">
        <v>-902080.21</v>
      </c>
      <c r="H271" s="14" t="n">
        <v>-452702.8999999999</v>
      </c>
      <c r="I271" s="14" t="n">
        <v>-24802.00000000006</v>
      </c>
      <c r="J271" s="14" t="n">
        <v>-99435.73999999999</v>
      </c>
      <c r="K271" s="14" t="n">
        <v>0</v>
      </c>
      <c r="L271" s="8" t="b">
        <v>0</v>
      </c>
      <c r="M271" s="14" t="n">
        <v>0</v>
      </c>
      <c r="N271" s="19">
        <f>ROUND((J271-I271)-(K271+E271+H271),4)</f>
        <v/>
      </c>
    </row>
    <row r="272">
      <c r="A272" s="8" t="inlineStr">
        <is>
          <t>ИП Бейшенова Д. О.</t>
        </is>
      </c>
      <c r="B272" s="8" t="inlineStr">
        <is>
          <t>2026-03</t>
        </is>
      </c>
      <c r="C272" s="14" t="n">
        <v>802644.47</v>
      </c>
      <c r="D272" s="14" t="n">
        <v>311606.32</v>
      </c>
      <c r="E272" s="14" t="n">
        <v>-491038.15</v>
      </c>
      <c r="F272" s="14" t="n">
        <v>-902080.21</v>
      </c>
      <c r="G272" s="14" t="n">
        <v>22815.54000000004</v>
      </c>
      <c r="H272" s="14" t="n">
        <v>924895.75</v>
      </c>
      <c r="I272" s="14" t="n">
        <v>-99435.73999999999</v>
      </c>
      <c r="J272" s="14" t="n">
        <v>334421.86</v>
      </c>
      <c r="K272" s="14" t="n">
        <v>5.820766091346741e-11</v>
      </c>
      <c r="L272" s="8" t="b">
        <v>0</v>
      </c>
      <c r="M272" s="14" t="n">
        <v>0</v>
      </c>
      <c r="N272" s="19">
        <f>ROUND((J272-I272)-(K272+E272+H272),4)</f>
        <v/>
      </c>
    </row>
    <row r="273">
      <c r="A273" s="8" t="inlineStr">
        <is>
          <t>ИП Бейшенова Д. О.</t>
        </is>
      </c>
      <c r="B273" s="8" t="inlineStr">
        <is>
          <t>2026-04</t>
        </is>
      </c>
      <c r="C273" s="14" t="n">
        <v>311606.32</v>
      </c>
      <c r="D273" s="14" t="n">
        <v>751054.23</v>
      </c>
      <c r="E273" s="14" t="n">
        <v>439447.91</v>
      </c>
      <c r="F273" s="14" t="n">
        <v>22815.5400000001</v>
      </c>
      <c r="G273" s="14" t="n">
        <v>-416599.0199999998</v>
      </c>
      <c r="H273" s="14" t="n">
        <v>-439414.5599999999</v>
      </c>
      <c r="I273" s="14" t="n">
        <v>334421.8600000001</v>
      </c>
      <c r="J273" s="14" t="n">
        <v>334455.2100000001</v>
      </c>
      <c r="K273" s="14" t="n">
        <v>0</v>
      </c>
      <c r="L273" s="8" t="b">
        <v>0</v>
      </c>
      <c r="M273" s="14" t="n">
        <v>0</v>
      </c>
      <c r="N273" s="19">
        <f>ROUND((J273-I273)-(K273+E273+H273),4)</f>
        <v/>
      </c>
    </row>
    <row r="274">
      <c r="A274" s="8" t="inlineStr">
        <is>
          <t>ИП Бейшенова Д. О.</t>
        </is>
      </c>
      <c r="B274" s="8" t="inlineStr">
        <is>
          <t>2026-05</t>
        </is>
      </c>
      <c r="C274" s="14" t="n">
        <v>751054.23</v>
      </c>
      <c r="D274" s="14" t="n">
        <v>501626.66</v>
      </c>
      <c r="E274" s="14" t="n">
        <v>-249427.57</v>
      </c>
      <c r="F274" s="14" t="n">
        <v>-416599.0200000001</v>
      </c>
      <c r="G274" s="14" t="n">
        <v>-613847.4500000001</v>
      </c>
      <c r="H274" s="14" t="n">
        <v>-197248.43</v>
      </c>
      <c r="I274" s="14" t="n">
        <v>334455.2099999999</v>
      </c>
      <c r="J274" s="14" t="n">
        <v>-112220.7900000001</v>
      </c>
      <c r="K274" s="14" t="n">
        <v>5.820766091346741e-11</v>
      </c>
      <c r="L274" s="8" t="b">
        <v>0</v>
      </c>
      <c r="M274" s="14" t="n">
        <v>0</v>
      </c>
      <c r="N274" s="19">
        <f>ROUND((J274-I274)-(K274+E274+H274),4)</f>
        <v/>
      </c>
    </row>
    <row r="275">
      <c r="A275" s="8" t="inlineStr">
        <is>
          <t>ИП Бейшенова Д. О.</t>
        </is>
      </c>
      <c r="B275" s="8" t="inlineStr">
        <is>
          <t>2026-06</t>
        </is>
      </c>
      <c r="C275" s="14" t="n">
        <v>501626.66</v>
      </c>
      <c r="D275" s="14" t="n">
        <v>-425341.85</v>
      </c>
      <c r="E275" s="14" t="n">
        <v>-926968.51</v>
      </c>
      <c r="F275" s="14" t="n">
        <v>-613847.4500000001</v>
      </c>
      <c r="G275" s="14" t="n">
        <v>83643.53999999992</v>
      </c>
      <c r="H275" s="14" t="n">
        <v>697490.99</v>
      </c>
      <c r="I275" s="14" t="n">
        <v>-112220.7900000001</v>
      </c>
      <c r="J275" s="14" t="n">
        <v>-341698.3100000001</v>
      </c>
      <c r="K275" s="14" t="n">
        <v>5.820766091346741e-11</v>
      </c>
      <c r="L275" s="8" t="b">
        <v>0</v>
      </c>
      <c r="M275" s="14" t="n">
        <v>0</v>
      </c>
      <c r="N275" s="19">
        <f>ROUND((J275-I275)-(K275+E275+H275),4)</f>
        <v/>
      </c>
    </row>
    <row r="276">
      <c r="A276" s="8" t="inlineStr">
        <is>
          <t>ИП Бейшенова Д. О.</t>
        </is>
      </c>
      <c r="B276" s="8" t="inlineStr">
        <is>
          <t>2026-07</t>
        </is>
      </c>
      <c r="C276" s="14" t="n">
        <v>-425341.85</v>
      </c>
      <c r="D276" s="14" t="n">
        <v>-53865.04</v>
      </c>
      <c r="E276" s="14" t="n">
        <v>371476.81</v>
      </c>
      <c r="F276" s="14" t="n">
        <v>83643.54000000004</v>
      </c>
      <c r="G276" s="14" t="n">
        <v>-323536.4399999998</v>
      </c>
      <c r="H276" s="14" t="n">
        <v>-407179.9799999999</v>
      </c>
      <c r="I276" s="14" t="n">
        <v>-341698.3099999999</v>
      </c>
      <c r="J276" s="14" t="n">
        <v>-377401.4799999998</v>
      </c>
      <c r="K276" s="14" t="n">
        <v>-2.182787284255028e-11</v>
      </c>
      <c r="L276" s="8" t="b">
        <v>0</v>
      </c>
      <c r="M276" s="14" t="n">
        <v>0</v>
      </c>
      <c r="N276" s="19">
        <f>ROUND((J276-I276)-(K276+E276+H276),4)</f>
        <v/>
      </c>
    </row>
    <row r="277">
      <c r="A277" s="8" t="inlineStr">
        <is>
          <t>ИП Джолдошов Д. У.</t>
        </is>
      </c>
      <c r="B277" s="8" t="inlineStr">
        <is>
          <t>2026-01</t>
        </is>
      </c>
      <c r="C277" s="14" t="n">
        <v>896343.14</v>
      </c>
      <c r="D277" s="14" t="n">
        <v>851355.47</v>
      </c>
      <c r="E277" s="14" t="n">
        <v>-44987.66999999998</v>
      </c>
      <c r="F277" s="14" t="n">
        <v>-896343.1399999999</v>
      </c>
      <c r="G277" s="14" t="n">
        <v>-1071555.47</v>
      </c>
      <c r="H277" s="14" t="n">
        <v>-175212.33</v>
      </c>
      <c r="I277" s="14" t="n">
        <v>1.164153218269348e-10</v>
      </c>
      <c r="J277" s="14" t="n">
        <v>-220200</v>
      </c>
      <c r="K277" s="14" t="n">
        <v>0</v>
      </c>
      <c r="L277" s="8" t="b">
        <v>0</v>
      </c>
      <c r="M277" s="14" t="n">
        <v>0</v>
      </c>
      <c r="N277" s="19">
        <f>ROUND((J277-I277)-(K277+E277+H277),4)</f>
        <v/>
      </c>
    </row>
    <row r="278">
      <c r="A278" s="8" t="inlineStr">
        <is>
          <t>ИП Джолдошов Д. У.</t>
        </is>
      </c>
      <c r="B278" s="8" t="inlineStr">
        <is>
          <t>2026-02</t>
        </is>
      </c>
      <c r="C278" s="14" t="n">
        <v>851355.47</v>
      </c>
      <c r="D278" s="14" t="n">
        <v>1018875.78</v>
      </c>
      <c r="E278" s="14" t="n">
        <v>167520.31</v>
      </c>
      <c r="F278" s="14" t="n">
        <v>-1071555.47</v>
      </c>
      <c r="G278" s="14" t="n">
        <v>-1239075.78</v>
      </c>
      <c r="H278" s="14" t="n">
        <v>-167520.31</v>
      </c>
      <c r="I278" s="14" t="n">
        <v>-220200</v>
      </c>
      <c r="J278" s="14" t="n">
        <v>-220200</v>
      </c>
      <c r="K278" s="14" t="n">
        <v>0</v>
      </c>
      <c r="L278" s="8" t="b">
        <v>0</v>
      </c>
      <c r="M278" s="14" t="n">
        <v>0</v>
      </c>
      <c r="N278" s="19">
        <f>ROUND((J278-I278)-(K278+E278+H278),4)</f>
        <v/>
      </c>
    </row>
    <row r="279">
      <c r="A279" s="8" t="inlineStr">
        <is>
          <t>ИП Джолдошов Д. У.</t>
        </is>
      </c>
      <c r="B279" s="8" t="inlineStr">
        <is>
          <t>2026-03</t>
        </is>
      </c>
      <c r="C279" s="14" t="n">
        <v>1018875.78</v>
      </c>
      <c r="D279" s="14" t="n">
        <v>1219232.77</v>
      </c>
      <c r="E279" s="14" t="n">
        <v>200356.99</v>
      </c>
      <c r="F279" s="14" t="n">
        <v>-1239075.78</v>
      </c>
      <c r="G279" s="14" t="n">
        <v>-1443701.27</v>
      </c>
      <c r="H279" s="14" t="n">
        <v>-204625.49</v>
      </c>
      <c r="I279" s="14" t="n">
        <v>-220200</v>
      </c>
      <c r="J279" s="14" t="n">
        <v>-224468.5</v>
      </c>
      <c r="K279" s="14" t="n">
        <v>0</v>
      </c>
      <c r="L279" s="8" t="b">
        <v>0</v>
      </c>
      <c r="M279" s="14" t="n">
        <v>0</v>
      </c>
      <c r="N279" s="19">
        <f>ROUND((J279-I279)-(K279+E279+H279),4)</f>
        <v/>
      </c>
    </row>
    <row r="280">
      <c r="A280" s="8" t="inlineStr">
        <is>
          <t>ИП Джолдошов Д. У.</t>
        </is>
      </c>
      <c r="B280" s="8" t="inlineStr">
        <is>
          <t>2026-04</t>
        </is>
      </c>
      <c r="C280" s="14" t="n">
        <v>1219232.77</v>
      </c>
      <c r="D280" s="14" t="n">
        <v>917842.52</v>
      </c>
      <c r="E280" s="14" t="n">
        <v>-301390.25</v>
      </c>
      <c r="F280" s="14" t="n">
        <v>-1443701.27</v>
      </c>
      <c r="G280" s="14" t="n">
        <v>-1298211.02</v>
      </c>
      <c r="H280" s="14" t="n">
        <v>145490.25</v>
      </c>
      <c r="I280" s="14" t="n">
        <v>-224468.5</v>
      </c>
      <c r="J280" s="14" t="n">
        <v>-380368.5</v>
      </c>
      <c r="K280" s="14" t="n">
        <v>0</v>
      </c>
      <c r="L280" s="8" t="b">
        <v>0</v>
      </c>
      <c r="M280" s="14" t="n">
        <v>0</v>
      </c>
      <c r="N280" s="19">
        <f>ROUND((J280-I280)-(K280+E280+H280),4)</f>
        <v/>
      </c>
    </row>
    <row r="281">
      <c r="A281" s="8" t="inlineStr">
        <is>
          <t>ИП Джолдошов Д. У.</t>
        </is>
      </c>
      <c r="B281" s="8" t="inlineStr">
        <is>
          <t>2026-05</t>
        </is>
      </c>
      <c r="C281" s="14" t="n">
        <v>917842.52</v>
      </c>
      <c r="D281" s="14" t="n">
        <v>1214156.94</v>
      </c>
      <c r="E281" s="14" t="n">
        <v>296314.42</v>
      </c>
      <c r="F281" s="14" t="n">
        <v>-1298211.02</v>
      </c>
      <c r="G281" s="14" t="n">
        <v>-1754325.44</v>
      </c>
      <c r="H281" s="14" t="n">
        <v>-456114.4199999999</v>
      </c>
      <c r="I281" s="14" t="n">
        <v>-380368.5</v>
      </c>
      <c r="J281" s="14" t="n">
        <v>-540168.5</v>
      </c>
      <c r="K281" s="14" t="n">
        <v>0</v>
      </c>
      <c r="L281" s="8" t="b">
        <v>0</v>
      </c>
      <c r="M281" s="14" t="n">
        <v>0</v>
      </c>
      <c r="N281" s="19">
        <f>ROUND((J281-I281)-(K281+E281+H281),4)</f>
        <v/>
      </c>
    </row>
    <row r="282">
      <c r="A282" s="8" t="inlineStr">
        <is>
          <t>ИП Джолдошов Д. У.</t>
        </is>
      </c>
      <c r="B282" s="8" t="inlineStr">
        <is>
          <t>2026-06</t>
        </is>
      </c>
      <c r="C282" s="14" t="n">
        <v>1214156.94</v>
      </c>
      <c r="D282" s="14" t="n">
        <v>954946.71</v>
      </c>
      <c r="E282" s="14" t="n">
        <v>-259210.23</v>
      </c>
      <c r="F282" s="14" t="n">
        <v>-1754325.44</v>
      </c>
      <c r="G282" s="14" t="n">
        <v>-1495115.21</v>
      </c>
      <c r="H282" s="14" t="n">
        <v>259210.2299999999</v>
      </c>
      <c r="I282" s="14" t="n">
        <v>-540168.5</v>
      </c>
      <c r="J282" s="14" t="n">
        <v>-540168.5</v>
      </c>
      <c r="K282" s="14" t="n">
        <v>0</v>
      </c>
      <c r="L282" s="8" t="b">
        <v>0</v>
      </c>
      <c r="M282" s="14" t="n">
        <v>0</v>
      </c>
      <c r="N282" s="19">
        <f>ROUND((J282-I282)-(K282+E282+H282),4)</f>
        <v/>
      </c>
    </row>
    <row r="283">
      <c r="A283" s="8" t="inlineStr">
        <is>
          <t>ИП Джолдошов Д. У.</t>
        </is>
      </c>
      <c r="B283" s="8" t="inlineStr">
        <is>
          <t>2026-07</t>
        </is>
      </c>
      <c r="C283" s="14" t="n">
        <v>954946.71</v>
      </c>
      <c r="D283" s="14" t="n">
        <v>953028.45</v>
      </c>
      <c r="E283" s="14" t="n">
        <v>-1918.260000000009</v>
      </c>
      <c r="F283" s="14" t="n">
        <v>-1495115.21</v>
      </c>
      <c r="G283" s="14" t="n">
        <v>-1486264.95</v>
      </c>
      <c r="H283" s="14" t="n">
        <v>8850.260000000024</v>
      </c>
      <c r="I283" s="14" t="n">
        <v>-540168.5000000002</v>
      </c>
      <c r="J283" s="14" t="n">
        <v>-533236.5000000002</v>
      </c>
      <c r="K283" s="14" t="n">
        <v>0</v>
      </c>
      <c r="L283" s="8" t="b">
        <v>0</v>
      </c>
      <c r="M283" s="14" t="n">
        <v>0</v>
      </c>
      <c r="N283" s="19">
        <f>ROUND((J283-I283)-(K283+E283+H283),4)</f>
        <v/>
      </c>
    </row>
    <row r="284">
      <c r="A284" s="8" t="inlineStr">
        <is>
          <t>ИП Жумабекова Б. Н.</t>
        </is>
      </c>
      <c r="B284" s="8" t="inlineStr">
        <is>
          <t>2026-01</t>
        </is>
      </c>
      <c r="C284" s="14" t="n">
        <v>-156167.01</v>
      </c>
      <c r="D284" s="14" t="n">
        <v>-182280.87</v>
      </c>
      <c r="E284" s="14" t="n">
        <v>-26113.86</v>
      </c>
      <c r="F284" s="14" t="n">
        <v>156167.01</v>
      </c>
      <c r="G284" s="14" t="n">
        <v>198240.13</v>
      </c>
      <c r="H284" s="14" t="n">
        <v>42073.12</v>
      </c>
      <c r="I284" s="14" t="n">
        <v>-2.91038304567337e-11</v>
      </c>
      <c r="J284" s="14" t="n">
        <v>15959.25999999998</v>
      </c>
      <c r="K284" s="14" t="n">
        <v>0</v>
      </c>
      <c r="L284" s="8" t="b">
        <v>0</v>
      </c>
      <c r="M284" s="14" t="n">
        <v>0</v>
      </c>
      <c r="N284" s="19">
        <f>ROUND((J284-I284)-(K284+E284+H284),4)</f>
        <v/>
      </c>
    </row>
    <row r="285">
      <c r="A285" s="8" t="inlineStr">
        <is>
          <t>ИП Жумабекова Б. Н.</t>
        </is>
      </c>
      <c r="B285" s="8" t="inlineStr">
        <is>
          <t>2026-02</t>
        </is>
      </c>
      <c r="C285" s="14" t="n">
        <v>-182280.87</v>
      </c>
      <c r="D285" s="14" t="n">
        <v>-185566.61</v>
      </c>
      <c r="E285" s="14" t="n">
        <v>-3285.739999999991</v>
      </c>
      <c r="F285" s="14" t="n">
        <v>198240.1299999999</v>
      </c>
      <c r="G285" s="14" t="n">
        <v>181930.32</v>
      </c>
      <c r="H285" s="14" t="n">
        <v>-16309.80999999998</v>
      </c>
      <c r="I285" s="14" t="n">
        <v>15959.25999999995</v>
      </c>
      <c r="J285" s="14" t="n">
        <v>-3636.290000000008</v>
      </c>
      <c r="K285" s="14" t="n">
        <v>0</v>
      </c>
      <c r="L285" s="8" t="b">
        <v>0</v>
      </c>
      <c r="M285" s="14" t="n">
        <v>0</v>
      </c>
      <c r="N285" s="19">
        <f>ROUND((J285-I285)-(K285+E285+H285),4)</f>
        <v/>
      </c>
    </row>
    <row r="286">
      <c r="A286" s="8" t="inlineStr">
        <is>
          <t>ИП Жумабекова Б. Н.</t>
        </is>
      </c>
      <c r="B286" s="8" t="inlineStr">
        <is>
          <t>2026-03</t>
        </is>
      </c>
      <c r="C286" s="14" t="n">
        <v>-185566.61</v>
      </c>
      <c r="D286" s="14" t="n">
        <v>81921.7</v>
      </c>
      <c r="E286" s="14" t="n">
        <v>267488.3099999999</v>
      </c>
      <c r="F286" s="14" t="n">
        <v>181930.32</v>
      </c>
      <c r="G286" s="14" t="n">
        <v>-61129.99000000002</v>
      </c>
      <c r="H286" s="14" t="n">
        <v>-243060.31</v>
      </c>
      <c r="I286" s="14" t="n">
        <v>-3636.290000000008</v>
      </c>
      <c r="J286" s="14" t="n">
        <v>20791.70999999998</v>
      </c>
      <c r="K286" s="14" t="n">
        <v>4.365574568510056e-11</v>
      </c>
      <c r="L286" s="8" t="b">
        <v>0</v>
      </c>
      <c r="M286" s="14" t="n">
        <v>0</v>
      </c>
      <c r="N286" s="19">
        <f>ROUND((J286-I286)-(K286+E286+H286),4)</f>
        <v/>
      </c>
    </row>
    <row r="287">
      <c r="A287" s="8" t="inlineStr">
        <is>
          <t>ИП Жумабекова Б. Н.</t>
        </is>
      </c>
      <c r="B287" s="8" t="inlineStr">
        <is>
          <t>2026-04</t>
        </is>
      </c>
      <c r="C287" s="14" t="n">
        <v>81921.7</v>
      </c>
      <c r="D287" s="14" t="n">
        <v>-549484.64</v>
      </c>
      <c r="E287" s="14" t="n">
        <v>-631406.34</v>
      </c>
      <c r="F287" s="14" t="n">
        <v>-61129.99000000008</v>
      </c>
      <c r="G287" s="14" t="n">
        <v>248954.7099999999</v>
      </c>
      <c r="H287" s="14" t="n">
        <v>310084.7</v>
      </c>
      <c r="I287" s="14" t="n">
        <v>20791.70999999992</v>
      </c>
      <c r="J287" s="14" t="n">
        <v>-300529.9300000001</v>
      </c>
      <c r="K287" s="14" t="n">
        <v>0</v>
      </c>
      <c r="L287" s="8" t="b">
        <v>0</v>
      </c>
      <c r="M287" s="14" t="n">
        <v>0</v>
      </c>
      <c r="N287" s="19">
        <f>ROUND((J287-I287)-(K287+E287+H287),4)</f>
        <v/>
      </c>
    </row>
    <row r="288">
      <c r="A288" s="8" t="inlineStr">
        <is>
          <t>ИП Жумабекова Б. Н.</t>
        </is>
      </c>
      <c r="B288" s="8" t="inlineStr">
        <is>
          <t>2026-06</t>
        </is>
      </c>
      <c r="C288" s="14" t="n">
        <v>-720137.77</v>
      </c>
      <c r="D288" s="14" t="n">
        <v>-286567.26</v>
      </c>
      <c r="E288" s="14" t="n">
        <v>433570.51</v>
      </c>
      <c r="F288" s="14" t="n">
        <v>419607.8399999998</v>
      </c>
      <c r="G288" s="14" t="n">
        <v>-17812.68000000011</v>
      </c>
      <c r="H288" s="14" t="n">
        <v>-437420.5199999999</v>
      </c>
      <c r="I288" s="14" t="n">
        <v>-300529.9300000002</v>
      </c>
      <c r="J288" s="14" t="n">
        <v>-304379.9400000001</v>
      </c>
      <c r="K288" s="14" t="n">
        <v>0</v>
      </c>
      <c r="L288" s="8" t="b">
        <v>0</v>
      </c>
      <c r="M288" s="14" t="n">
        <v>-170653.13</v>
      </c>
      <c r="N288" s="19">
        <f>ROUND((J288-I288)-(K288+E288+H288),4)</f>
        <v/>
      </c>
    </row>
    <row r="289">
      <c r="A289" s="8" t="inlineStr">
        <is>
          <t>ИП Жумабекова Б. Н.</t>
        </is>
      </c>
      <c r="B289" s="8" t="inlineStr">
        <is>
          <t>2026-07</t>
        </is>
      </c>
      <c r="C289" s="14" t="n">
        <v>-3258.27</v>
      </c>
      <c r="D289" s="14" t="n">
        <v>9057.66</v>
      </c>
      <c r="E289" s="14" t="n">
        <v>12315.92999999999</v>
      </c>
      <c r="F289" s="14" t="n">
        <v>-17812.68000000014</v>
      </c>
      <c r="G289" s="14" t="n">
        <v>-30128.61000000013</v>
      </c>
      <c r="H289" s="14" t="n">
        <v>-12315.92999999999</v>
      </c>
      <c r="I289" s="14" t="n">
        <v>-21070.95000000014</v>
      </c>
      <c r="J289" s="14" t="n">
        <v>-21070.95000000013</v>
      </c>
      <c r="K289" s="14" t="n">
        <v>7.275957614183426e-12</v>
      </c>
      <c r="L289" s="8" t="b">
        <v>1</v>
      </c>
      <c r="M289" s="14" t="n">
        <v>283308.99</v>
      </c>
      <c r="N289" s="19">
        <f>ROUND((J289-I289)-(K289+E289+H289),4)</f>
        <v/>
      </c>
    </row>
    <row r="290">
      <c r="A290" s="8" t="inlineStr">
        <is>
          <t>ИП Мамбетова Ч. Э.</t>
        </is>
      </c>
      <c r="B290" s="8" t="inlineStr">
        <is>
          <t>2026-01</t>
        </is>
      </c>
      <c r="C290" s="14" t="n">
        <v>0</v>
      </c>
      <c r="D290" s="14" t="n">
        <v>459524.5</v>
      </c>
      <c r="E290" s="14" t="n">
        <v>459524.5</v>
      </c>
      <c r="F290" s="14" t="n">
        <v>0</v>
      </c>
      <c r="G290" s="14" t="n">
        <v>-463701.1</v>
      </c>
      <c r="H290" s="14" t="n">
        <v>-463701.1</v>
      </c>
      <c r="I290" s="14" t="n">
        <v>0</v>
      </c>
      <c r="J290" s="14" t="n">
        <v>-4176.599999999977</v>
      </c>
      <c r="K290" s="14" t="n">
        <v>0</v>
      </c>
      <c r="L290" s="8" t="b">
        <v>0</v>
      </c>
      <c r="M290" s="14" t="n">
        <v>0</v>
      </c>
      <c r="N290" s="19">
        <f>ROUND((J290-I290)-(K290+E290+H290),4)</f>
        <v/>
      </c>
    </row>
    <row r="291">
      <c r="A291" s="8" t="inlineStr">
        <is>
          <t>ИП Мамбетова Ч. Э.</t>
        </is>
      </c>
      <c r="B291" s="8" t="inlineStr">
        <is>
          <t>2026-02</t>
        </is>
      </c>
      <c r="C291" s="14" t="n">
        <v>459524.5</v>
      </c>
      <c r="D291" s="14" t="n">
        <v>427671.57</v>
      </c>
      <c r="E291" s="14" t="n">
        <v>-31852.92999999999</v>
      </c>
      <c r="F291" s="14" t="n">
        <v>-463701.1</v>
      </c>
      <c r="G291" s="14" t="n">
        <v>-605948.17</v>
      </c>
      <c r="H291" s="14" t="n">
        <v>-142247.07</v>
      </c>
      <c r="I291" s="14" t="n">
        <v>-4176.600000000035</v>
      </c>
      <c r="J291" s="14" t="n">
        <v>-178276.6</v>
      </c>
      <c r="K291" s="14" t="n">
        <v>0</v>
      </c>
      <c r="L291" s="8" t="b">
        <v>0</v>
      </c>
      <c r="M291" s="14" t="n">
        <v>0</v>
      </c>
      <c r="N291" s="19">
        <f>ROUND((J291-I291)-(K291+E291+H291),4)</f>
        <v/>
      </c>
    </row>
    <row r="292">
      <c r="A292" s="8" t="inlineStr">
        <is>
          <t>ИП Мамбетова Ч. Э.</t>
        </is>
      </c>
      <c r="B292" s="8" t="inlineStr">
        <is>
          <t>2026-03</t>
        </is>
      </c>
      <c r="C292" s="14" t="n">
        <v>427671.57</v>
      </c>
      <c r="D292" s="14" t="n">
        <v>230799.51</v>
      </c>
      <c r="E292" s="14" t="n">
        <v>-196872.06</v>
      </c>
      <c r="F292" s="14" t="n">
        <v>-605948.1699999999</v>
      </c>
      <c r="G292" s="14" t="n">
        <v>-409292.95</v>
      </c>
      <c r="H292" s="14" t="n">
        <v>196655.22</v>
      </c>
      <c r="I292" s="14" t="n">
        <v>-178276.5999999999</v>
      </c>
      <c r="J292" s="14" t="n">
        <v>-178493.4399999999</v>
      </c>
      <c r="K292" s="14" t="n">
        <v>0</v>
      </c>
      <c r="L292" s="8" t="b">
        <v>0</v>
      </c>
      <c r="M292" s="14" t="n">
        <v>0</v>
      </c>
      <c r="N292" s="19">
        <f>ROUND((J292-I292)-(K292+E292+H292),4)</f>
        <v/>
      </c>
    </row>
    <row r="293">
      <c r="A293" s="8" t="inlineStr">
        <is>
          <t>ИП Мамбетова Ч. Э.</t>
        </is>
      </c>
      <c r="B293" s="8" t="inlineStr">
        <is>
          <t>2026-04</t>
        </is>
      </c>
      <c r="C293" s="14" t="n">
        <v>338356.61</v>
      </c>
      <c r="D293" s="14" t="n">
        <v>-191030.04</v>
      </c>
      <c r="E293" s="14" t="n">
        <v>-529386.65</v>
      </c>
      <c r="F293" s="14" t="n">
        <v>-409292.95</v>
      </c>
      <c r="G293" s="14" t="n">
        <v>117494.09</v>
      </c>
      <c r="H293" s="14" t="n">
        <v>526787.04</v>
      </c>
      <c r="I293" s="14" t="n">
        <v>-70936.34000000003</v>
      </c>
      <c r="J293" s="14" t="n">
        <v>-73535.94999999998</v>
      </c>
      <c r="K293" s="14" t="n">
        <v>2.91038304567337e-11</v>
      </c>
      <c r="L293" s="8" t="b">
        <v>1</v>
      </c>
      <c r="M293" s="14" t="n">
        <v>107557.1</v>
      </c>
      <c r="N293" s="19">
        <f>ROUND((J293-I293)-(K293+E293+H293),4)</f>
        <v/>
      </c>
    </row>
    <row r="294">
      <c r="A294" s="8" t="inlineStr">
        <is>
          <t>ИП Мамбетова Ч. Э.</t>
        </is>
      </c>
      <c r="B294" s="8" t="inlineStr">
        <is>
          <t>2026-05</t>
        </is>
      </c>
      <c r="C294" s="14" t="n">
        <v>-191030.04</v>
      </c>
      <c r="D294" s="14" t="n">
        <v>-454161.84</v>
      </c>
      <c r="E294" s="14" t="n">
        <v>-263131.8</v>
      </c>
      <c r="F294" s="14" t="n">
        <v>117494.09</v>
      </c>
      <c r="G294" s="14" t="n">
        <v>380625.8900000001</v>
      </c>
      <c r="H294" s="14" t="n">
        <v>263131.8</v>
      </c>
      <c r="I294" s="14" t="n">
        <v>-73535.94999999998</v>
      </c>
      <c r="J294" s="14" t="n">
        <v>-73535.94999999995</v>
      </c>
      <c r="K294" s="14" t="n">
        <v>-5.820766091346741e-11</v>
      </c>
      <c r="L294" s="8" t="b">
        <v>0</v>
      </c>
      <c r="M294" s="14" t="n">
        <v>0</v>
      </c>
      <c r="N294" s="19">
        <f>ROUND((J294-I294)-(K294+E294+H294),4)</f>
        <v/>
      </c>
    </row>
    <row r="295">
      <c r="A295" s="8" t="inlineStr">
        <is>
          <t>ИП Мамбетова Ч. Э.</t>
        </is>
      </c>
      <c r="B295" s="8" t="inlineStr">
        <is>
          <t>2026-06</t>
        </is>
      </c>
      <c r="C295" s="14" t="n">
        <v>-454161.84</v>
      </c>
      <c r="D295" s="14" t="n">
        <v>-79738.53999999999</v>
      </c>
      <c r="E295" s="14" t="n">
        <v>374423.3</v>
      </c>
      <c r="F295" s="14" t="n">
        <v>380625.8900000001</v>
      </c>
      <c r="G295" s="14" t="n">
        <v>-18475.56999999989</v>
      </c>
      <c r="H295" s="14" t="n">
        <v>-399101.46</v>
      </c>
      <c r="I295" s="14" t="n">
        <v>-73535.9499999999</v>
      </c>
      <c r="J295" s="14" t="n">
        <v>-98214.10999999988</v>
      </c>
      <c r="K295" s="14" t="n">
        <v>4.365574568510056e-11</v>
      </c>
      <c r="L295" s="8" t="b">
        <v>0</v>
      </c>
      <c r="M295" s="14" t="n">
        <v>0</v>
      </c>
      <c r="N295" s="19">
        <f>ROUND((J295-I295)-(K295+E295+H295),4)</f>
        <v/>
      </c>
    </row>
    <row r="296">
      <c r="A296" s="8" t="inlineStr">
        <is>
          <t>ИП Мамбетова Ч. Э.</t>
        </is>
      </c>
      <c r="B296" s="8" t="inlineStr">
        <is>
          <t>2026-07</t>
        </is>
      </c>
      <c r="C296" s="14" t="n">
        <v>-79738.53999999999</v>
      </c>
      <c r="D296" s="14" t="n">
        <v>167494.83</v>
      </c>
      <c r="E296" s="14" t="n">
        <v>247233.37</v>
      </c>
      <c r="F296" s="14" t="n">
        <v>-18475.56999999989</v>
      </c>
      <c r="G296" s="14" t="n">
        <v>-270016.7399999999</v>
      </c>
      <c r="H296" s="14" t="n">
        <v>-251541.17</v>
      </c>
      <c r="I296" s="14" t="n">
        <v>-98214.10999999988</v>
      </c>
      <c r="J296" s="14" t="n">
        <v>-102521.9099999999</v>
      </c>
      <c r="K296" s="14" t="n">
        <v>-2.91038304567337e-11</v>
      </c>
      <c r="L296" s="8" t="b">
        <v>0</v>
      </c>
      <c r="M296" s="14" t="n">
        <v>0</v>
      </c>
      <c r="N296" s="19">
        <f>ROUND((J296-I296)-(K296+E296+H296),4)</f>
        <v/>
      </c>
    </row>
    <row r="297">
      <c r="A297" s="8" t="inlineStr">
        <is>
          <t>ИП Муратов Э. У.</t>
        </is>
      </c>
      <c r="B297" s="8" t="inlineStr">
        <is>
          <t>2026-01</t>
        </is>
      </c>
      <c r="C297" s="14" t="n">
        <v>-696130.08</v>
      </c>
      <c r="D297" s="14" t="n">
        <v>-1144319.2</v>
      </c>
      <c r="E297" s="14" t="n">
        <v>-448189.12</v>
      </c>
      <c r="F297" s="14" t="n">
        <v>696130.0800000001</v>
      </c>
      <c r="G297" s="14" t="n">
        <v>925690.78</v>
      </c>
      <c r="H297" s="14" t="n">
        <v>229560.7</v>
      </c>
      <c r="I297" s="14" t="n">
        <v>1.164153218269348e-10</v>
      </c>
      <c r="J297" s="14" t="n">
        <v>-218628.4199999999</v>
      </c>
      <c r="K297" s="14" t="n">
        <v>0</v>
      </c>
      <c r="L297" s="8" t="b">
        <v>0</v>
      </c>
      <c r="M297" s="14" t="n">
        <v>0</v>
      </c>
      <c r="N297" s="19">
        <f>ROUND((J297-I297)-(K297+E297+H297),4)</f>
        <v/>
      </c>
    </row>
    <row r="298">
      <c r="A298" s="8" t="inlineStr">
        <is>
          <t>ИП Муратов Э. У.</t>
        </is>
      </c>
      <c r="B298" s="8" t="inlineStr">
        <is>
          <t>2026-02</t>
        </is>
      </c>
      <c r="C298" s="14" t="n">
        <v>-1144319.2</v>
      </c>
      <c r="D298" s="14" t="n">
        <v>-1595585.28</v>
      </c>
      <c r="E298" s="14" t="n">
        <v>-451266.08</v>
      </c>
      <c r="F298" s="14" t="n">
        <v>925690.78</v>
      </c>
      <c r="G298" s="14" t="n">
        <v>1055696.58</v>
      </c>
      <c r="H298" s="14" t="n">
        <v>130005.8</v>
      </c>
      <c r="I298" s="14" t="n">
        <v>-218628.4199999999</v>
      </c>
      <c r="J298" s="14" t="n">
        <v>-539888.7</v>
      </c>
      <c r="K298" s="14" t="n">
        <v>-2.328306436538696e-10</v>
      </c>
      <c r="L298" s="8" t="b">
        <v>0</v>
      </c>
      <c r="M298" s="14" t="n">
        <v>0</v>
      </c>
      <c r="N298" s="19">
        <f>ROUND((J298-I298)-(K298+E298+H298),4)</f>
        <v/>
      </c>
    </row>
    <row r="299">
      <c r="A299" s="8" t="inlineStr">
        <is>
          <t>ИП Муратов Э. У.</t>
        </is>
      </c>
      <c r="B299" s="8" t="inlineStr">
        <is>
          <t>2026-04</t>
        </is>
      </c>
      <c r="C299" s="14" t="n">
        <v>-1902113.07</v>
      </c>
      <c r="D299" s="14" t="n">
        <v>-2528118.92</v>
      </c>
      <c r="E299" s="14" t="n">
        <v>-626005.8500000001</v>
      </c>
      <c r="F299" s="14" t="n">
        <v>1362387.64</v>
      </c>
      <c r="G299" s="14" t="n">
        <v>1998393.49</v>
      </c>
      <c r="H299" s="14" t="n">
        <v>636005.85</v>
      </c>
      <c r="I299" s="14" t="n">
        <v>-539725.4299999999</v>
      </c>
      <c r="J299" s="14" t="n">
        <v>-529725.4299999997</v>
      </c>
      <c r="K299" s="14" t="n">
        <v>0</v>
      </c>
      <c r="L299" s="8" t="b">
        <v>0</v>
      </c>
      <c r="M299" s="14" t="n">
        <v>-306527.79</v>
      </c>
      <c r="N299" s="19">
        <f>ROUND((J299-I299)-(K299+E299+H299),4)</f>
        <v/>
      </c>
    </row>
    <row r="300">
      <c r="A300" s="8" t="inlineStr">
        <is>
          <t>ИП Муратов Э. У.</t>
        </is>
      </c>
      <c r="B300" s="8" t="inlineStr">
        <is>
          <t>2026-05</t>
        </is>
      </c>
      <c r="C300" s="14" t="n">
        <v>-2528118.92</v>
      </c>
      <c r="D300" s="14" t="n">
        <v>-1998788.05</v>
      </c>
      <c r="E300" s="14" t="n">
        <v>529330.87</v>
      </c>
      <c r="F300" s="14" t="n">
        <v>1998393.49</v>
      </c>
      <c r="G300" s="14" t="n">
        <v>1509350.64</v>
      </c>
      <c r="H300" s="14" t="n">
        <v>-489042.8499999999</v>
      </c>
      <c r="I300" s="14" t="n">
        <v>-529725.4300000004</v>
      </c>
      <c r="J300" s="14" t="n">
        <v>-489437.4100000004</v>
      </c>
      <c r="K300" s="14" t="n">
        <v>-2.328306436538696e-10</v>
      </c>
      <c r="L300" s="8" t="b">
        <v>0</v>
      </c>
      <c r="M300" s="14" t="n">
        <v>0</v>
      </c>
      <c r="N300" s="19">
        <f>ROUND((J300-I300)-(K300+E300+H300),4)</f>
        <v/>
      </c>
    </row>
    <row r="301">
      <c r="A301" s="8" t="inlineStr">
        <is>
          <t>ИП Муратов Э. У.</t>
        </is>
      </c>
      <c r="B301" s="8" t="inlineStr">
        <is>
          <t>2026-06</t>
        </is>
      </c>
      <c r="C301" s="14" t="n">
        <v>-1998788.05</v>
      </c>
      <c r="D301" s="14" t="n">
        <v>-2564428.13</v>
      </c>
      <c r="E301" s="14" t="n">
        <v>-565640.0800000001</v>
      </c>
      <c r="F301" s="14" t="n">
        <v>1509350.64</v>
      </c>
      <c r="G301" s="14" t="n">
        <v>2065618.76</v>
      </c>
      <c r="H301" s="14" t="n">
        <v>556268.12</v>
      </c>
      <c r="I301" s="14" t="n">
        <v>-489437.4100000004</v>
      </c>
      <c r="J301" s="14" t="n">
        <v>-498809.3700000001</v>
      </c>
      <c r="K301" s="14" t="n">
        <v>0</v>
      </c>
      <c r="L301" s="8" t="b">
        <v>0</v>
      </c>
      <c r="M301" s="14" t="n">
        <v>0</v>
      </c>
      <c r="N301" s="19">
        <f>ROUND((J301-I301)-(K301+E301+H301),4)</f>
        <v/>
      </c>
    </row>
    <row r="302">
      <c r="A302" s="8" t="inlineStr">
        <is>
          <t>ИП Муратов Э. У.</t>
        </is>
      </c>
      <c r="B302" s="8" t="inlineStr">
        <is>
          <t>2026-07</t>
        </is>
      </c>
      <c r="C302" s="14" t="n">
        <v>-2564428.13</v>
      </c>
      <c r="D302" s="14" t="n">
        <v>-1650892.91</v>
      </c>
      <c r="E302" s="14" t="n">
        <v>913535.2200000001</v>
      </c>
      <c r="F302" s="14" t="n">
        <v>2065618.76</v>
      </c>
      <c r="G302" s="14" t="n">
        <v>1152083.54</v>
      </c>
      <c r="H302" s="14" t="n">
        <v>-913535.2200000003</v>
      </c>
      <c r="I302" s="14" t="n">
        <v>-498809.3700000001</v>
      </c>
      <c r="J302" s="14" t="n">
        <v>-498809.3700000003</v>
      </c>
      <c r="K302" s="14" t="n">
        <v>-2.328306436538696e-10</v>
      </c>
      <c r="L302" s="8" t="b">
        <v>0</v>
      </c>
      <c r="M302" s="14" t="n">
        <v>0</v>
      </c>
      <c r="N302" s="19">
        <f>ROUND((J302-I302)-(K302+E302+H302),4)</f>
        <v/>
      </c>
    </row>
    <row r="303">
      <c r="A303" s="8" t="inlineStr">
        <is>
          <t>ИП Токтосун кызы Н.</t>
        </is>
      </c>
      <c r="B303" s="8" t="inlineStr">
        <is>
          <t>2026-01</t>
        </is>
      </c>
      <c r="C303" s="14" t="n">
        <v>0</v>
      </c>
      <c r="D303" s="14" t="n">
        <v>-158891.43</v>
      </c>
      <c r="E303" s="14" t="n">
        <v>-158891.43</v>
      </c>
      <c r="F303" s="14" t="n">
        <v>3674160.7</v>
      </c>
      <c r="G303" s="14" t="n">
        <v>3791222.96</v>
      </c>
      <c r="H303" s="14" t="n">
        <v>117062.26</v>
      </c>
      <c r="I303" s="14" t="n">
        <v>3674160.7</v>
      </c>
      <c r="J303" s="14" t="n">
        <v>3632331.53</v>
      </c>
      <c r="K303" s="14" t="n">
        <v>0</v>
      </c>
      <c r="L303" s="8" t="b">
        <v>0</v>
      </c>
      <c r="M303" s="14" t="n">
        <v>0</v>
      </c>
      <c r="N303" s="19">
        <f>ROUND((J303-I303)-(K303+E303+H303),4)</f>
        <v/>
      </c>
    </row>
    <row r="304">
      <c r="A304" s="8" t="inlineStr">
        <is>
          <t>ИП Токтосун кызы Н.</t>
        </is>
      </c>
      <c r="B304" s="8" t="inlineStr">
        <is>
          <t>2026-03</t>
        </is>
      </c>
      <c r="C304" s="14" t="n">
        <v>828216.58</v>
      </c>
      <c r="D304" s="14" t="n">
        <v>904333.35</v>
      </c>
      <c r="E304" s="14" t="n">
        <v>76116.76999999995</v>
      </c>
      <c r="F304" s="14" t="n">
        <v>2711201.01</v>
      </c>
      <c r="G304" s="14" t="n">
        <v>2072681.16</v>
      </c>
      <c r="H304" s="14" t="n">
        <v>-638519.85</v>
      </c>
      <c r="I304" s="14" t="n">
        <v>3539417.59</v>
      </c>
      <c r="J304" s="14" t="n">
        <v>2977014.51</v>
      </c>
      <c r="K304" s="14" t="n">
        <v>1.164153218269348e-10</v>
      </c>
      <c r="L304" s="8" t="b">
        <v>0</v>
      </c>
      <c r="M304" s="14" t="n">
        <v>987108.01</v>
      </c>
      <c r="N304" s="19">
        <f>ROUND((J304-I304)-(K304+E304+H304),4)</f>
        <v/>
      </c>
    </row>
    <row r="305">
      <c r="A305" s="8" t="inlineStr">
        <is>
          <t>ИП Токтосун кызы Н.</t>
        </is>
      </c>
      <c r="B305" s="8" t="inlineStr">
        <is>
          <t>2026-04</t>
        </is>
      </c>
      <c r="C305" s="14" t="n">
        <v>904333.35</v>
      </c>
      <c r="D305" s="14" t="n">
        <v>-397053.83</v>
      </c>
      <c r="E305" s="14" t="n">
        <v>-1301387.18</v>
      </c>
      <c r="F305" s="14" t="n">
        <v>2072681.16</v>
      </c>
      <c r="G305" s="14" t="n">
        <v>3013369.64</v>
      </c>
      <c r="H305" s="14" t="n">
        <v>940688.4800000001</v>
      </c>
      <c r="I305" s="14" t="n">
        <v>2977014.51</v>
      </c>
      <c r="J305" s="14" t="n">
        <v>2616315.81</v>
      </c>
      <c r="K305" s="14" t="n">
        <v>-5.820766091346741e-11</v>
      </c>
      <c r="L305" s="8" t="b">
        <v>0</v>
      </c>
      <c r="M305" s="14" t="n">
        <v>0</v>
      </c>
      <c r="N305" s="19">
        <f>ROUND((J305-I305)-(K305+E305+H305),4)</f>
        <v/>
      </c>
    </row>
    <row r="306">
      <c r="A306" s="8" t="inlineStr">
        <is>
          <t>ИП Токтосун кызы Н.</t>
        </is>
      </c>
      <c r="B306" s="8" t="inlineStr">
        <is>
          <t>2026-05</t>
        </is>
      </c>
      <c r="C306" s="14" t="n">
        <v>-397053.83</v>
      </c>
      <c r="D306" s="14" t="n">
        <v>-1361331.46</v>
      </c>
      <c r="E306" s="14" t="n">
        <v>-964277.6300000001</v>
      </c>
      <c r="F306" s="14" t="n">
        <v>3013369.64</v>
      </c>
      <c r="G306" s="14" t="n">
        <v>3974650.59</v>
      </c>
      <c r="H306" s="14" t="n">
        <v>961280.9500000002</v>
      </c>
      <c r="I306" s="14" t="n">
        <v>2616315.81</v>
      </c>
      <c r="J306" s="14" t="n">
        <v>2613319.13</v>
      </c>
      <c r="K306" s="14" t="n">
        <v>2.328306436538696e-10</v>
      </c>
      <c r="L306" s="8" t="b">
        <v>0</v>
      </c>
      <c r="M306" s="14" t="n">
        <v>0</v>
      </c>
      <c r="N306" s="19">
        <f>ROUND((J306-I306)-(K306+E306+H306),4)</f>
        <v/>
      </c>
    </row>
    <row r="307">
      <c r="A307" s="8" t="inlineStr">
        <is>
          <t>ИП Токтосун кызы Н.</t>
        </is>
      </c>
      <c r="B307" s="8" t="inlineStr">
        <is>
          <t>2026-06</t>
        </is>
      </c>
      <c r="C307" s="14" t="n">
        <v>-1361331.46</v>
      </c>
      <c r="D307" s="14" t="n">
        <v>-1355339.55</v>
      </c>
      <c r="E307" s="14" t="n">
        <v>5991.909999999945</v>
      </c>
      <c r="F307" s="14" t="n">
        <v>3974650.59</v>
      </c>
      <c r="G307" s="14" t="n">
        <v>4096603.84</v>
      </c>
      <c r="H307" s="14" t="n">
        <v>121953.25</v>
      </c>
      <c r="I307" s="14" t="n">
        <v>2613319.13</v>
      </c>
      <c r="J307" s="14" t="n">
        <v>2741264.29</v>
      </c>
      <c r="K307" s="14" t="n">
        <v>0</v>
      </c>
      <c r="L307" s="8" t="b">
        <v>0</v>
      </c>
      <c r="M307" s="14" t="n">
        <v>0</v>
      </c>
      <c r="N307" s="19">
        <f>ROUND((J307-I307)-(K307+E307+H307),4)</f>
        <v/>
      </c>
    </row>
    <row r="308">
      <c r="A308" s="8" t="inlineStr">
        <is>
          <t>ИП Токтосун кызы Н.</t>
        </is>
      </c>
      <c r="B308" s="8" t="inlineStr">
        <is>
          <t>2026-07</t>
        </is>
      </c>
      <c r="C308" s="14" t="n">
        <v>-1355339.55</v>
      </c>
      <c r="D308" s="14" t="n">
        <v>-788022.79</v>
      </c>
      <c r="E308" s="14" t="n">
        <v>567316.76</v>
      </c>
      <c r="F308" s="14" t="n">
        <v>4096603.84</v>
      </c>
      <c r="G308" s="14" t="n">
        <v>3529223.24</v>
      </c>
      <c r="H308" s="14" t="n">
        <v>-567380.5999999999</v>
      </c>
      <c r="I308" s="14" t="n">
        <v>2741264.29</v>
      </c>
      <c r="J308" s="14" t="n">
        <v>2741200.45</v>
      </c>
      <c r="K308" s="14" t="n">
        <v>0</v>
      </c>
      <c r="L308" s="8" t="b">
        <v>0</v>
      </c>
      <c r="M308" s="14" t="n">
        <v>0</v>
      </c>
      <c r="N308" s="19">
        <f>ROUND((J308-I308)-(K308+E308+H308),4)</f>
        <v/>
      </c>
    </row>
    <row r="309">
      <c r="A309" s="8" t="inlineStr">
        <is>
          <t>ИП Турсунов Т. А.</t>
        </is>
      </c>
      <c r="B309" s="8" t="inlineStr">
        <is>
          <t>2026-01</t>
        </is>
      </c>
      <c r="C309" s="14" t="n">
        <v>624068.3100000001</v>
      </c>
      <c r="D309" s="14" t="n">
        <v>54187.85</v>
      </c>
      <c r="E309" s="14" t="n">
        <v>-569880.46</v>
      </c>
      <c r="F309" s="14" t="n">
        <v>-624068.3100000001</v>
      </c>
      <c r="G309" s="14" t="n">
        <v>-264580.6100000001</v>
      </c>
      <c r="H309" s="14" t="n">
        <v>359487.7</v>
      </c>
      <c r="I309" s="14" t="n">
        <v>0</v>
      </c>
      <c r="J309" s="14" t="n">
        <v>-210392.7600000001</v>
      </c>
      <c r="K309" s="14" t="n">
        <v>-9.458744898438454e-11</v>
      </c>
      <c r="L309" s="8" t="b">
        <v>0</v>
      </c>
      <c r="M309" s="14" t="n">
        <v>0</v>
      </c>
      <c r="N309" s="19">
        <f>ROUND((J309-I309)-(K309+E309+H309),4)</f>
        <v/>
      </c>
    </row>
    <row r="310">
      <c r="A310" s="8" t="inlineStr">
        <is>
          <t>ИП Турсунов Т. А.</t>
        </is>
      </c>
      <c r="B310" s="8" t="inlineStr">
        <is>
          <t>2026-02</t>
        </is>
      </c>
      <c r="C310" s="14" t="n">
        <v>54187.85</v>
      </c>
      <c r="D310" s="14" t="n">
        <v>334375.42</v>
      </c>
      <c r="E310" s="14" t="n">
        <v>280187.57</v>
      </c>
      <c r="F310" s="14" t="n">
        <v>-264580.6100000001</v>
      </c>
      <c r="G310" s="14" t="n">
        <v>-544768.1800000001</v>
      </c>
      <c r="H310" s="14" t="n">
        <v>-280187.5699999999</v>
      </c>
      <c r="I310" s="14" t="n">
        <v>-210392.7600000001</v>
      </c>
      <c r="J310" s="14" t="n">
        <v>-210392.7600000001</v>
      </c>
      <c r="K310" s="14" t="n">
        <v>0</v>
      </c>
      <c r="L310" s="8" t="b">
        <v>0</v>
      </c>
      <c r="M310" s="14" t="n">
        <v>0</v>
      </c>
      <c r="N310" s="19">
        <f>ROUND((J310-I310)-(K310+E310+H310),4)</f>
        <v/>
      </c>
    </row>
    <row r="311">
      <c r="A311" s="8" t="inlineStr">
        <is>
          <t>ИП Турсунов Т. А.</t>
        </is>
      </c>
      <c r="B311" s="8" t="inlineStr">
        <is>
          <t>2026-03</t>
        </is>
      </c>
      <c r="C311" s="14" t="n">
        <v>334375.42</v>
      </c>
      <c r="D311" s="14" t="n">
        <v>-328682.82</v>
      </c>
      <c r="E311" s="14" t="n">
        <v>-663058.24</v>
      </c>
      <c r="F311" s="14" t="n">
        <v>-544768.1800000004</v>
      </c>
      <c r="G311" s="14" t="n">
        <v>118290.0599999996</v>
      </c>
      <c r="H311" s="14" t="n">
        <v>663058.24</v>
      </c>
      <c r="I311" s="14" t="n">
        <v>-210392.7600000004</v>
      </c>
      <c r="J311" s="14" t="n">
        <v>-210392.7600000004</v>
      </c>
      <c r="K311" s="14" t="n">
        <v>0</v>
      </c>
      <c r="L311" s="8" t="b">
        <v>0</v>
      </c>
      <c r="M311" s="14" t="n">
        <v>0</v>
      </c>
      <c r="N311" s="19">
        <f>ROUND((J311-I311)-(K311+E311+H311),4)</f>
        <v/>
      </c>
    </row>
    <row r="312">
      <c r="A312" s="8" t="inlineStr">
        <is>
          <t>ИП Турсунов Т. А.</t>
        </is>
      </c>
      <c r="B312" s="8" t="inlineStr">
        <is>
          <t>2026-04</t>
        </is>
      </c>
      <c r="C312" s="14" t="n">
        <v>-328682.82</v>
      </c>
      <c r="D312" s="14" t="n">
        <v>-39417.37</v>
      </c>
      <c r="E312" s="14" t="n">
        <v>289265.45</v>
      </c>
      <c r="F312" s="14" t="n">
        <v>118290.0599999997</v>
      </c>
      <c r="G312" s="14" t="n">
        <v>-170975.3900000003</v>
      </c>
      <c r="H312" s="14" t="n">
        <v>-289265.45</v>
      </c>
      <c r="I312" s="14" t="n">
        <v>-210392.7600000003</v>
      </c>
      <c r="J312" s="14" t="n">
        <v>-210392.7600000003</v>
      </c>
      <c r="K312" s="14" t="n">
        <v>-7.275957614183426e-12</v>
      </c>
      <c r="L312" s="8" t="b">
        <v>0</v>
      </c>
      <c r="M312" s="14" t="n">
        <v>0</v>
      </c>
      <c r="N312" s="19">
        <f>ROUND((J312-I312)-(K312+E312+H312),4)</f>
        <v/>
      </c>
    </row>
    <row r="313">
      <c r="A313" s="8" t="inlineStr">
        <is>
          <t>ИП Турсунов Т. А.</t>
        </is>
      </c>
      <c r="B313" s="8" t="inlineStr">
        <is>
          <t>2026-05</t>
        </is>
      </c>
      <c r="C313" s="14" t="n">
        <v>-39417.37</v>
      </c>
      <c r="D313" s="14" t="n">
        <v>358168.87</v>
      </c>
      <c r="E313" s="14" t="n">
        <v>397586.24</v>
      </c>
      <c r="F313" s="14" t="n">
        <v>-170975.3900000002</v>
      </c>
      <c r="G313" s="14" t="n">
        <v>-858061.6300000002</v>
      </c>
      <c r="H313" s="14" t="n">
        <v>-687086.24</v>
      </c>
      <c r="I313" s="14" t="n">
        <v>-210392.7600000002</v>
      </c>
      <c r="J313" s="14" t="n">
        <v>-499892.7600000002</v>
      </c>
      <c r="K313" s="14" t="n">
        <v>0</v>
      </c>
      <c r="L313" s="8" t="b">
        <v>0</v>
      </c>
      <c r="M313" s="14" t="n">
        <v>0</v>
      </c>
      <c r="N313" s="19">
        <f>ROUND((J313-I313)-(K313+E313+H313),4)</f>
        <v/>
      </c>
    </row>
    <row r="314">
      <c r="A314" s="8" t="inlineStr">
        <is>
          <t>ИП Турсунов Т. А.</t>
        </is>
      </c>
      <c r="B314" s="8" t="inlineStr">
        <is>
          <t>2026-06</t>
        </is>
      </c>
      <c r="C314" s="14" t="n">
        <v>358168.87</v>
      </c>
      <c r="D314" s="14" t="n">
        <v>222812.16</v>
      </c>
      <c r="E314" s="14" t="n">
        <v>-135356.71</v>
      </c>
      <c r="F314" s="14" t="n">
        <v>-858061.6300000002</v>
      </c>
      <c r="G314" s="14" t="n">
        <v>-722704.9200000003</v>
      </c>
      <c r="H314" s="14" t="n">
        <v>135356.71</v>
      </c>
      <c r="I314" s="14" t="n">
        <v>-499892.7600000002</v>
      </c>
      <c r="J314" s="14" t="n">
        <v>-499892.7600000002</v>
      </c>
      <c r="K314" s="14" t="n">
        <v>0</v>
      </c>
      <c r="L314" s="8" t="b">
        <v>0</v>
      </c>
      <c r="M314" s="14" t="n">
        <v>0</v>
      </c>
      <c r="N314" s="19">
        <f>ROUND((J314-I314)-(K314+E314+H314),4)</f>
        <v/>
      </c>
    </row>
    <row r="315">
      <c r="A315" s="8" t="inlineStr">
        <is>
          <t>ИП Турсунов Т. А.</t>
        </is>
      </c>
      <c r="B315" s="8" t="inlineStr">
        <is>
          <t>2026-07</t>
        </is>
      </c>
      <c r="C315" s="14" t="n">
        <v>222812.16</v>
      </c>
      <c r="D315" s="14" t="n">
        <v>116774.82</v>
      </c>
      <c r="E315" s="14" t="n">
        <v>-106037.34</v>
      </c>
      <c r="F315" s="14" t="n">
        <v>-722704.9200000004</v>
      </c>
      <c r="G315" s="14" t="n">
        <v>-616667.5800000004</v>
      </c>
      <c r="H315" s="14" t="n">
        <v>106037.34</v>
      </c>
      <c r="I315" s="14" t="n">
        <v>-499892.7600000004</v>
      </c>
      <c r="J315" s="14" t="n">
        <v>-499892.7600000004</v>
      </c>
      <c r="K315" s="14" t="n">
        <v>-1.455191522836685e-11</v>
      </c>
      <c r="L315" s="8" t="b">
        <v>0</v>
      </c>
      <c r="M315" s="14" t="n">
        <v>0</v>
      </c>
      <c r="N315" s="19">
        <f>ROUND((J315-I315)-(K315+E315+H315),4)</f>
        <v/>
      </c>
    </row>
    <row r="316">
      <c r="A316" s="8" t="inlineStr">
        <is>
          <t>ИП Элдиярова А. Ч.</t>
        </is>
      </c>
      <c r="B316" s="8" t="inlineStr">
        <is>
          <t>2026-01</t>
        </is>
      </c>
      <c r="C316" s="14" t="n">
        <v>0</v>
      </c>
      <c r="D316" s="14" t="n">
        <v>397000.89</v>
      </c>
      <c r="E316" s="14" t="n">
        <v>397000.89</v>
      </c>
      <c r="F316" s="14" t="n">
        <v>0</v>
      </c>
      <c r="G316" s="14" t="n">
        <v>-397000.89</v>
      </c>
      <c r="H316" s="14" t="n">
        <v>-397000.89</v>
      </c>
      <c r="I316" s="14" t="n">
        <v>0</v>
      </c>
      <c r="J316" s="14" t="n">
        <v>0</v>
      </c>
      <c r="K316" s="14" t="n">
        <v>0</v>
      </c>
      <c r="L316" s="8" t="b">
        <v>0</v>
      </c>
      <c r="M316" s="14" t="n">
        <v>0</v>
      </c>
      <c r="N316" s="19">
        <f>ROUND((J316-I316)-(K316+E316+H316),4)</f>
        <v/>
      </c>
    </row>
    <row r="317">
      <c r="A317" s="8" t="inlineStr">
        <is>
          <t>ИП Элдиярова А. Ч.</t>
        </is>
      </c>
      <c r="B317" s="8" t="inlineStr">
        <is>
          <t>2026-02</t>
        </is>
      </c>
      <c r="C317" s="14" t="n">
        <v>397000.89</v>
      </c>
      <c r="D317" s="14" t="n">
        <v>461530.89</v>
      </c>
      <c r="E317" s="14" t="n">
        <v>64530</v>
      </c>
      <c r="F317" s="14" t="n">
        <v>-397000.89</v>
      </c>
      <c r="G317" s="14" t="n">
        <v>-461530.89</v>
      </c>
      <c r="H317" s="14" t="n">
        <v>-64530</v>
      </c>
      <c r="I317" s="14" t="n">
        <v>5.820766091346741e-11</v>
      </c>
      <c r="J317" s="14" t="n">
        <v>5.820766091346741e-11</v>
      </c>
      <c r="K317" s="14" t="n">
        <v>0</v>
      </c>
      <c r="L317" s="8" t="b">
        <v>0</v>
      </c>
      <c r="M317" s="14" t="n">
        <v>0</v>
      </c>
      <c r="N317" s="19">
        <f>ROUND((J317-I317)-(K317+E317+H317),4)</f>
        <v/>
      </c>
    </row>
    <row r="318">
      <c r="A318" s="8" t="inlineStr">
        <is>
          <t>ИП Элдиярова А. Ч.</t>
        </is>
      </c>
      <c r="B318" s="8" t="inlineStr">
        <is>
          <t>2026-03</t>
        </is>
      </c>
      <c r="C318" s="14" t="n">
        <v>461530.89</v>
      </c>
      <c r="D318" s="14" t="n">
        <v>441925.62</v>
      </c>
      <c r="E318" s="14" t="n">
        <v>-19605.27</v>
      </c>
      <c r="F318" s="14" t="n">
        <v>-461530.89</v>
      </c>
      <c r="G318" s="14" t="n">
        <v>-600425.62</v>
      </c>
      <c r="H318" s="14" t="n">
        <v>-138894.73</v>
      </c>
      <c r="I318" s="14" t="n">
        <v>0</v>
      </c>
      <c r="J318" s="14" t="n">
        <v>-158500</v>
      </c>
      <c r="K318" s="14" t="n">
        <v>0</v>
      </c>
      <c r="L318" s="8" t="b">
        <v>0</v>
      </c>
      <c r="M318" s="14" t="n">
        <v>0</v>
      </c>
      <c r="N318" s="19">
        <f>ROUND((J318-I318)-(K318+E318+H318),4)</f>
        <v/>
      </c>
    </row>
    <row r="319">
      <c r="A319" s="8" t="inlineStr">
        <is>
          <t>ИП Элдиярова А. Ч.</t>
        </is>
      </c>
      <c r="B319" s="8" t="inlineStr">
        <is>
          <t>2026-04</t>
        </is>
      </c>
      <c r="C319" s="14" t="n">
        <v>441925.62</v>
      </c>
      <c r="D319" s="14" t="n">
        <v>502267.1</v>
      </c>
      <c r="E319" s="14" t="n">
        <v>60341.48000000001</v>
      </c>
      <c r="F319" s="14" t="n">
        <v>-600425.6199999998</v>
      </c>
      <c r="G319" s="14" t="n">
        <v>-660767.0999999999</v>
      </c>
      <c r="H319" s="14" t="n">
        <v>-60341.48000000005</v>
      </c>
      <c r="I319" s="14" t="n">
        <v>-158499.9999999998</v>
      </c>
      <c r="J319" s="14" t="n">
        <v>-158499.9999999999</v>
      </c>
      <c r="K319" s="14" t="n">
        <v>0</v>
      </c>
      <c r="L319" s="8" t="b">
        <v>0</v>
      </c>
      <c r="M319" s="14" t="n">
        <v>0</v>
      </c>
      <c r="N319" s="19">
        <f>ROUND((J319-I319)-(K319+E319+H319),4)</f>
        <v/>
      </c>
    </row>
    <row r="320">
      <c r="A320" s="8" t="inlineStr">
        <is>
          <t>ИП Элдиярова А. Ч.</t>
        </is>
      </c>
      <c r="B320" s="8" t="inlineStr">
        <is>
          <t>2026-05</t>
        </is>
      </c>
      <c r="C320" s="14" t="n">
        <v>502267.1</v>
      </c>
      <c r="D320" s="14" t="n">
        <v>493729.36</v>
      </c>
      <c r="E320" s="14" t="n">
        <v>-8537.740000000042</v>
      </c>
      <c r="F320" s="14" t="n">
        <v>-660767.1000000001</v>
      </c>
      <c r="G320" s="14" t="n">
        <v>-652229.3600000001</v>
      </c>
      <c r="H320" s="14" t="n">
        <v>8537.740000000042</v>
      </c>
      <c r="I320" s="14" t="n">
        <v>-158500.0000000001</v>
      </c>
      <c r="J320" s="14" t="n">
        <v>-158500.0000000001</v>
      </c>
      <c r="K320" s="14" t="n">
        <v>5.820766091346741e-11</v>
      </c>
      <c r="L320" s="8" t="b">
        <v>0</v>
      </c>
      <c r="M320" s="14" t="n">
        <v>0</v>
      </c>
      <c r="N320" s="19">
        <f>ROUND((J320-I320)-(K320+E320+H320),4)</f>
        <v/>
      </c>
    </row>
    <row r="321">
      <c r="A321" s="8" t="inlineStr">
        <is>
          <t>ИП Элдиярова А. Ч.</t>
        </is>
      </c>
      <c r="B321" s="8" t="inlineStr">
        <is>
          <t>2026-06</t>
        </is>
      </c>
      <c r="C321" s="14" t="n">
        <v>493729.36</v>
      </c>
      <c r="D321" s="14" t="n">
        <v>135121.87</v>
      </c>
      <c r="E321" s="14" t="n">
        <v>-358607.49</v>
      </c>
      <c r="F321" s="14" t="n">
        <v>-652229.3600000001</v>
      </c>
      <c r="G321" s="14" t="n">
        <v>-292512.9700000001</v>
      </c>
      <c r="H321" s="14" t="n">
        <v>359716.39</v>
      </c>
      <c r="I321" s="14" t="n">
        <v>-158500.0000000001</v>
      </c>
      <c r="J321" s="14" t="n">
        <v>-157391.1000000001</v>
      </c>
      <c r="K321" s="14" t="n">
        <v>0</v>
      </c>
      <c r="L321" s="8" t="b">
        <v>0</v>
      </c>
      <c r="M321" s="14" t="n">
        <v>0</v>
      </c>
      <c r="N321" s="19">
        <f>ROUND((J321-I321)-(K321+E321+H321),4)</f>
        <v/>
      </c>
    </row>
    <row r="322">
      <c r="A322" s="8" t="inlineStr">
        <is>
          <t>ИП Элдиярова А. Ч.</t>
        </is>
      </c>
      <c r="B322" s="8" t="inlineStr">
        <is>
          <t>2026-07</t>
        </is>
      </c>
      <c r="C322" s="14" t="n">
        <v>135121.87</v>
      </c>
      <c r="D322" s="14" t="n">
        <v>-169380.44</v>
      </c>
      <c r="E322" s="14" t="n">
        <v>-304502.31</v>
      </c>
      <c r="F322" s="14" t="n">
        <v>-292512.97</v>
      </c>
      <c r="G322" s="14" t="n">
        <v>11989.33999999997</v>
      </c>
      <c r="H322" s="14" t="n">
        <v>304502.31</v>
      </c>
      <c r="I322" s="14" t="n">
        <v>-157391.1</v>
      </c>
      <c r="J322" s="14" t="n">
        <v>-157391.1</v>
      </c>
      <c r="K322" s="14" t="n">
        <v>0</v>
      </c>
      <c r="L322" s="8" t="b">
        <v>0</v>
      </c>
      <c r="M322" s="14" t="n">
        <v>0</v>
      </c>
      <c r="N322" s="19">
        <f>ROUND((J322-I322)-(K322+E322+H322),4)</f>
        <v/>
      </c>
    </row>
    <row r="323">
      <c r="A323" s="8" t="inlineStr">
        <is>
          <t>ИССЫК ТРИП</t>
        </is>
      </c>
      <c r="B323" s="8" t="inlineStr">
        <is>
          <t>2026-01</t>
        </is>
      </c>
      <c r="C323" s="14" t="n">
        <v>0</v>
      </c>
      <c r="D323" s="14" t="n">
        <v>-572828.38</v>
      </c>
      <c r="E323" s="14" t="n">
        <v>-572828.38</v>
      </c>
      <c r="F323" s="14" t="n">
        <v>0</v>
      </c>
      <c r="G323" s="14" t="n">
        <v>200164.03</v>
      </c>
      <c r="H323" s="14" t="n">
        <v>200164.03</v>
      </c>
      <c r="I323" s="14" t="n">
        <v>0</v>
      </c>
      <c r="J323" s="14" t="n">
        <v>-372664.35</v>
      </c>
      <c r="K323" s="14" t="n">
        <v>0</v>
      </c>
      <c r="L323" s="8" t="b">
        <v>0</v>
      </c>
      <c r="M323" s="14" t="n">
        <v>0</v>
      </c>
      <c r="N323" s="19">
        <f>ROUND((J323-I323)-(K323+E323+H323),4)</f>
        <v/>
      </c>
    </row>
    <row r="324">
      <c r="A324" s="8" t="inlineStr">
        <is>
          <t>ИССЫК ТРИП</t>
        </is>
      </c>
      <c r="B324" s="8" t="inlineStr">
        <is>
          <t>2026-03</t>
        </is>
      </c>
      <c r="C324" s="14" t="n">
        <v>-2851740.31</v>
      </c>
      <c r="D324" s="14" t="n">
        <v>-4652126.22</v>
      </c>
      <c r="E324" s="14" t="n">
        <v>-1800385.91</v>
      </c>
      <c r="F324" s="14" t="n">
        <v>2026784.489999999</v>
      </c>
      <c r="G324" s="14" t="n">
        <v>3015761.65</v>
      </c>
      <c r="H324" s="14" t="n">
        <v>988977.1600000005</v>
      </c>
      <c r="I324" s="14" t="n">
        <v>-824955.8200000008</v>
      </c>
      <c r="J324" s="14" t="n">
        <v>-1636364.57</v>
      </c>
      <c r="K324" s="14" t="n">
        <v>9.313225746154785e-10</v>
      </c>
      <c r="L324" s="8" t="b">
        <v>0</v>
      </c>
      <c r="M324" s="14" t="n">
        <v>-2278911.93</v>
      </c>
      <c r="N324" s="19">
        <f>ROUND((J324-I324)-(K324+E324+H324),4)</f>
        <v/>
      </c>
    </row>
    <row r="325">
      <c r="A325" s="8" t="inlineStr">
        <is>
          <t>ИССЫК ТРИП</t>
        </is>
      </c>
      <c r="B325" s="8" t="inlineStr">
        <is>
          <t>2026-04</t>
        </is>
      </c>
      <c r="C325" s="14" t="n">
        <v>-4652126.22</v>
      </c>
      <c r="D325" s="14" t="n">
        <v>-6194443.17</v>
      </c>
      <c r="E325" s="14" t="n">
        <v>-1542316.95</v>
      </c>
      <c r="F325" s="14" t="n">
        <v>3015761.650000001</v>
      </c>
      <c r="G325" s="14" t="n">
        <v>4229599.090000001</v>
      </c>
      <c r="H325" s="14" t="n">
        <v>1213837.44</v>
      </c>
      <c r="I325" s="14" t="n">
        <v>-1636364.569999999</v>
      </c>
      <c r="J325" s="14" t="n">
        <v>-1964844.079999999</v>
      </c>
      <c r="K325" s="14" t="n">
        <v>0</v>
      </c>
      <c r="L325" s="8" t="b">
        <v>0</v>
      </c>
      <c r="M325" s="14" t="n">
        <v>0</v>
      </c>
      <c r="N325" s="19">
        <f>ROUND((J325-I325)-(K325+E325+H325),4)</f>
        <v/>
      </c>
    </row>
    <row r="326">
      <c r="A326" s="8" t="inlineStr">
        <is>
          <t>ИССЫК ТРИП</t>
        </is>
      </c>
      <c r="B326" s="8" t="inlineStr">
        <is>
          <t>2026-05</t>
        </is>
      </c>
      <c r="C326" s="14" t="n">
        <v>-6194443.17</v>
      </c>
      <c r="D326" s="14" t="n">
        <v>-5012047.38</v>
      </c>
      <c r="E326" s="14" t="n">
        <v>1182395.79</v>
      </c>
      <c r="F326" s="14" t="n">
        <v>4229599.090000001</v>
      </c>
      <c r="G326" s="14" t="n">
        <v>3390824.870000001</v>
      </c>
      <c r="H326" s="14" t="n">
        <v>-838774.2199999999</v>
      </c>
      <c r="I326" s="14" t="n">
        <v>-1964844.079999999</v>
      </c>
      <c r="J326" s="14" t="n">
        <v>-1621222.509999999</v>
      </c>
      <c r="K326" s="14" t="n">
        <v>0</v>
      </c>
      <c r="L326" s="8" t="b">
        <v>0</v>
      </c>
      <c r="M326" s="14" t="n">
        <v>0</v>
      </c>
      <c r="N326" s="19">
        <f>ROUND((J326-I326)-(K326+E326+H326),4)</f>
        <v/>
      </c>
    </row>
    <row r="327">
      <c r="A327" s="8" t="inlineStr">
        <is>
          <t>ИССЫК ТРИП</t>
        </is>
      </c>
      <c r="B327" s="8" t="inlineStr">
        <is>
          <t>2026-06</t>
        </is>
      </c>
      <c r="C327" s="14" t="n">
        <v>-5012047.38</v>
      </c>
      <c r="D327" s="14" t="n">
        <v>-3572619.35</v>
      </c>
      <c r="E327" s="14" t="n">
        <v>1439428.03</v>
      </c>
      <c r="F327" s="14" t="n">
        <v>3390824.87</v>
      </c>
      <c r="G327" s="14" t="n">
        <v>2028206.42</v>
      </c>
      <c r="H327" s="14" t="n">
        <v>-1362618.45</v>
      </c>
      <c r="I327" s="14" t="n">
        <v>-1621222.51</v>
      </c>
      <c r="J327" s="14" t="n">
        <v>-1544412.93</v>
      </c>
      <c r="K327" s="14" t="n">
        <v>-4.656612873077393e-10</v>
      </c>
      <c r="L327" s="8" t="b">
        <v>0</v>
      </c>
      <c r="M327" s="14" t="n">
        <v>0</v>
      </c>
      <c r="N327" s="19">
        <f>ROUND((J327-I327)-(K327+E327+H327),4)</f>
        <v/>
      </c>
    </row>
    <row r="328">
      <c r="A328" s="8" t="inlineStr">
        <is>
          <t>ИССЫК ТРИП</t>
        </is>
      </c>
      <c r="B328" s="8" t="inlineStr">
        <is>
          <t>2026-07</t>
        </is>
      </c>
      <c r="C328" s="14" t="n">
        <v>-3572619.35</v>
      </c>
      <c r="D328" s="14" t="n">
        <v>-2746706.44</v>
      </c>
      <c r="E328" s="14" t="n">
        <v>825912.91</v>
      </c>
      <c r="F328" s="14" t="n">
        <v>2028206.42</v>
      </c>
      <c r="G328" s="14" t="n">
        <v>767199.1400000006</v>
      </c>
      <c r="H328" s="14" t="n">
        <v>-1261007.28</v>
      </c>
      <c r="I328" s="14" t="n">
        <v>-1544412.93</v>
      </c>
      <c r="J328" s="14" t="n">
        <v>-1979507.299999999</v>
      </c>
      <c r="K328" s="14" t="n">
        <v>0</v>
      </c>
      <c r="L328" s="8" t="b">
        <v>0</v>
      </c>
      <c r="M328" s="14" t="n">
        <v>0</v>
      </c>
      <c r="N328" s="19">
        <f>ROUND((J328-I328)-(K328+E328+H328),4)</f>
        <v/>
      </c>
    </row>
    <row r="329">
      <c r="A329" s="8" t="inlineStr">
        <is>
          <t>Иссык Вояж</t>
        </is>
      </c>
      <c r="B329" s="8" t="inlineStr">
        <is>
          <t>2026-01</t>
        </is>
      </c>
      <c r="C329" s="14" t="n">
        <v>804452.0699999999</v>
      </c>
      <c r="D329" s="14" t="n">
        <v>1114944.12</v>
      </c>
      <c r="E329" s="14" t="n">
        <v>310492.05</v>
      </c>
      <c r="F329" s="14" t="n">
        <v>-912111.26</v>
      </c>
      <c r="G329" s="14" t="n">
        <v>-1222603.31</v>
      </c>
      <c r="H329" s="14" t="n">
        <v>-310492.05</v>
      </c>
      <c r="I329" s="14" t="n">
        <v>-107659.1900000001</v>
      </c>
      <c r="J329" s="14" t="n">
        <v>-107659.1899999999</v>
      </c>
      <c r="K329" s="14" t="n">
        <v>2.328306436538696e-10</v>
      </c>
      <c r="L329" s="8" t="b">
        <v>0</v>
      </c>
      <c r="M329" s="14" t="n">
        <v>0</v>
      </c>
      <c r="N329" s="19">
        <f>ROUND((J329-I329)-(K329+E329+H329),4)</f>
        <v/>
      </c>
    </row>
    <row r="330">
      <c r="A330" s="8" t="inlineStr">
        <is>
          <t>Иссык Вояж</t>
        </is>
      </c>
      <c r="B330" s="8" t="inlineStr">
        <is>
          <t>2026-02</t>
        </is>
      </c>
      <c r="C330" s="14" t="n">
        <v>1114944.12</v>
      </c>
      <c r="D330" s="14" t="n">
        <v>325822.17</v>
      </c>
      <c r="E330" s="14" t="n">
        <v>-789121.95</v>
      </c>
      <c r="F330" s="14" t="n">
        <v>-1222603.31</v>
      </c>
      <c r="G330" s="14" t="n">
        <v>-433481.36</v>
      </c>
      <c r="H330" s="14" t="n">
        <v>789121.95</v>
      </c>
      <c r="I330" s="14" t="n">
        <v>-107659.1899999999</v>
      </c>
      <c r="J330" s="14" t="n">
        <v>-107659.19</v>
      </c>
      <c r="K330" s="14" t="n">
        <v>-1.746229827404022e-10</v>
      </c>
      <c r="L330" s="8" t="b">
        <v>0</v>
      </c>
      <c r="M330" s="14" t="n">
        <v>0</v>
      </c>
      <c r="N330" s="19">
        <f>ROUND((J330-I330)-(K330+E330+H330),4)</f>
        <v/>
      </c>
    </row>
    <row r="331">
      <c r="A331" s="8" t="inlineStr">
        <is>
          <t>Иссык Вояж</t>
        </is>
      </c>
      <c r="B331" s="8" t="inlineStr">
        <is>
          <t>2026-03</t>
        </is>
      </c>
      <c r="C331" s="14" t="n">
        <v>325822.17</v>
      </c>
      <c r="D331" s="14" t="n">
        <v>673941.59</v>
      </c>
      <c r="E331" s="14" t="n">
        <v>348119.42</v>
      </c>
      <c r="F331" s="14" t="n">
        <v>-433481.36</v>
      </c>
      <c r="G331" s="14" t="n">
        <v>-781600.78</v>
      </c>
      <c r="H331" s="14" t="n">
        <v>-348119.42</v>
      </c>
      <c r="I331" s="14" t="n">
        <v>-107659.1900000001</v>
      </c>
      <c r="J331" s="14" t="n">
        <v>-107659.1900000001</v>
      </c>
      <c r="K331" s="14" t="n">
        <v>0</v>
      </c>
      <c r="L331" s="8" t="b">
        <v>0</v>
      </c>
      <c r="M331" s="14" t="n">
        <v>0</v>
      </c>
      <c r="N331" s="19">
        <f>ROUND((J331-I331)-(K331+E331+H331),4)</f>
        <v/>
      </c>
    </row>
    <row r="332">
      <c r="A332" s="8" t="inlineStr">
        <is>
          <t>Иссык Вояж</t>
        </is>
      </c>
      <c r="B332" s="8" t="inlineStr">
        <is>
          <t>2026-04</t>
        </is>
      </c>
      <c r="C332" s="14" t="n">
        <v>673941.59</v>
      </c>
      <c r="D332" s="14" t="n">
        <v>785995.92</v>
      </c>
      <c r="E332" s="14" t="n">
        <v>112054.33</v>
      </c>
      <c r="F332" s="14" t="n">
        <v>-781600.78</v>
      </c>
      <c r="G332" s="14" t="n">
        <v>-893655.11</v>
      </c>
      <c r="H332" s="14" t="n">
        <v>-112054.33</v>
      </c>
      <c r="I332" s="14" t="n">
        <v>-107659.1900000001</v>
      </c>
      <c r="J332" s="14" t="n">
        <v>-107659.1899999999</v>
      </c>
      <c r="K332" s="14" t="n">
        <v>1.164153218269348e-10</v>
      </c>
      <c r="L332" s="8" t="b">
        <v>0</v>
      </c>
      <c r="M332" s="14" t="n">
        <v>0</v>
      </c>
      <c r="N332" s="19">
        <f>ROUND((J332-I332)-(K332+E332+H332),4)</f>
        <v/>
      </c>
    </row>
    <row r="333">
      <c r="A333" s="8" t="inlineStr">
        <is>
          <t>Иссык Вояж</t>
        </is>
      </c>
      <c r="B333" s="8" t="inlineStr">
        <is>
          <t>2026-05</t>
        </is>
      </c>
      <c r="C333" s="14" t="n">
        <v>785995.92</v>
      </c>
      <c r="D333" s="14" t="n">
        <v>670321.99</v>
      </c>
      <c r="E333" s="14" t="n">
        <v>-115673.93</v>
      </c>
      <c r="F333" s="14" t="n">
        <v>-893655.1100000001</v>
      </c>
      <c r="G333" s="14" t="n">
        <v>-828994.0000000001</v>
      </c>
      <c r="H333" s="14" t="n">
        <v>64661.11000000001</v>
      </c>
      <c r="I333" s="14" t="n">
        <v>-107659.1900000001</v>
      </c>
      <c r="J333" s="14" t="n">
        <v>-158672.0100000001</v>
      </c>
      <c r="K333" s="14" t="n">
        <v>0</v>
      </c>
      <c r="L333" s="8" t="b">
        <v>0</v>
      </c>
      <c r="M333" s="14" t="n">
        <v>0</v>
      </c>
      <c r="N333" s="19">
        <f>ROUND((J333-I333)-(K333+E333+H333),4)</f>
        <v/>
      </c>
    </row>
    <row r="334">
      <c r="A334" s="8" t="inlineStr">
        <is>
          <t>Иссык Вояж</t>
        </is>
      </c>
      <c r="B334" s="8" t="inlineStr">
        <is>
          <t>2026-06</t>
        </is>
      </c>
      <c r="C334" s="14" t="n">
        <v>670321.99</v>
      </c>
      <c r="D334" s="14" t="n">
        <v>775290.27</v>
      </c>
      <c r="E334" s="14" t="n">
        <v>104968.28</v>
      </c>
      <c r="F334" s="14" t="n">
        <v>-828994.0000000001</v>
      </c>
      <c r="G334" s="14" t="n">
        <v>-933962.2800000001</v>
      </c>
      <c r="H334" s="14" t="n">
        <v>-104968.28</v>
      </c>
      <c r="I334" s="14" t="n">
        <v>-158672.0100000001</v>
      </c>
      <c r="J334" s="14" t="n">
        <v>-158672.0100000001</v>
      </c>
      <c r="K334" s="14" t="n">
        <v>0</v>
      </c>
      <c r="L334" s="8" t="b">
        <v>0</v>
      </c>
      <c r="M334" s="14" t="n">
        <v>0</v>
      </c>
      <c r="N334" s="19">
        <f>ROUND((J334-I334)-(K334+E334+H334),4)</f>
        <v/>
      </c>
    </row>
    <row r="335">
      <c r="A335" s="8" t="inlineStr">
        <is>
          <t>Иссык Вояж</t>
        </is>
      </c>
      <c r="B335" s="8" t="inlineStr">
        <is>
          <t>2026-07</t>
        </is>
      </c>
      <c r="C335" s="14" t="n">
        <v>775290.27</v>
      </c>
      <c r="D335" s="14" t="n">
        <v>915481.52</v>
      </c>
      <c r="E335" s="14" t="n">
        <v>140191.25</v>
      </c>
      <c r="F335" s="14" t="n">
        <v>-933962.2800000003</v>
      </c>
      <c r="G335" s="14" t="n">
        <v>-1065404.89</v>
      </c>
      <c r="H335" s="14" t="n">
        <v>-131442.6099999999</v>
      </c>
      <c r="I335" s="14" t="n">
        <v>-158672.0100000002</v>
      </c>
      <c r="J335" s="14" t="n">
        <v>-149923.3700000001</v>
      </c>
      <c r="K335" s="14" t="n">
        <v>0</v>
      </c>
      <c r="L335" s="8" t="b">
        <v>0</v>
      </c>
      <c r="M335" s="14" t="n">
        <v>0</v>
      </c>
      <c r="N335" s="19">
        <f>ROUND((J335-I335)-(K335+E335+H335),4)</f>
        <v/>
      </c>
    </row>
    <row r="336">
      <c r="A336" s="8" t="inlineStr">
        <is>
          <t>КУТ ЭЙР</t>
        </is>
      </c>
      <c r="B336" s="8" t="inlineStr">
        <is>
          <t>2026-01</t>
        </is>
      </c>
      <c r="C336" s="14" t="n">
        <v>0</v>
      </c>
      <c r="D336" s="14" t="n">
        <v>52335.21</v>
      </c>
      <c r="E336" s="14" t="n">
        <v>52335.21</v>
      </c>
      <c r="F336" s="14" t="n">
        <v>350463.58</v>
      </c>
      <c r="G336" s="14" t="n">
        <v>165483.96</v>
      </c>
      <c r="H336" s="14" t="n">
        <v>-184979.62</v>
      </c>
      <c r="I336" s="14" t="n">
        <v>350463.58</v>
      </c>
      <c r="J336" s="14" t="n">
        <v>217819.17</v>
      </c>
      <c r="K336" s="14" t="n">
        <v>0</v>
      </c>
      <c r="L336" s="8" t="b">
        <v>0</v>
      </c>
      <c r="M336" s="14" t="n">
        <v>0</v>
      </c>
      <c r="N336" s="19">
        <f>ROUND((J336-I336)-(K336+E336+H336),4)</f>
        <v/>
      </c>
    </row>
    <row r="337">
      <c r="A337" s="8" t="inlineStr">
        <is>
          <t>КУТ ЭЙР</t>
        </is>
      </c>
      <c r="B337" s="8" t="inlineStr">
        <is>
          <t>2026-02</t>
        </is>
      </c>
      <c r="C337" s="14" t="n">
        <v>52335.21</v>
      </c>
      <c r="D337" s="14" t="n">
        <v>-269373.45</v>
      </c>
      <c r="E337" s="14" t="n">
        <v>-321708.66</v>
      </c>
      <c r="F337" s="14" t="n">
        <v>165483.96</v>
      </c>
      <c r="G337" s="14" t="n">
        <v>172592.62</v>
      </c>
      <c r="H337" s="14" t="n">
        <v>7108.66</v>
      </c>
      <c r="I337" s="14" t="n">
        <v>217819.17</v>
      </c>
      <c r="J337" s="14" t="n">
        <v>-96780.83000000002</v>
      </c>
      <c r="K337" s="14" t="n">
        <v>0</v>
      </c>
      <c r="L337" s="8" t="b">
        <v>0</v>
      </c>
      <c r="M337" s="14" t="n">
        <v>0</v>
      </c>
      <c r="N337" s="19">
        <f>ROUND((J337-I337)-(K337+E337+H337),4)</f>
        <v/>
      </c>
    </row>
    <row r="338">
      <c r="A338" s="8" t="inlineStr">
        <is>
          <t>КУТ ЭЙР</t>
        </is>
      </c>
      <c r="B338" s="8" t="inlineStr">
        <is>
          <t>2026-03</t>
        </is>
      </c>
      <c r="C338" s="14" t="n">
        <v>-269373.45</v>
      </c>
      <c r="D338" s="14" t="n">
        <v>527832.52</v>
      </c>
      <c r="E338" s="14" t="n">
        <v>797205.97</v>
      </c>
      <c r="F338" s="14" t="n">
        <v>172592.62</v>
      </c>
      <c r="G338" s="14" t="n">
        <v>-757351.26</v>
      </c>
      <c r="H338" s="14" t="n">
        <v>-929943.88</v>
      </c>
      <c r="I338" s="14" t="n">
        <v>-96780.83000000002</v>
      </c>
      <c r="J338" s="14" t="n">
        <v>-229518.74</v>
      </c>
      <c r="K338" s="14" t="n">
        <v>0</v>
      </c>
      <c r="L338" s="8" t="b">
        <v>0</v>
      </c>
      <c r="M338" s="14" t="n">
        <v>0</v>
      </c>
      <c r="N338" s="19">
        <f>ROUND((J338-I338)-(K338+E338+H338),4)</f>
        <v/>
      </c>
    </row>
    <row r="339">
      <c r="A339" s="8" t="inlineStr">
        <is>
          <t>КУТ ЭЙР</t>
        </is>
      </c>
      <c r="B339" s="8" t="inlineStr">
        <is>
          <t>2026-04</t>
        </is>
      </c>
      <c r="C339" s="14" t="n">
        <v>527832.52</v>
      </c>
      <c r="D339" s="14" t="n">
        <v>-394564.72</v>
      </c>
      <c r="E339" s="14" t="n">
        <v>-922397.24</v>
      </c>
      <c r="F339" s="14" t="n">
        <v>-757351.2599999998</v>
      </c>
      <c r="G339" s="14" t="n">
        <v>-109254.02</v>
      </c>
      <c r="H339" s="14" t="n">
        <v>648097.2399999998</v>
      </c>
      <c r="I339" s="14" t="n">
        <v>-229518.7399999998</v>
      </c>
      <c r="J339" s="14" t="n">
        <v>-503818.7399999999</v>
      </c>
      <c r="K339" s="14" t="n">
        <v>0</v>
      </c>
      <c r="L339" s="8" t="b">
        <v>0</v>
      </c>
      <c r="M339" s="14" t="n">
        <v>0</v>
      </c>
      <c r="N339" s="19">
        <f>ROUND((J339-I339)-(K339+E339+H339),4)</f>
        <v/>
      </c>
    </row>
    <row r="340">
      <c r="A340" s="8" t="inlineStr">
        <is>
          <t>КУТ ЭЙР</t>
        </is>
      </c>
      <c r="B340" s="8" t="inlineStr">
        <is>
          <t>2026-05</t>
        </is>
      </c>
      <c r="C340" s="14" t="n">
        <v>-394564.72</v>
      </c>
      <c r="D340" s="14" t="n">
        <v>-634645.87</v>
      </c>
      <c r="E340" s="14" t="n">
        <v>-240081.15</v>
      </c>
      <c r="F340" s="14" t="n">
        <v>-109254.0200000002</v>
      </c>
      <c r="G340" s="14" t="n">
        <v>130827.1299999997</v>
      </c>
      <c r="H340" s="14" t="n">
        <v>240081.1499999999</v>
      </c>
      <c r="I340" s="14" t="n">
        <v>-503818.7400000002</v>
      </c>
      <c r="J340" s="14" t="n">
        <v>-503818.7400000003</v>
      </c>
      <c r="K340" s="14" t="n">
        <v>0</v>
      </c>
      <c r="L340" s="8" t="b">
        <v>0</v>
      </c>
      <c r="M340" s="14" t="n">
        <v>0</v>
      </c>
      <c r="N340" s="19">
        <f>ROUND((J340-I340)-(K340+E340+H340),4)</f>
        <v/>
      </c>
    </row>
    <row r="341">
      <c r="A341" s="8" t="inlineStr">
        <is>
          <t>КУТ ЭЙР</t>
        </is>
      </c>
      <c r="B341" s="8" t="inlineStr">
        <is>
          <t>2026-06</t>
        </is>
      </c>
      <c r="C341" s="14" t="n">
        <v>-634645.87</v>
      </c>
      <c r="D341" s="14" t="n">
        <v>-872063.8199999999</v>
      </c>
      <c r="E341" s="14" t="n">
        <v>-237417.95</v>
      </c>
      <c r="F341" s="14" t="n">
        <v>130827.1300000004</v>
      </c>
      <c r="G341" s="14" t="n">
        <v>314113.9700000003</v>
      </c>
      <c r="H341" s="14" t="n">
        <v>183286.8399999999</v>
      </c>
      <c r="I341" s="14" t="n">
        <v>-503818.7399999996</v>
      </c>
      <c r="J341" s="14" t="n">
        <v>-557949.8499999996</v>
      </c>
      <c r="K341" s="14" t="n">
        <v>0</v>
      </c>
      <c r="L341" s="8" t="b">
        <v>0</v>
      </c>
      <c r="M341" s="14" t="n">
        <v>0</v>
      </c>
      <c r="N341" s="19">
        <f>ROUND((J341-I341)-(K341+E341+H341),4)</f>
        <v/>
      </c>
    </row>
    <row r="342">
      <c r="A342" s="8" t="inlineStr">
        <is>
          <t>КУТ ЭЙР</t>
        </is>
      </c>
      <c r="B342" s="8" t="inlineStr">
        <is>
          <t>2026-07</t>
        </is>
      </c>
      <c r="C342" s="14" t="n">
        <v>-872063.8199999999</v>
      </c>
      <c r="D342" s="14" t="n">
        <v>-379422.9</v>
      </c>
      <c r="E342" s="14" t="n">
        <v>492640.92</v>
      </c>
      <c r="F342" s="14" t="n">
        <v>314113.9699999997</v>
      </c>
      <c r="G342" s="14" t="n">
        <v>-593727.7200000002</v>
      </c>
      <c r="H342" s="14" t="n">
        <v>-907841.6899999999</v>
      </c>
      <c r="I342" s="14" t="n">
        <v>-557949.8500000002</v>
      </c>
      <c r="J342" s="14" t="n">
        <v>-973150.6200000002</v>
      </c>
      <c r="K342" s="14" t="n">
        <v>-5.820766091346741e-11</v>
      </c>
      <c r="L342" s="8" t="b">
        <v>0</v>
      </c>
      <c r="M342" s="14" t="n">
        <v>0</v>
      </c>
      <c r="N342" s="19">
        <f>ROUND((J342-I342)-(K342+E342+H342),4)</f>
        <v/>
      </c>
    </row>
    <row r="343">
      <c r="A343" s="8" t="inlineStr">
        <is>
          <t>Кадырова Айнура Жумабекевна</t>
        </is>
      </c>
      <c r="B343" s="8" t="inlineStr">
        <is>
          <t>2026-01</t>
        </is>
      </c>
      <c r="C343" s="14" t="n">
        <v>129623.25</v>
      </c>
      <c r="D343" s="14" t="n">
        <v>-483073.76</v>
      </c>
      <c r="E343" s="14" t="n">
        <v>-612697.01</v>
      </c>
      <c r="F343" s="14" t="n">
        <v>-129623.25</v>
      </c>
      <c r="G343" s="14" t="n">
        <v>483073.76</v>
      </c>
      <c r="H343" s="14" t="n">
        <v>612697.01</v>
      </c>
      <c r="I343" s="14" t="n">
        <v>0</v>
      </c>
      <c r="J343" s="14" t="n">
        <v>0</v>
      </c>
      <c r="K343" s="14" t="n">
        <v>0</v>
      </c>
      <c r="L343" s="8" t="b">
        <v>0</v>
      </c>
      <c r="M343" s="14" t="n">
        <v>0</v>
      </c>
      <c r="N343" s="19">
        <f>ROUND((J343-I343)-(K343+E343+H343),4)</f>
        <v/>
      </c>
    </row>
    <row r="344">
      <c r="A344" s="8" t="inlineStr">
        <is>
          <t>Кадырова Айнура Жумабекевна</t>
        </is>
      </c>
      <c r="B344" s="8" t="inlineStr">
        <is>
          <t>2026-02</t>
        </is>
      </c>
      <c r="C344" s="14" t="n">
        <v>-483073.76</v>
      </c>
      <c r="D344" s="14" t="n">
        <v>-130476.93</v>
      </c>
      <c r="E344" s="14" t="n">
        <v>352596.83</v>
      </c>
      <c r="F344" s="14" t="n">
        <v>483073.7600000001</v>
      </c>
      <c r="G344" s="14" t="n">
        <v>-183537.5199999998</v>
      </c>
      <c r="H344" s="14" t="n">
        <v>-666611.2799999999</v>
      </c>
      <c r="I344" s="14" t="n">
        <v>1.164153218269348e-10</v>
      </c>
      <c r="J344" s="14" t="n">
        <v>-314014.4499999998</v>
      </c>
      <c r="K344" s="14" t="n">
        <v>5.820766091346741e-11</v>
      </c>
      <c r="L344" s="8" t="b">
        <v>0</v>
      </c>
      <c r="M344" s="14" t="n">
        <v>0</v>
      </c>
      <c r="N344" s="19">
        <f>ROUND((J344-I344)-(K344+E344+H344),4)</f>
        <v/>
      </c>
    </row>
    <row r="345">
      <c r="A345" s="8" t="inlineStr">
        <is>
          <t>Кадырова Айнура Жумабекевна</t>
        </is>
      </c>
      <c r="B345" s="8" t="inlineStr">
        <is>
          <t>2026-03</t>
        </is>
      </c>
      <c r="C345" s="14" t="n">
        <v>-130476.93</v>
      </c>
      <c r="D345" s="14" t="n">
        <v>-1455924.9</v>
      </c>
      <c r="E345" s="14" t="n">
        <v>-1325447.97</v>
      </c>
      <c r="F345" s="14" t="n">
        <v>-183537.52</v>
      </c>
      <c r="G345" s="14" t="n">
        <v>123387.2000000001</v>
      </c>
      <c r="H345" s="14" t="n">
        <v>306924.7200000001</v>
      </c>
      <c r="I345" s="14" t="n">
        <v>-314014.45</v>
      </c>
      <c r="J345" s="14" t="n">
        <v>-1332537.7</v>
      </c>
      <c r="K345" s="14" t="n">
        <v>0</v>
      </c>
      <c r="L345" s="8" t="b">
        <v>0</v>
      </c>
      <c r="M345" s="14" t="n">
        <v>0</v>
      </c>
      <c r="N345" s="19">
        <f>ROUND((J345-I345)-(K345+E345+H345),4)</f>
        <v/>
      </c>
    </row>
    <row r="346">
      <c r="A346" s="8" t="inlineStr">
        <is>
          <t>Кадырова Айнура Жумабекевна</t>
        </is>
      </c>
      <c r="B346" s="8" t="inlineStr">
        <is>
          <t>2026-04</t>
        </is>
      </c>
      <c r="C346" s="14" t="n">
        <v>-1483424.9</v>
      </c>
      <c r="D346" s="14" t="n">
        <v>-1231088.83</v>
      </c>
      <c r="E346" s="14" t="n">
        <v>252336.07</v>
      </c>
      <c r="F346" s="14" t="n">
        <v>123387.2000000004</v>
      </c>
      <c r="G346" s="14" t="n">
        <v>-139205.8699999996</v>
      </c>
      <c r="H346" s="14" t="n">
        <v>-262593.0700000001</v>
      </c>
      <c r="I346" s="14" t="n">
        <v>-1360037.699999999</v>
      </c>
      <c r="J346" s="14" t="n">
        <v>-1370294.7</v>
      </c>
      <c r="K346" s="14" t="n">
        <v>-2.328306436538696e-10</v>
      </c>
      <c r="L346" s="8" t="b">
        <v>1</v>
      </c>
      <c r="M346" s="14" t="n">
        <v>-27500</v>
      </c>
      <c r="N346" s="19">
        <f>ROUND((J346-I346)-(K346+E346+H346),4)</f>
        <v/>
      </c>
    </row>
    <row r="347">
      <c r="A347" s="8" t="inlineStr">
        <is>
          <t>Кадырова Айнура Жумабекевна</t>
        </is>
      </c>
      <c r="B347" s="8" t="inlineStr">
        <is>
          <t>2026-05</t>
        </is>
      </c>
      <c r="C347" s="14" t="n">
        <v>-1231088.83</v>
      </c>
      <c r="D347" s="14" t="n">
        <v>-1489130.84</v>
      </c>
      <c r="E347" s="14" t="n">
        <v>-258042.0099999999</v>
      </c>
      <c r="F347" s="14" t="n">
        <v>-139205.87</v>
      </c>
      <c r="G347" s="14" t="n">
        <v>-189094.02</v>
      </c>
      <c r="H347" s="14" t="n">
        <v>-49888.14999999997</v>
      </c>
      <c r="I347" s="14" t="n">
        <v>-1370294.7</v>
      </c>
      <c r="J347" s="14" t="n">
        <v>-1678224.86</v>
      </c>
      <c r="K347" s="14" t="n">
        <v>-2.328306436538696e-10</v>
      </c>
      <c r="L347" s="8" t="b">
        <v>0</v>
      </c>
      <c r="M347" s="14" t="n">
        <v>0</v>
      </c>
      <c r="N347" s="19">
        <f>ROUND((J347-I347)-(K347+E347+H347),4)</f>
        <v/>
      </c>
    </row>
    <row r="348">
      <c r="A348" s="8" t="inlineStr">
        <is>
          <t>Кадырова Айнура Жумабекевна</t>
        </is>
      </c>
      <c r="B348" s="8" t="inlineStr">
        <is>
          <t>2026-06</t>
        </is>
      </c>
      <c r="C348" s="14" t="n">
        <v>-1489130.84</v>
      </c>
      <c r="D348" s="14" t="n">
        <v>-1324989.68</v>
      </c>
      <c r="E348" s="14" t="n">
        <v>164141.16</v>
      </c>
      <c r="F348" s="14" t="n">
        <v>-189094.0199999998</v>
      </c>
      <c r="G348" s="14" t="n">
        <v>-372170.1599999997</v>
      </c>
      <c r="H348" s="14" t="n">
        <v>-183076.14</v>
      </c>
      <c r="I348" s="14" t="n">
        <v>-1678224.86</v>
      </c>
      <c r="J348" s="14" t="n">
        <v>-1697159.84</v>
      </c>
      <c r="K348" s="14" t="n">
        <v>2.328306436538696e-10</v>
      </c>
      <c r="L348" s="8" t="b">
        <v>0</v>
      </c>
      <c r="M348" s="14" t="n">
        <v>0</v>
      </c>
      <c r="N348" s="19">
        <f>ROUND((J348-I348)-(K348+E348+H348),4)</f>
        <v/>
      </c>
    </row>
    <row r="349">
      <c r="A349" s="8" t="inlineStr">
        <is>
          <t>Кадырова Айнура Жумабекевна</t>
        </is>
      </c>
      <c r="B349" s="8" t="inlineStr">
        <is>
          <t>2026-07</t>
        </is>
      </c>
      <c r="C349" s="14" t="n">
        <v>-1324989.68</v>
      </c>
      <c r="D349" s="14" t="n">
        <v>-1911844.62</v>
      </c>
      <c r="E349" s="14" t="n">
        <v>-586854.9399999999</v>
      </c>
      <c r="F349" s="14" t="n">
        <v>-372170.1599999997</v>
      </c>
      <c r="G349" s="14" t="n">
        <v>-42298.28999999975</v>
      </c>
      <c r="H349" s="14" t="n">
        <v>329871.8699999999</v>
      </c>
      <c r="I349" s="14" t="n">
        <v>-1697159.84</v>
      </c>
      <c r="J349" s="14" t="n">
        <v>-1954142.91</v>
      </c>
      <c r="K349" s="14" t="n">
        <v>-2.328306436538696e-10</v>
      </c>
      <c r="L349" s="8" t="b">
        <v>0</v>
      </c>
      <c r="M349" s="14" t="n">
        <v>0</v>
      </c>
      <c r="N349" s="19">
        <f>ROUND((J349-I349)-(K349+E349+H349),4)</f>
        <v/>
      </c>
    </row>
    <row r="350">
      <c r="A350" s="8" t="inlineStr">
        <is>
          <t>Кенешова Чолпон Таалайовна</t>
        </is>
      </c>
      <c r="B350" s="8" t="inlineStr">
        <is>
          <t>2026-01</t>
        </is>
      </c>
      <c r="C350" s="14" t="n">
        <v>-590947.04</v>
      </c>
      <c r="D350" s="14" t="n">
        <v>-606380.4</v>
      </c>
      <c r="E350" s="14" t="n">
        <v>-15433.36</v>
      </c>
      <c r="F350" s="14" t="n">
        <v>590947.04</v>
      </c>
      <c r="G350" s="14" t="n">
        <v>705922.04</v>
      </c>
      <c r="H350" s="14" t="n">
        <v>114975.0000000001</v>
      </c>
      <c r="I350" s="14" t="n">
        <v>0</v>
      </c>
      <c r="J350" s="14" t="n">
        <v>99541.64000000001</v>
      </c>
      <c r="K350" s="14" t="n">
        <v>0</v>
      </c>
      <c r="L350" s="8" t="b">
        <v>0</v>
      </c>
      <c r="M350" s="14" t="n">
        <v>0</v>
      </c>
      <c r="N350" s="19">
        <f>ROUND((J350-I350)-(K350+E350+H350),4)</f>
        <v/>
      </c>
    </row>
    <row r="351">
      <c r="A351" s="8" t="inlineStr">
        <is>
          <t>Кенешова Чолпон Таалайовна</t>
        </is>
      </c>
      <c r="B351" s="8" t="inlineStr">
        <is>
          <t>2026-02</t>
        </is>
      </c>
      <c r="C351" s="14" t="n">
        <v>-606380.4</v>
      </c>
      <c r="D351" s="14" t="n">
        <v>-454182.77</v>
      </c>
      <c r="E351" s="14" t="n">
        <v>152197.63</v>
      </c>
      <c r="F351" s="14" t="n">
        <v>705922.0400000003</v>
      </c>
      <c r="G351" s="14" t="n">
        <v>254582.7300000002</v>
      </c>
      <c r="H351" s="14" t="n">
        <v>-451339.31</v>
      </c>
      <c r="I351" s="14" t="n">
        <v>99541.64000000025</v>
      </c>
      <c r="J351" s="14" t="n">
        <v>-199600.0399999998</v>
      </c>
      <c r="K351" s="14" t="n">
        <v>0</v>
      </c>
      <c r="L351" s="8" t="b">
        <v>0</v>
      </c>
      <c r="M351" s="14" t="n">
        <v>0</v>
      </c>
      <c r="N351" s="19">
        <f>ROUND((J351-I351)-(K351+E351+H351),4)</f>
        <v/>
      </c>
    </row>
    <row r="352">
      <c r="A352" s="8" t="inlineStr">
        <is>
          <t>Кенешова Чолпон Таалайовна</t>
        </is>
      </c>
      <c r="B352" s="8" t="inlineStr">
        <is>
          <t>2026-03</t>
        </is>
      </c>
      <c r="C352" s="14" t="n">
        <v>-454182.77</v>
      </c>
      <c r="D352" s="14" t="n">
        <v>-849914.35</v>
      </c>
      <c r="E352" s="14" t="n">
        <v>-395731.5800000001</v>
      </c>
      <c r="F352" s="14" t="n">
        <v>254582.7300000002</v>
      </c>
      <c r="G352" s="14" t="n">
        <v>618947.5100000001</v>
      </c>
      <c r="H352" s="14" t="n">
        <v>364364.78</v>
      </c>
      <c r="I352" s="14" t="n">
        <v>-199600.0399999999</v>
      </c>
      <c r="J352" s="14" t="n">
        <v>-230966.8399999999</v>
      </c>
      <c r="K352" s="14" t="n">
        <v>1.164153218269348e-10</v>
      </c>
      <c r="L352" s="8" t="b">
        <v>0</v>
      </c>
      <c r="M352" s="14" t="n">
        <v>0</v>
      </c>
      <c r="N352" s="19">
        <f>ROUND((J352-I352)-(K352+E352+H352),4)</f>
        <v/>
      </c>
    </row>
    <row r="353">
      <c r="A353" s="8" t="inlineStr">
        <is>
          <t>Кенешова Чолпон Таалайовна</t>
        </is>
      </c>
      <c r="B353" s="8" t="inlineStr">
        <is>
          <t>2026-04</t>
        </is>
      </c>
      <c r="C353" s="14" t="n">
        <v>-849914.35</v>
      </c>
      <c r="D353" s="14" t="n">
        <v>-858488.77</v>
      </c>
      <c r="E353" s="14" t="n">
        <v>-8574.419999999998</v>
      </c>
      <c r="F353" s="14" t="n">
        <v>618947.51</v>
      </c>
      <c r="G353" s="14" t="n">
        <v>627521.9300000001</v>
      </c>
      <c r="H353" s="14" t="n">
        <v>8574.419999999984</v>
      </c>
      <c r="I353" s="14" t="n">
        <v>-230966.84</v>
      </c>
      <c r="J353" s="14" t="n">
        <v>-230966.84</v>
      </c>
      <c r="K353" s="14" t="n">
        <v>0</v>
      </c>
      <c r="L353" s="8" t="b">
        <v>0</v>
      </c>
      <c r="M353" s="14" t="n">
        <v>0</v>
      </c>
      <c r="N353" s="19">
        <f>ROUND((J353-I353)-(K353+E353+H353),4)</f>
        <v/>
      </c>
    </row>
    <row r="354">
      <c r="A354" s="8" t="inlineStr">
        <is>
          <t>Кенешова Чолпон Таалайовна</t>
        </is>
      </c>
      <c r="B354" s="8" t="inlineStr">
        <is>
          <t>2026-05</t>
        </is>
      </c>
      <c r="C354" s="14" t="n">
        <v>-858488.77</v>
      </c>
      <c r="D354" s="14" t="n">
        <v>-527860.03</v>
      </c>
      <c r="E354" s="14" t="n">
        <v>330628.74</v>
      </c>
      <c r="F354" s="14" t="n">
        <v>627521.9300000002</v>
      </c>
      <c r="G354" s="14" t="n">
        <v>256748.2200000001</v>
      </c>
      <c r="H354" s="14" t="n">
        <v>-370773.71</v>
      </c>
      <c r="I354" s="14" t="n">
        <v>-230966.8399999999</v>
      </c>
      <c r="J354" s="14" t="n">
        <v>-271111.8099999999</v>
      </c>
      <c r="K354" s="14" t="n">
        <v>0</v>
      </c>
      <c r="L354" s="8" t="b">
        <v>0</v>
      </c>
      <c r="M354" s="14" t="n">
        <v>0</v>
      </c>
      <c r="N354" s="19">
        <f>ROUND((J354-I354)-(K354+E354+H354),4)</f>
        <v/>
      </c>
    </row>
    <row r="355">
      <c r="A355" s="8" t="inlineStr">
        <is>
          <t>Кенешова Чолпон Таалайовна</t>
        </is>
      </c>
      <c r="B355" s="8" t="inlineStr">
        <is>
          <t>2026-06</t>
        </is>
      </c>
      <c r="C355" s="14" t="n">
        <v>-527860.03</v>
      </c>
      <c r="D355" s="14" t="n">
        <v>-907509.65</v>
      </c>
      <c r="E355" s="14" t="n">
        <v>-379649.62</v>
      </c>
      <c r="F355" s="14" t="n">
        <v>256748.2200000002</v>
      </c>
      <c r="G355" s="14" t="n">
        <v>636397.8400000001</v>
      </c>
      <c r="H355" s="14" t="n">
        <v>379649.6199999999</v>
      </c>
      <c r="I355" s="14" t="n">
        <v>-271111.8099999998</v>
      </c>
      <c r="J355" s="14" t="n">
        <v>-271111.8099999999</v>
      </c>
      <c r="K355" s="14" t="n">
        <v>0</v>
      </c>
      <c r="L355" s="8" t="b">
        <v>0</v>
      </c>
      <c r="M355" s="14" t="n">
        <v>0</v>
      </c>
      <c r="N355" s="19">
        <f>ROUND((J355-I355)-(K355+E355+H355),4)</f>
        <v/>
      </c>
    </row>
    <row r="356">
      <c r="A356" s="8" t="inlineStr">
        <is>
          <t>Кенешова Чолпон Таалайовна</t>
        </is>
      </c>
      <c r="B356" s="8" t="inlineStr">
        <is>
          <t>2026-07</t>
        </is>
      </c>
      <c r="C356" s="14" t="n">
        <v>-907509.65</v>
      </c>
      <c r="D356" s="14" t="n">
        <v>-1013768.56</v>
      </c>
      <c r="E356" s="14" t="n">
        <v>-106258.91</v>
      </c>
      <c r="F356" s="14" t="n">
        <v>636397.8400000001</v>
      </c>
      <c r="G356" s="14" t="n">
        <v>684388.9300000002</v>
      </c>
      <c r="H356" s="14" t="n">
        <v>47991.09000000003</v>
      </c>
      <c r="I356" s="14" t="n">
        <v>-271111.8099999999</v>
      </c>
      <c r="J356" s="14" t="n">
        <v>-329379.6299999999</v>
      </c>
      <c r="K356" s="14" t="n">
        <v>0</v>
      </c>
      <c r="L356" s="8" t="b">
        <v>0</v>
      </c>
      <c r="M356" s="14" t="n">
        <v>0</v>
      </c>
      <c r="N356" s="19">
        <f>ROUND((J356-I356)-(K356+E356+H356),4)</f>
        <v/>
      </c>
    </row>
    <row r="357">
      <c r="A357" s="8" t="inlineStr">
        <is>
          <t>МУРАС ТРИП</t>
        </is>
      </c>
      <c r="B357" s="8" t="inlineStr">
        <is>
          <t>2026-01</t>
        </is>
      </c>
      <c r="C357" s="14" t="n">
        <v>476952.89</v>
      </c>
      <c r="D357" s="14" t="n">
        <v>-343004.23</v>
      </c>
      <c r="E357" s="14" t="n">
        <v>-819957.1200000001</v>
      </c>
      <c r="F357" s="14" t="n">
        <v>-2607831.71</v>
      </c>
      <c r="G357" s="14" t="n">
        <v>-2208674.59</v>
      </c>
      <c r="H357" s="14" t="n">
        <v>399157.12</v>
      </c>
      <c r="I357" s="14" t="n">
        <v>-2130878.82</v>
      </c>
      <c r="J357" s="14" t="n">
        <v>-2551678.82</v>
      </c>
      <c r="K357" s="14" t="n">
        <v>1.164153218269348e-10</v>
      </c>
      <c r="L357" s="8" t="b">
        <v>0</v>
      </c>
      <c r="M357" s="14" t="n">
        <v>0</v>
      </c>
      <c r="N357" s="19">
        <f>ROUND((J357-I357)-(K357+E357+H357),4)</f>
        <v/>
      </c>
    </row>
    <row r="358">
      <c r="A358" s="8" t="inlineStr">
        <is>
          <t>МУРАС ТРИП</t>
        </is>
      </c>
      <c r="B358" s="8" t="inlineStr">
        <is>
          <t>2026-02</t>
        </is>
      </c>
      <c r="C358" s="14" t="n">
        <v>-343004.23</v>
      </c>
      <c r="D358" s="14" t="n">
        <v>-520266.64</v>
      </c>
      <c r="E358" s="14" t="n">
        <v>-177262.41</v>
      </c>
      <c r="F358" s="14" t="n">
        <v>-2208674.59</v>
      </c>
      <c r="G358" s="14" t="n">
        <v>-2242412.18</v>
      </c>
      <c r="H358" s="14" t="n">
        <v>-33737.58999999998</v>
      </c>
      <c r="I358" s="14" t="n">
        <v>-2551678.82</v>
      </c>
      <c r="J358" s="14" t="n">
        <v>-2762678.82</v>
      </c>
      <c r="K358" s="14" t="n">
        <v>0</v>
      </c>
      <c r="L358" s="8" t="b">
        <v>0</v>
      </c>
      <c r="M358" s="14" t="n">
        <v>0</v>
      </c>
      <c r="N358" s="19">
        <f>ROUND((J358-I358)-(K358+E358+H358),4)</f>
        <v/>
      </c>
    </row>
    <row r="359">
      <c r="A359" s="8" t="inlineStr">
        <is>
          <t>МУРАС ТРИП</t>
        </is>
      </c>
      <c r="B359" s="8" t="inlineStr">
        <is>
          <t>2026-03</t>
        </is>
      </c>
      <c r="C359" s="14" t="n">
        <v>-520266.64</v>
      </c>
      <c r="D359" s="14" t="n">
        <v>-154560.58</v>
      </c>
      <c r="E359" s="14" t="n">
        <v>365706.06</v>
      </c>
      <c r="F359" s="14" t="n">
        <v>-2242412.18</v>
      </c>
      <c r="G359" s="14" t="n">
        <v>-2608118.24</v>
      </c>
      <c r="H359" s="14" t="n">
        <v>-365706.0600000001</v>
      </c>
      <c r="I359" s="14" t="n">
        <v>-2762678.82</v>
      </c>
      <c r="J359" s="14" t="n">
        <v>-2762678.82</v>
      </c>
      <c r="K359" s="14" t="n">
        <v>2.91038304567337e-11</v>
      </c>
      <c r="L359" s="8" t="b">
        <v>0</v>
      </c>
      <c r="M359" s="14" t="n">
        <v>0</v>
      </c>
      <c r="N359" s="19">
        <f>ROUND((J359-I359)-(K359+E359+H359),4)</f>
        <v/>
      </c>
    </row>
    <row r="360">
      <c r="A360" s="8" t="inlineStr">
        <is>
          <t>МУРАС ТРИП</t>
        </is>
      </c>
      <c r="B360" s="8" t="inlineStr">
        <is>
          <t>2026-04</t>
        </is>
      </c>
      <c r="C360" s="14" t="n">
        <v>-154560.58</v>
      </c>
      <c r="D360" s="14" t="n">
        <v>-313474.63</v>
      </c>
      <c r="E360" s="14" t="n">
        <v>-158914.05</v>
      </c>
      <c r="F360" s="14" t="n">
        <v>-2608118.24</v>
      </c>
      <c r="G360" s="14" t="n">
        <v>-2790741.55</v>
      </c>
      <c r="H360" s="14" t="n">
        <v>-182623.3099999999</v>
      </c>
      <c r="I360" s="14" t="n">
        <v>-2762678.82</v>
      </c>
      <c r="J360" s="14" t="n">
        <v>-3104216.18</v>
      </c>
      <c r="K360" s="14" t="n">
        <v>0</v>
      </c>
      <c r="L360" s="8" t="b">
        <v>0</v>
      </c>
      <c r="M360" s="14" t="n">
        <v>0</v>
      </c>
      <c r="N360" s="19">
        <f>ROUND((J360-I360)-(K360+E360+H360),4)</f>
        <v/>
      </c>
    </row>
    <row r="361">
      <c r="A361" s="8" t="inlineStr">
        <is>
          <t>МУРАС ТРИП</t>
        </is>
      </c>
      <c r="B361" s="8" t="inlineStr">
        <is>
          <t>2026-05</t>
        </is>
      </c>
      <c r="C361" s="14" t="n">
        <v>-313474.63</v>
      </c>
      <c r="D361" s="14" t="n">
        <v>-119011.97</v>
      </c>
      <c r="E361" s="14" t="n">
        <v>194462.66</v>
      </c>
      <c r="F361" s="14" t="n">
        <v>-2790741.55</v>
      </c>
      <c r="G361" s="14" t="n">
        <v>-3004562.74</v>
      </c>
      <c r="H361" s="14" t="n">
        <v>-213821.19</v>
      </c>
      <c r="I361" s="14" t="n">
        <v>-3104216.18</v>
      </c>
      <c r="J361" s="14" t="n">
        <v>-3123574.71</v>
      </c>
      <c r="K361" s="14" t="n">
        <v>0</v>
      </c>
      <c r="L361" s="8" t="b">
        <v>0</v>
      </c>
      <c r="M361" s="14" t="n">
        <v>0</v>
      </c>
      <c r="N361" s="19">
        <f>ROUND((J361-I361)-(K361+E361+H361),4)</f>
        <v/>
      </c>
    </row>
    <row r="362">
      <c r="A362" s="8" t="inlineStr">
        <is>
          <t>МУРАС ТРИП</t>
        </is>
      </c>
      <c r="B362" s="8" t="inlineStr">
        <is>
          <t>2026-07</t>
        </is>
      </c>
      <c r="C362" s="14" t="n">
        <v>475446.34</v>
      </c>
      <c r="D362" s="14" t="n">
        <v>265155.7</v>
      </c>
      <c r="E362" s="14" t="n">
        <v>-210290.64</v>
      </c>
      <c r="F362" s="14" t="n">
        <v>-3599021.05</v>
      </c>
      <c r="G362" s="14" t="n">
        <v>-3483565.91</v>
      </c>
      <c r="H362" s="14" t="n">
        <v>115455.14</v>
      </c>
      <c r="I362" s="14" t="n">
        <v>-3123574.71</v>
      </c>
      <c r="J362" s="14" t="n">
        <v>-3218410.209999999</v>
      </c>
      <c r="K362" s="14" t="n">
        <v>0</v>
      </c>
      <c r="L362" s="8" t="b">
        <v>0</v>
      </c>
      <c r="M362" s="14" t="n">
        <v>594458.3100000001</v>
      </c>
      <c r="N362" s="19">
        <f>ROUND((J362-I362)-(K362+E362+H362),4)</f>
        <v/>
      </c>
    </row>
    <row r="363">
      <c r="A363" s="8" t="inlineStr">
        <is>
          <t>Мамбет уулу Чынгыз</t>
        </is>
      </c>
      <c r="B363" s="8" t="inlineStr">
        <is>
          <t>2026-01</t>
        </is>
      </c>
      <c r="C363" s="14" t="n">
        <v>208685.52</v>
      </c>
      <c r="D363" s="14" t="n">
        <v>-584449.21</v>
      </c>
      <c r="E363" s="14" t="n">
        <v>-793134.73</v>
      </c>
      <c r="F363" s="14" t="n">
        <v>-94069.22999999998</v>
      </c>
      <c r="G363" s="14" t="n">
        <v>699675.6000000001</v>
      </c>
      <c r="H363" s="14" t="n">
        <v>793744.8300000001</v>
      </c>
      <c r="I363" s="14" t="n">
        <v>114616.29</v>
      </c>
      <c r="J363" s="14" t="n">
        <v>115226.3900000001</v>
      </c>
      <c r="K363" s="14" t="n">
        <v>0</v>
      </c>
      <c r="L363" s="8" t="b">
        <v>0</v>
      </c>
      <c r="M363" s="14" t="n">
        <v>0</v>
      </c>
      <c r="N363" s="19">
        <f>ROUND((J363-I363)-(K363+E363+H363),4)</f>
        <v/>
      </c>
    </row>
    <row r="364">
      <c r="A364" s="8" t="inlineStr">
        <is>
          <t>Мамбет уулу Чынгыз</t>
        </is>
      </c>
      <c r="B364" s="8" t="inlineStr">
        <is>
          <t>2026-02</t>
        </is>
      </c>
      <c r="C364" s="14" t="n">
        <v>-584449.21</v>
      </c>
      <c r="D364" s="14" t="n">
        <v>-763442.63</v>
      </c>
      <c r="E364" s="14" t="n">
        <v>-178993.42</v>
      </c>
      <c r="F364" s="14" t="n">
        <v>699675.6</v>
      </c>
      <c r="G364" s="14" t="n">
        <v>884923.34</v>
      </c>
      <c r="H364" s="14" t="n">
        <v>185247.74</v>
      </c>
      <c r="I364" s="14" t="n">
        <v>115226.39</v>
      </c>
      <c r="J364" s="14" t="n">
        <v>121480.71</v>
      </c>
      <c r="K364" s="14" t="n">
        <v>-1.164153218269348e-10</v>
      </c>
      <c r="L364" s="8" t="b">
        <v>0</v>
      </c>
      <c r="M364" s="14" t="n">
        <v>0</v>
      </c>
      <c r="N364" s="19">
        <f>ROUND((J364-I364)-(K364+E364+H364),4)</f>
        <v/>
      </c>
    </row>
    <row r="365">
      <c r="A365" s="8" t="inlineStr">
        <is>
          <t>Мамбет уулу Чынгыз</t>
        </is>
      </c>
      <c r="B365" s="8" t="inlineStr">
        <is>
          <t>2026-03</t>
        </is>
      </c>
      <c r="C365" s="14" t="n">
        <v>-763442.63</v>
      </c>
      <c r="D365" s="14" t="n">
        <v>-899998.79</v>
      </c>
      <c r="E365" s="14" t="n">
        <v>-136556.16</v>
      </c>
      <c r="F365" s="14" t="n">
        <v>884923.34</v>
      </c>
      <c r="G365" s="14" t="n">
        <v>967479.5</v>
      </c>
      <c r="H365" s="14" t="n">
        <v>82556.16</v>
      </c>
      <c r="I365" s="14" t="n">
        <v>121480.71</v>
      </c>
      <c r="J365" s="14" t="n">
        <v>67480.70999999996</v>
      </c>
      <c r="K365" s="14" t="n">
        <v>0</v>
      </c>
      <c r="L365" s="8" t="b">
        <v>0</v>
      </c>
      <c r="M365" s="14" t="n">
        <v>0</v>
      </c>
      <c r="N365" s="19">
        <f>ROUND((J365-I365)-(K365+E365+H365),4)</f>
        <v/>
      </c>
    </row>
    <row r="366">
      <c r="A366" s="8" t="inlineStr">
        <is>
          <t>Мамбет уулу Чынгыз</t>
        </is>
      </c>
      <c r="B366" s="8" t="inlineStr">
        <is>
          <t>2026-04</t>
        </is>
      </c>
      <c r="C366" s="14" t="n">
        <v>-899998.79</v>
      </c>
      <c r="D366" s="14" t="n">
        <v>-1019226.18</v>
      </c>
      <c r="E366" s="14" t="n">
        <v>-119227.39</v>
      </c>
      <c r="F366" s="14" t="n">
        <v>967479.4999999999</v>
      </c>
      <c r="G366" s="14" t="n">
        <v>1086706.89</v>
      </c>
      <c r="H366" s="14" t="n">
        <v>119227.39</v>
      </c>
      <c r="I366" s="14" t="n">
        <v>67480.70999999985</v>
      </c>
      <c r="J366" s="14" t="n">
        <v>67480.70999999985</v>
      </c>
      <c r="K366" s="14" t="n">
        <v>0</v>
      </c>
      <c r="L366" s="8" t="b">
        <v>0</v>
      </c>
      <c r="M366" s="14" t="n">
        <v>0</v>
      </c>
      <c r="N366" s="19">
        <f>ROUND((J366-I366)-(K366+E366+H366),4)</f>
        <v/>
      </c>
    </row>
    <row r="367">
      <c r="A367" s="8" t="inlineStr">
        <is>
          <t>Мамбет уулу Чынгыз</t>
        </is>
      </c>
      <c r="B367" s="8" t="inlineStr">
        <is>
          <t>2026-05</t>
        </is>
      </c>
      <c r="C367" s="14" t="n">
        <v>-1019226.18</v>
      </c>
      <c r="D367" s="14" t="n">
        <v>-558067.11</v>
      </c>
      <c r="E367" s="14" t="n">
        <v>461159.07</v>
      </c>
      <c r="F367" s="14" t="n">
        <v>1086706.89</v>
      </c>
      <c r="G367" s="14" t="n">
        <v>625409.36</v>
      </c>
      <c r="H367" s="14" t="n">
        <v>-461297.5300000001</v>
      </c>
      <c r="I367" s="14" t="n">
        <v>67480.71000000008</v>
      </c>
      <c r="J367" s="14" t="n">
        <v>67342.25</v>
      </c>
      <c r="K367" s="14" t="n">
        <v>1.164153218269348e-10</v>
      </c>
      <c r="L367" s="8" t="b">
        <v>0</v>
      </c>
      <c r="M367" s="14" t="n">
        <v>0</v>
      </c>
      <c r="N367" s="19">
        <f>ROUND((J367-I367)-(K367+E367+H367),4)</f>
        <v/>
      </c>
    </row>
    <row r="368">
      <c r="A368" s="8" t="inlineStr">
        <is>
          <t>Мамбет уулу Чынгыз</t>
        </is>
      </c>
      <c r="B368" s="8" t="inlineStr">
        <is>
          <t>2026-06</t>
        </is>
      </c>
      <c r="C368" s="14" t="n">
        <v>-558067.11</v>
      </c>
      <c r="D368" s="14" t="n">
        <v>408193.73</v>
      </c>
      <c r="E368" s="14" t="n">
        <v>966260.84</v>
      </c>
      <c r="F368" s="14" t="n">
        <v>625409.3599999999</v>
      </c>
      <c r="G368" s="14" t="n">
        <v>-335695.99</v>
      </c>
      <c r="H368" s="14" t="n">
        <v>-961105.3499999999</v>
      </c>
      <c r="I368" s="14" t="n">
        <v>67342.24999999988</v>
      </c>
      <c r="J368" s="14" t="n">
        <v>72497.73999999999</v>
      </c>
      <c r="K368" s="14" t="n">
        <v>0</v>
      </c>
      <c r="L368" s="8" t="b">
        <v>0</v>
      </c>
      <c r="M368" s="14" t="n">
        <v>0</v>
      </c>
      <c r="N368" s="19">
        <f>ROUND((J368-I368)-(K368+E368+H368),4)</f>
        <v/>
      </c>
    </row>
    <row r="369">
      <c r="A369" s="8" t="inlineStr">
        <is>
          <t>Мамбет уулу Чынгыз</t>
        </is>
      </c>
      <c r="B369" s="8" t="inlineStr">
        <is>
          <t>2026-07</t>
        </is>
      </c>
      <c r="C369" s="14" t="n">
        <v>408193.73</v>
      </c>
      <c r="D369" s="14" t="n">
        <v>452408.45</v>
      </c>
      <c r="E369" s="14" t="n">
        <v>44214.71999999999</v>
      </c>
      <c r="F369" s="14" t="n">
        <v>-335695.9900000002</v>
      </c>
      <c r="G369" s="14" t="n">
        <v>-379910.7100000002</v>
      </c>
      <c r="H369" s="14" t="n">
        <v>-44214.72000000002</v>
      </c>
      <c r="I369" s="14" t="n">
        <v>72497.73999999982</v>
      </c>
      <c r="J369" s="14" t="n">
        <v>72497.73999999982</v>
      </c>
      <c r="K369" s="14" t="n">
        <v>5.820766091346741e-11</v>
      </c>
      <c r="L369" s="8" t="b">
        <v>0</v>
      </c>
      <c r="M369" s="14" t="n">
        <v>0</v>
      </c>
      <c r="N369" s="19">
        <f>ROUND((J369-I369)-(K369+E369+H369),4)</f>
        <v/>
      </c>
    </row>
    <row r="370">
      <c r="A370" s="8" t="inlineStr">
        <is>
          <t>Манас Вояж</t>
        </is>
      </c>
      <c r="B370" s="8" t="inlineStr">
        <is>
          <t>2026-01</t>
        </is>
      </c>
      <c r="C370" s="14" t="n">
        <v>0</v>
      </c>
      <c r="D370" s="14" t="n">
        <v>702216.39</v>
      </c>
      <c r="E370" s="14" t="n">
        <v>702216.39</v>
      </c>
      <c r="F370" s="14" t="n">
        <v>0</v>
      </c>
      <c r="G370" s="14" t="n">
        <v>-700462.35</v>
      </c>
      <c r="H370" s="14" t="n">
        <v>-700462.35</v>
      </c>
      <c r="I370" s="14" t="n">
        <v>0</v>
      </c>
      <c r="J370" s="14" t="n">
        <v>1754.040000000037</v>
      </c>
      <c r="K370" s="14" t="n">
        <v>0</v>
      </c>
      <c r="L370" s="8" t="b">
        <v>0</v>
      </c>
      <c r="M370" s="14" t="n">
        <v>0</v>
      </c>
      <c r="N370" s="19">
        <f>ROUND((J370-I370)-(K370+E370+H370),4)</f>
        <v/>
      </c>
    </row>
    <row r="371">
      <c r="A371" s="8" t="inlineStr">
        <is>
          <t>Манас Вояж</t>
        </is>
      </c>
      <c r="B371" s="8" t="inlineStr">
        <is>
          <t>2026-02</t>
        </is>
      </c>
      <c r="C371" s="14" t="n">
        <v>702216.39</v>
      </c>
      <c r="D371" s="14" t="n">
        <v>691228.75</v>
      </c>
      <c r="E371" s="14" t="n">
        <v>-10987.64000000001</v>
      </c>
      <c r="F371" s="14" t="n">
        <v>-700462.3500000001</v>
      </c>
      <c r="G371" s="14" t="n">
        <v>-692530.53</v>
      </c>
      <c r="H371" s="14" t="n">
        <v>7931.820000000011</v>
      </c>
      <c r="I371" s="14" t="n">
        <v>1754.039999999921</v>
      </c>
      <c r="J371" s="14" t="n">
        <v>-1301.780000000028</v>
      </c>
      <c r="K371" s="14" t="n">
        <v>0</v>
      </c>
      <c r="L371" s="8" t="b">
        <v>0</v>
      </c>
      <c r="M371" s="14" t="n">
        <v>0</v>
      </c>
      <c r="N371" s="19">
        <f>ROUND((J371-I371)-(K371+E371+H371),4)</f>
        <v/>
      </c>
    </row>
    <row r="372">
      <c r="A372" s="8" t="inlineStr">
        <is>
          <t>Манас Вояж</t>
        </is>
      </c>
      <c r="B372" s="8" t="inlineStr">
        <is>
          <t>2026-03</t>
        </is>
      </c>
      <c r="C372" s="14" t="n">
        <v>691228.75</v>
      </c>
      <c r="D372" s="14" t="n">
        <v>701025.4399999999</v>
      </c>
      <c r="E372" s="14" t="n">
        <v>9796.689999999988</v>
      </c>
      <c r="F372" s="14" t="n">
        <v>-692530.5299999999</v>
      </c>
      <c r="G372" s="14" t="n">
        <v>-700475.7699999999</v>
      </c>
      <c r="H372" s="14" t="n">
        <v>-7945.240000000013</v>
      </c>
      <c r="I372" s="14" t="n">
        <v>-1301.779999999912</v>
      </c>
      <c r="J372" s="14" t="n">
        <v>549.6700000000419</v>
      </c>
      <c r="K372" s="14" t="n">
        <v>0</v>
      </c>
      <c r="L372" s="8" t="b">
        <v>0</v>
      </c>
      <c r="M372" s="14" t="n">
        <v>0</v>
      </c>
      <c r="N372" s="19">
        <f>ROUND((J372-I372)-(K372+E372+H372),4)</f>
        <v/>
      </c>
    </row>
    <row r="373">
      <c r="A373" s="8" t="inlineStr">
        <is>
          <t>Манас Вояж</t>
        </is>
      </c>
      <c r="B373" s="8" t="inlineStr">
        <is>
          <t>2026-04</t>
        </is>
      </c>
      <c r="C373" s="14" t="n">
        <v>701025.4399999999</v>
      </c>
      <c r="D373" s="14" t="n">
        <v>1100813.03</v>
      </c>
      <c r="E373" s="14" t="n">
        <v>399787.59</v>
      </c>
      <c r="F373" s="14" t="n">
        <v>-700475.77</v>
      </c>
      <c r="G373" s="14" t="n">
        <v>-1196648.65</v>
      </c>
      <c r="H373" s="14" t="n">
        <v>-496172.8799999999</v>
      </c>
      <c r="I373" s="14" t="n">
        <v>549.6699999999255</v>
      </c>
      <c r="J373" s="14" t="n">
        <v>-95835.61999999988</v>
      </c>
      <c r="K373" s="14" t="n">
        <v>2.328306436538696e-10</v>
      </c>
      <c r="L373" s="8" t="b">
        <v>0</v>
      </c>
      <c r="M373" s="14" t="n">
        <v>0</v>
      </c>
      <c r="N373" s="19">
        <f>ROUND((J373-I373)-(K373+E373+H373),4)</f>
        <v/>
      </c>
    </row>
    <row r="374">
      <c r="A374" s="8" t="inlineStr">
        <is>
          <t>Манас Вояж</t>
        </is>
      </c>
      <c r="B374" s="8" t="inlineStr">
        <is>
          <t>2026-05</t>
        </is>
      </c>
      <c r="C374" s="14" t="n">
        <v>1100813.03</v>
      </c>
      <c r="D374" s="14" t="n">
        <v>371395.41</v>
      </c>
      <c r="E374" s="14" t="n">
        <v>-729417.6199999999</v>
      </c>
      <c r="F374" s="14" t="n">
        <v>-1196648.65</v>
      </c>
      <c r="G374" s="14" t="n">
        <v>-458260.7899999997</v>
      </c>
      <c r="H374" s="14" t="n">
        <v>738387.8599999999</v>
      </c>
      <c r="I374" s="14" t="n">
        <v>-95835.61999999965</v>
      </c>
      <c r="J374" s="14" t="n">
        <v>-86865.37999999977</v>
      </c>
      <c r="K374" s="14" t="n">
        <v>-1.746229827404022e-10</v>
      </c>
      <c r="L374" s="8" t="b">
        <v>0</v>
      </c>
      <c r="M374" s="14" t="n">
        <v>0</v>
      </c>
      <c r="N374" s="19">
        <f>ROUND((J374-I374)-(K374+E374+H374),4)</f>
        <v/>
      </c>
    </row>
    <row r="375">
      <c r="A375" s="8" t="inlineStr">
        <is>
          <t>Манас Вояж</t>
        </is>
      </c>
      <c r="B375" s="8" t="inlineStr">
        <is>
          <t>2026-06</t>
        </is>
      </c>
      <c r="C375" s="14" t="n">
        <v>371395.41</v>
      </c>
      <c r="D375" s="14" t="n">
        <v>-19879.59</v>
      </c>
      <c r="E375" s="14" t="n">
        <v>-391275</v>
      </c>
      <c r="F375" s="14" t="n">
        <v>-458260.7899999999</v>
      </c>
      <c r="G375" s="14" t="n">
        <v>-87397.02999999991</v>
      </c>
      <c r="H375" s="14" t="n">
        <v>370863.76</v>
      </c>
      <c r="I375" s="14" t="n">
        <v>-86865.37999999995</v>
      </c>
      <c r="J375" s="14" t="n">
        <v>-107276.6199999999</v>
      </c>
      <c r="K375" s="14" t="n">
        <v>2.546585164964199e-11</v>
      </c>
      <c r="L375" s="8" t="b">
        <v>0</v>
      </c>
      <c r="M375" s="14" t="n">
        <v>0</v>
      </c>
      <c r="N375" s="19">
        <f>ROUND((J375-I375)-(K375+E375+H375),4)</f>
        <v/>
      </c>
    </row>
    <row r="376">
      <c r="A376" s="8" t="inlineStr">
        <is>
          <t>Манас Вояж</t>
        </is>
      </c>
      <c r="B376" s="8" t="inlineStr">
        <is>
          <t>2026-07</t>
        </is>
      </c>
      <c r="C376" s="14" t="n">
        <v>-19879.59</v>
      </c>
      <c r="D376" s="14" t="n">
        <v>-111699.07</v>
      </c>
      <c r="E376" s="14" t="n">
        <v>-91819.48000000001</v>
      </c>
      <c r="F376" s="14" t="n">
        <v>-87397.02999999994</v>
      </c>
      <c r="G376" s="14" t="n">
        <v>-37091.62999999989</v>
      </c>
      <c r="H376" s="14" t="n">
        <v>50305.40000000005</v>
      </c>
      <c r="I376" s="14" t="n">
        <v>-107276.6199999999</v>
      </c>
      <c r="J376" s="14" t="n">
        <v>-148790.6999999999</v>
      </c>
      <c r="K376" s="14" t="n">
        <v>0</v>
      </c>
      <c r="L376" s="8" t="b">
        <v>0</v>
      </c>
      <c r="M376" s="14" t="n">
        <v>0</v>
      </c>
      <c r="N376" s="19">
        <f>ROUND((J376-I376)-(K376+E376+H376),4)</f>
        <v/>
      </c>
    </row>
    <row r="377">
      <c r="A377" s="8" t="inlineStr">
        <is>
          <t>Манас Тревел</t>
        </is>
      </c>
      <c r="B377" s="8" t="inlineStr">
        <is>
          <t>2026-01</t>
        </is>
      </c>
      <c r="C377" s="14" t="n">
        <v>0</v>
      </c>
      <c r="D377" s="14" t="n">
        <v>-501192.38</v>
      </c>
      <c r="E377" s="14" t="n">
        <v>-501192.3800000001</v>
      </c>
      <c r="F377" s="14" t="n">
        <v>1737199.16</v>
      </c>
      <c r="G377" s="14" t="n">
        <v>1923568.64</v>
      </c>
      <c r="H377" s="14" t="n">
        <v>186369.4799999999</v>
      </c>
      <c r="I377" s="14" t="n">
        <v>1737199.16</v>
      </c>
      <c r="J377" s="14" t="n">
        <v>1422376.26</v>
      </c>
      <c r="K377" s="14" t="n">
        <v>5.820766091346741e-11</v>
      </c>
      <c r="L377" s="8" t="b">
        <v>0</v>
      </c>
      <c r="M377" s="14" t="n">
        <v>0</v>
      </c>
      <c r="N377" s="19">
        <f>ROUND((J377-I377)-(K377+E377+H377),4)</f>
        <v/>
      </c>
    </row>
    <row r="378">
      <c r="A378" s="8" t="inlineStr">
        <is>
          <t>Манас Тревел</t>
        </is>
      </c>
      <c r="B378" s="8" t="inlineStr">
        <is>
          <t>2026-02</t>
        </is>
      </c>
      <c r="C378" s="14" t="n">
        <v>-501192.38</v>
      </c>
      <c r="D378" s="14" t="n">
        <v>-1223137.36</v>
      </c>
      <c r="E378" s="14" t="n">
        <v>-721944.98</v>
      </c>
      <c r="F378" s="14" t="n">
        <v>1923568.64</v>
      </c>
      <c r="G378" s="14" t="n">
        <v>2645459.54</v>
      </c>
      <c r="H378" s="14" t="n">
        <v>721890.8999999999</v>
      </c>
      <c r="I378" s="14" t="n">
        <v>1422376.26</v>
      </c>
      <c r="J378" s="14" t="n">
        <v>1422322.18</v>
      </c>
      <c r="K378" s="14" t="n">
        <v>-2.328306436538696e-10</v>
      </c>
      <c r="L378" s="8" t="b">
        <v>0</v>
      </c>
      <c r="M378" s="14" t="n">
        <v>0</v>
      </c>
      <c r="N378" s="19">
        <f>ROUND((J378-I378)-(K378+E378+H378),4)</f>
        <v/>
      </c>
    </row>
    <row r="379">
      <c r="A379" s="8" t="inlineStr">
        <is>
          <t>Манас Тревел</t>
        </is>
      </c>
      <c r="B379" s="8" t="inlineStr">
        <is>
          <t>2026-03</t>
        </is>
      </c>
      <c r="C379" s="14" t="n">
        <v>-1223137.36</v>
      </c>
      <c r="D379" s="14" t="n">
        <v>-962297.79</v>
      </c>
      <c r="E379" s="14" t="n">
        <v>260839.57</v>
      </c>
      <c r="F379" s="14" t="n">
        <v>2645459.54</v>
      </c>
      <c r="G379" s="14" t="n">
        <v>2055283.73</v>
      </c>
      <c r="H379" s="14" t="n">
        <v>-590175.8099999998</v>
      </c>
      <c r="I379" s="14" t="n">
        <v>1422322.18</v>
      </c>
      <c r="J379" s="14" t="n">
        <v>1092985.94</v>
      </c>
      <c r="K379" s="14" t="n">
        <v>0</v>
      </c>
      <c r="L379" s="8" t="b">
        <v>0</v>
      </c>
      <c r="M379" s="14" t="n">
        <v>0</v>
      </c>
      <c r="N379" s="19">
        <f>ROUND((J379-I379)-(K379+E379+H379),4)</f>
        <v/>
      </c>
    </row>
    <row r="380">
      <c r="A380" s="8" t="inlineStr">
        <is>
          <t>Манас Тревел</t>
        </is>
      </c>
      <c r="B380" s="8" t="inlineStr">
        <is>
          <t>2026-04</t>
        </is>
      </c>
      <c r="C380" s="14" t="n">
        <v>-962297.79</v>
      </c>
      <c r="D380" s="14" t="n">
        <v>-1463952.02</v>
      </c>
      <c r="E380" s="14" t="n">
        <v>-501654.23</v>
      </c>
      <c r="F380" s="14" t="n">
        <v>2055283.73</v>
      </c>
      <c r="G380" s="14" t="n">
        <v>2252523.6</v>
      </c>
      <c r="H380" s="14" t="n">
        <v>197239.8700000001</v>
      </c>
      <c r="I380" s="14" t="n">
        <v>1092985.94</v>
      </c>
      <c r="J380" s="14" t="n">
        <v>788571.5800000001</v>
      </c>
      <c r="K380" s="14" t="n">
        <v>0</v>
      </c>
      <c r="L380" s="8" t="b">
        <v>0</v>
      </c>
      <c r="M380" s="14" t="n">
        <v>0</v>
      </c>
      <c r="N380" s="19">
        <f>ROUND((J380-I380)-(K380+E380+H380),4)</f>
        <v/>
      </c>
    </row>
    <row r="381">
      <c r="A381" s="8" t="inlineStr">
        <is>
          <t>Манас Тревел</t>
        </is>
      </c>
      <c r="B381" s="8" t="inlineStr">
        <is>
          <t>2026-05</t>
        </is>
      </c>
      <c r="C381" s="14" t="n">
        <v>-1463952.02</v>
      </c>
      <c r="D381" s="14" t="n">
        <v>-702616.4399999999</v>
      </c>
      <c r="E381" s="14" t="n">
        <v>761335.58</v>
      </c>
      <c r="F381" s="14" t="n">
        <v>2252523.600000001</v>
      </c>
      <c r="G381" s="14" t="n">
        <v>1574884.76</v>
      </c>
      <c r="H381" s="14" t="n">
        <v>-677638.8400000001</v>
      </c>
      <c r="I381" s="14" t="n">
        <v>788571.5800000005</v>
      </c>
      <c r="J381" s="14" t="n">
        <v>872268.3200000003</v>
      </c>
      <c r="K381" s="14" t="n">
        <v>1.164153218269348e-10</v>
      </c>
      <c r="L381" s="8" t="b">
        <v>0</v>
      </c>
      <c r="M381" s="14" t="n">
        <v>0</v>
      </c>
      <c r="N381" s="19">
        <f>ROUND((J381-I381)-(K381+E381+H381),4)</f>
        <v/>
      </c>
    </row>
    <row r="382">
      <c r="A382" s="8" t="inlineStr">
        <is>
          <t>Манас Тревел</t>
        </is>
      </c>
      <c r="B382" s="8" t="inlineStr">
        <is>
          <t>2026-06</t>
        </is>
      </c>
      <c r="C382" s="14" t="n">
        <v>-702616.4399999999</v>
      </c>
      <c r="D382" s="14" t="n">
        <v>-1106107</v>
      </c>
      <c r="E382" s="14" t="n">
        <v>-403490.5600000001</v>
      </c>
      <c r="F382" s="14" t="n">
        <v>1574884.76</v>
      </c>
      <c r="G382" s="14" t="n">
        <v>1881063.36</v>
      </c>
      <c r="H382" s="14" t="n">
        <v>306178.6</v>
      </c>
      <c r="I382" s="14" t="n">
        <v>872268.3200000003</v>
      </c>
      <c r="J382" s="14" t="n">
        <v>774956.3600000003</v>
      </c>
      <c r="K382" s="14" t="n">
        <v>0</v>
      </c>
      <c r="L382" s="8" t="b">
        <v>0</v>
      </c>
      <c r="M382" s="14" t="n">
        <v>0</v>
      </c>
      <c r="N382" s="19">
        <f>ROUND((J382-I382)-(K382+E382+H382),4)</f>
        <v/>
      </c>
    </row>
    <row r="383">
      <c r="A383" s="8" t="inlineStr">
        <is>
          <t>Манас Тревел</t>
        </is>
      </c>
      <c r="B383" s="8" t="inlineStr">
        <is>
          <t>2026-07</t>
        </is>
      </c>
      <c r="C383" s="14" t="n">
        <v>-1106107</v>
      </c>
      <c r="D383" s="14" t="n">
        <v>85212.64999999999</v>
      </c>
      <c r="E383" s="14" t="n">
        <v>1191319.65</v>
      </c>
      <c r="F383" s="14" t="n">
        <v>1881063.36</v>
      </c>
      <c r="G383" s="14" t="n">
        <v>642776.3599999999</v>
      </c>
      <c r="H383" s="14" t="n">
        <v>-1238287</v>
      </c>
      <c r="I383" s="14" t="n">
        <v>774956.3599999996</v>
      </c>
      <c r="J383" s="14" t="n">
        <v>727989.0099999999</v>
      </c>
      <c r="K383" s="14" t="n">
        <v>8.731149137020111e-11</v>
      </c>
      <c r="L383" s="8" t="b">
        <v>0</v>
      </c>
      <c r="M383" s="14" t="n">
        <v>0</v>
      </c>
      <c r="N383" s="19">
        <f>ROUND((J383-I383)-(K383+E383+H383),4)</f>
        <v/>
      </c>
    </row>
    <row r="384">
      <c r="A384" s="8" t="inlineStr">
        <is>
          <t>Манас Тур</t>
        </is>
      </c>
      <c r="B384" s="8" t="inlineStr">
        <is>
          <t>2026-01</t>
        </is>
      </c>
      <c r="C384" s="14" t="n">
        <v>0</v>
      </c>
      <c r="D384" s="14" t="n">
        <v>-797800.08</v>
      </c>
      <c r="E384" s="14" t="n">
        <v>-797800.0800000001</v>
      </c>
      <c r="F384" s="14" t="n">
        <v>195994.52</v>
      </c>
      <c r="G384" s="14" t="n">
        <v>653578.86</v>
      </c>
      <c r="H384" s="14" t="n">
        <v>457584.34</v>
      </c>
      <c r="I384" s="14" t="n">
        <v>195994.52</v>
      </c>
      <c r="J384" s="14" t="n">
        <v>-144221.22</v>
      </c>
      <c r="K384" s="14" t="n">
        <v>1.164153218269348e-10</v>
      </c>
      <c r="L384" s="8" t="b">
        <v>0</v>
      </c>
      <c r="M384" s="14" t="n">
        <v>0</v>
      </c>
      <c r="N384" s="19">
        <f>ROUND((J384-I384)-(K384+E384+H384),4)</f>
        <v/>
      </c>
    </row>
    <row r="385">
      <c r="A385" s="8" t="inlineStr">
        <is>
          <t>Манас Тур</t>
        </is>
      </c>
      <c r="B385" s="8" t="inlineStr">
        <is>
          <t>2026-02</t>
        </is>
      </c>
      <c r="C385" s="14" t="n">
        <v>-797800.08</v>
      </c>
      <c r="D385" s="14" t="n">
        <v>-809428.0699999999</v>
      </c>
      <c r="E385" s="14" t="n">
        <v>-11627.98999999999</v>
      </c>
      <c r="F385" s="14" t="n">
        <v>653578.86</v>
      </c>
      <c r="G385" s="14" t="n">
        <v>665206.85</v>
      </c>
      <c r="H385" s="14" t="n">
        <v>11627.98999999996</v>
      </c>
      <c r="I385" s="14" t="n">
        <v>-144221.22</v>
      </c>
      <c r="J385" s="14" t="n">
        <v>-144221.22</v>
      </c>
      <c r="K385" s="14" t="n">
        <v>0</v>
      </c>
      <c r="L385" s="8" t="b">
        <v>0</v>
      </c>
      <c r="M385" s="14" t="n">
        <v>0</v>
      </c>
      <c r="N385" s="19">
        <f>ROUND((J385-I385)-(K385+E385+H385),4)</f>
        <v/>
      </c>
    </row>
    <row r="386">
      <c r="A386" s="8" t="inlineStr">
        <is>
          <t>Манас Тур</t>
        </is>
      </c>
      <c r="B386" s="8" t="inlineStr">
        <is>
          <t>2026-03</t>
        </is>
      </c>
      <c r="C386" s="14" t="n">
        <v>-809428.0699999999</v>
      </c>
      <c r="D386" s="14" t="n">
        <v>-962140.38</v>
      </c>
      <c r="E386" s="14" t="n">
        <v>-152712.31</v>
      </c>
      <c r="F386" s="14" t="n">
        <v>665206.8500000001</v>
      </c>
      <c r="G386" s="14" t="n">
        <v>818005.2300000001</v>
      </c>
      <c r="H386" s="14" t="n">
        <v>152798.38</v>
      </c>
      <c r="I386" s="14" t="n">
        <v>-144221.2199999999</v>
      </c>
      <c r="J386" s="14" t="n">
        <v>-144135.1499999999</v>
      </c>
      <c r="K386" s="14" t="n">
        <v>-1.164153218269348e-10</v>
      </c>
      <c r="L386" s="8" t="b">
        <v>0</v>
      </c>
      <c r="M386" s="14" t="n">
        <v>0</v>
      </c>
      <c r="N386" s="19">
        <f>ROUND((J386-I386)-(K386+E386+H386),4)</f>
        <v/>
      </c>
    </row>
    <row r="387">
      <c r="A387" s="8" t="inlineStr">
        <is>
          <t>Манас Тур</t>
        </is>
      </c>
      <c r="B387" s="8" t="inlineStr">
        <is>
          <t>2026-04</t>
        </is>
      </c>
      <c r="C387" s="14" t="n">
        <v>-962140.38</v>
      </c>
      <c r="D387" s="14" t="n">
        <v>-1860355.4</v>
      </c>
      <c r="E387" s="14" t="n">
        <v>-898215.02</v>
      </c>
      <c r="F387" s="14" t="n">
        <v>818005.23</v>
      </c>
      <c r="G387" s="14" t="n">
        <v>1398620.25</v>
      </c>
      <c r="H387" s="14" t="n">
        <v>580615.02</v>
      </c>
      <c r="I387" s="14" t="n">
        <v>-144135.15</v>
      </c>
      <c r="J387" s="14" t="n">
        <v>-461735.1499999999</v>
      </c>
      <c r="K387" s="14" t="n">
        <v>0</v>
      </c>
      <c r="L387" s="8" t="b">
        <v>0</v>
      </c>
      <c r="M387" s="14" t="n">
        <v>0</v>
      </c>
      <c r="N387" s="19">
        <f>ROUND((J387-I387)-(K387+E387+H387),4)</f>
        <v/>
      </c>
    </row>
    <row r="388">
      <c r="A388" s="8" t="inlineStr">
        <is>
          <t>Манас Тур</t>
        </is>
      </c>
      <c r="B388" s="8" t="inlineStr">
        <is>
          <t>2026-05</t>
        </is>
      </c>
      <c r="C388" s="14" t="n">
        <v>-1860355.4</v>
      </c>
      <c r="D388" s="14" t="n">
        <v>-1489684.76</v>
      </c>
      <c r="E388" s="14" t="n">
        <v>370670.64</v>
      </c>
      <c r="F388" s="14" t="n">
        <v>1398620.25</v>
      </c>
      <c r="G388" s="14" t="n">
        <v>982224.9000000003</v>
      </c>
      <c r="H388" s="14" t="n">
        <v>-416395.35</v>
      </c>
      <c r="I388" s="14" t="n">
        <v>-461735.1499999997</v>
      </c>
      <c r="J388" s="14" t="n">
        <v>-507459.8599999998</v>
      </c>
      <c r="K388" s="14" t="n">
        <v>-2.328306436538696e-10</v>
      </c>
      <c r="L388" s="8" t="b">
        <v>0</v>
      </c>
      <c r="M388" s="14" t="n">
        <v>0</v>
      </c>
      <c r="N388" s="19">
        <f>ROUND((J388-I388)-(K388+E388+H388),4)</f>
        <v/>
      </c>
    </row>
    <row r="389">
      <c r="A389" s="8" t="inlineStr">
        <is>
          <t>Манас Тур</t>
        </is>
      </c>
      <c r="B389" s="8" t="inlineStr">
        <is>
          <t>2026-06</t>
        </is>
      </c>
      <c r="C389" s="14" t="n">
        <v>-1489684.76</v>
      </c>
      <c r="D389" s="14" t="n">
        <v>-1649411.81</v>
      </c>
      <c r="E389" s="14" t="n">
        <v>-159727.05</v>
      </c>
      <c r="F389" s="14" t="n">
        <v>982224.9</v>
      </c>
      <c r="G389" s="14" t="n">
        <v>1141951.95</v>
      </c>
      <c r="H389" s="14" t="n">
        <v>159727.05</v>
      </c>
      <c r="I389" s="14" t="n">
        <v>-507459.86</v>
      </c>
      <c r="J389" s="14" t="n">
        <v>-507459.8600000001</v>
      </c>
      <c r="K389" s="14" t="n">
        <v>0</v>
      </c>
      <c r="L389" s="8" t="b">
        <v>0</v>
      </c>
      <c r="M389" s="14" t="n">
        <v>0</v>
      </c>
      <c r="N389" s="19">
        <f>ROUND((J389-I389)-(K389+E389+H389),4)</f>
        <v/>
      </c>
    </row>
    <row r="390">
      <c r="A390" s="8" t="inlineStr">
        <is>
          <t>Манас Тур</t>
        </is>
      </c>
      <c r="B390" s="8" t="inlineStr">
        <is>
          <t>2026-07</t>
        </is>
      </c>
      <c r="C390" s="14" t="n">
        <v>-1649411.81</v>
      </c>
      <c r="D390" s="14" t="n">
        <v>-564441.96</v>
      </c>
      <c r="E390" s="14" t="n">
        <v>1084969.85</v>
      </c>
      <c r="F390" s="14" t="n">
        <v>1141951.95</v>
      </c>
      <c r="G390" s="14" t="n">
        <v>56982.10000000009</v>
      </c>
      <c r="H390" s="14" t="n">
        <v>-1084969.85</v>
      </c>
      <c r="I390" s="14" t="n">
        <v>-507459.8599999999</v>
      </c>
      <c r="J390" s="14" t="n">
        <v>-507459.8599999999</v>
      </c>
      <c r="K390" s="14" t="n">
        <v>0</v>
      </c>
      <c r="L390" s="8" t="b">
        <v>0</v>
      </c>
      <c r="M390" s="14" t="n">
        <v>0</v>
      </c>
      <c r="N390" s="19">
        <f>ROUND((J390-I390)-(K390+E390+H390),4)</f>
        <v/>
      </c>
    </row>
    <row r="391">
      <c r="A391" s="8" t="inlineStr">
        <is>
          <t>Манас Туризм</t>
        </is>
      </c>
      <c r="B391" s="8" t="inlineStr">
        <is>
          <t>2026-01</t>
        </is>
      </c>
      <c r="C391" s="14" t="n">
        <v>0</v>
      </c>
      <c r="D391" s="14" t="n">
        <v>414212.62</v>
      </c>
      <c r="E391" s="14" t="n">
        <v>414212.62</v>
      </c>
      <c r="F391" s="14" t="n">
        <v>0</v>
      </c>
      <c r="G391" s="14" t="n">
        <v>-414212.62</v>
      </c>
      <c r="H391" s="14" t="n">
        <v>-414212.62</v>
      </c>
      <c r="I391" s="14" t="n">
        <v>0</v>
      </c>
      <c r="J391" s="14" t="n">
        <v>0</v>
      </c>
      <c r="K391" s="14" t="n">
        <v>0</v>
      </c>
      <c r="L391" s="8" t="b">
        <v>0</v>
      </c>
      <c r="M391" s="14" t="n">
        <v>0</v>
      </c>
      <c r="N391" s="19">
        <f>ROUND((J391-I391)-(K391+E391+H391),4)</f>
        <v/>
      </c>
    </row>
    <row r="392">
      <c r="A392" s="8" t="inlineStr">
        <is>
          <t>Манас Туризм</t>
        </is>
      </c>
      <c r="B392" s="8" t="inlineStr">
        <is>
          <t>2026-02</t>
        </is>
      </c>
      <c r="C392" s="14" t="n">
        <v>414212.62</v>
      </c>
      <c r="D392" s="14" t="n">
        <v>259655.76</v>
      </c>
      <c r="E392" s="14" t="n">
        <v>-154556.86</v>
      </c>
      <c r="F392" s="14" t="n">
        <v>-414212.62</v>
      </c>
      <c r="G392" s="14" t="n">
        <v>-295655.76</v>
      </c>
      <c r="H392" s="14" t="n">
        <v>118556.86</v>
      </c>
      <c r="I392" s="14" t="n">
        <v>0</v>
      </c>
      <c r="J392" s="14" t="n">
        <v>-35999.99999999994</v>
      </c>
      <c r="K392" s="14" t="n">
        <v>0</v>
      </c>
      <c r="L392" s="8" t="b">
        <v>0</v>
      </c>
      <c r="M392" s="14" t="n">
        <v>0</v>
      </c>
      <c r="N392" s="19">
        <f>ROUND((J392-I392)-(K392+E392+H392),4)</f>
        <v/>
      </c>
    </row>
    <row r="393">
      <c r="A393" s="8" t="inlineStr">
        <is>
          <t>Манас Туризм</t>
        </is>
      </c>
      <c r="B393" s="8" t="inlineStr">
        <is>
          <t>2026-03</t>
        </is>
      </c>
      <c r="C393" s="14" t="n">
        <v>259655.76</v>
      </c>
      <c r="D393" s="14" t="n">
        <v>493432.3</v>
      </c>
      <c r="E393" s="14" t="n">
        <v>233776.54</v>
      </c>
      <c r="F393" s="14" t="n">
        <v>-295655.76</v>
      </c>
      <c r="G393" s="14" t="n">
        <v>-529358.28</v>
      </c>
      <c r="H393" s="14" t="n">
        <v>-233702.52</v>
      </c>
      <c r="I393" s="14" t="n">
        <v>-36000</v>
      </c>
      <c r="J393" s="14" t="n">
        <v>-35925.98000000004</v>
      </c>
      <c r="K393" s="14" t="n">
        <v>-5.820766091346741e-11</v>
      </c>
      <c r="L393" s="8" t="b">
        <v>0</v>
      </c>
      <c r="M393" s="14" t="n">
        <v>0</v>
      </c>
      <c r="N393" s="19">
        <f>ROUND((J393-I393)-(K393+E393+H393),4)</f>
        <v/>
      </c>
    </row>
    <row r="394">
      <c r="A394" s="8" t="inlineStr">
        <is>
          <t>Манас Туризм</t>
        </is>
      </c>
      <c r="B394" s="8" t="inlineStr">
        <is>
          <t>2026-04</t>
        </is>
      </c>
      <c r="C394" s="14" t="n">
        <v>493432.3</v>
      </c>
      <c r="D394" s="14" t="n">
        <v>422440.45</v>
      </c>
      <c r="E394" s="14" t="n">
        <v>-70991.85000000001</v>
      </c>
      <c r="F394" s="14" t="n">
        <v>-529358.28</v>
      </c>
      <c r="G394" s="14" t="n">
        <v>-458366.4300000001</v>
      </c>
      <c r="H394" s="14" t="n">
        <v>70991.85000000003</v>
      </c>
      <c r="I394" s="14" t="n">
        <v>-35925.98000000004</v>
      </c>
      <c r="J394" s="14" t="n">
        <v>-35925.98000000004</v>
      </c>
      <c r="K394" s="14" t="n">
        <v>5.820766091346741e-11</v>
      </c>
      <c r="L394" s="8" t="b">
        <v>0</v>
      </c>
      <c r="M394" s="14" t="n">
        <v>0</v>
      </c>
      <c r="N394" s="19">
        <f>ROUND((J394-I394)-(K394+E394+H394),4)</f>
        <v/>
      </c>
    </row>
    <row r="395">
      <c r="A395" s="8" t="inlineStr">
        <is>
          <t>Манас Туризм</t>
        </is>
      </c>
      <c r="B395" s="8" t="inlineStr">
        <is>
          <t>2026-05</t>
        </is>
      </c>
      <c r="C395" s="14" t="n">
        <v>422440.45</v>
      </c>
      <c r="D395" s="14" t="n">
        <v>319670.08</v>
      </c>
      <c r="E395" s="14" t="n">
        <v>-102770.37</v>
      </c>
      <c r="F395" s="14" t="n">
        <v>-458366.43</v>
      </c>
      <c r="G395" s="14" t="n">
        <v>-386173.1499999999</v>
      </c>
      <c r="H395" s="14" t="n">
        <v>72193.28000000009</v>
      </c>
      <c r="I395" s="14" t="n">
        <v>-35925.97999999998</v>
      </c>
      <c r="J395" s="14" t="n">
        <v>-66503.06999999989</v>
      </c>
      <c r="K395" s="14" t="n">
        <v>0</v>
      </c>
      <c r="L395" s="8" t="b">
        <v>0</v>
      </c>
      <c r="M395" s="14" t="n">
        <v>0</v>
      </c>
      <c r="N395" s="19">
        <f>ROUND((J395-I395)-(K395+E395+H395),4)</f>
        <v/>
      </c>
    </row>
    <row r="396">
      <c r="A396" s="8" t="inlineStr">
        <is>
          <t>Манас Туризм</t>
        </is>
      </c>
      <c r="B396" s="8" t="inlineStr">
        <is>
          <t>2026-07</t>
        </is>
      </c>
      <c r="C396" s="14" t="n">
        <v>441202.53</v>
      </c>
      <c r="D396" s="14" t="n">
        <v>-199232.29</v>
      </c>
      <c r="E396" s="14" t="n">
        <v>-640434.8200000001</v>
      </c>
      <c r="F396" s="14" t="n">
        <v>-504378.85</v>
      </c>
      <c r="G396" s="14" t="n">
        <v>-98544.03000000003</v>
      </c>
      <c r="H396" s="14" t="n">
        <v>405834.8199999999</v>
      </c>
      <c r="I396" s="14" t="n">
        <v>-63176.31999999995</v>
      </c>
      <c r="J396" s="14" t="n">
        <v>-297776.3200000001</v>
      </c>
      <c r="K396" s="14" t="n">
        <v>2.91038304567337e-11</v>
      </c>
      <c r="L396" s="8" t="b">
        <v>0</v>
      </c>
      <c r="M396" s="14" t="n">
        <v>121532.45</v>
      </c>
      <c r="N396" s="19">
        <f>ROUND((J396-I396)-(K396+E396+H396),4)</f>
        <v/>
      </c>
    </row>
    <row r="397">
      <c r="A397" s="8" t="inlineStr">
        <is>
          <t>Небо Авиа</t>
        </is>
      </c>
      <c r="B397" s="8" t="inlineStr">
        <is>
          <t>2026-01</t>
        </is>
      </c>
      <c r="C397" s="14" t="n">
        <v>0</v>
      </c>
      <c r="D397" s="14" t="n">
        <v>-1013317.52</v>
      </c>
      <c r="E397" s="14" t="n">
        <v>-1013317.52</v>
      </c>
      <c r="F397" s="14" t="n">
        <v>-53386.52000000002</v>
      </c>
      <c r="G397" s="14" t="n">
        <v>959931.0000000001</v>
      </c>
      <c r="H397" s="14" t="n">
        <v>1013317.52</v>
      </c>
      <c r="I397" s="14" t="n">
        <v>-53386.52000000002</v>
      </c>
      <c r="J397" s="14" t="n">
        <v>-53386.5199999999</v>
      </c>
      <c r="K397" s="14" t="n">
        <v>0</v>
      </c>
      <c r="L397" s="8" t="b">
        <v>0</v>
      </c>
      <c r="M397" s="14" t="n">
        <v>0</v>
      </c>
      <c r="N397" s="19">
        <f>ROUND((J397-I397)-(K397+E397+H397),4)</f>
        <v/>
      </c>
    </row>
    <row r="398">
      <c r="A398" s="8" t="inlineStr">
        <is>
          <t>Небо Авиа</t>
        </is>
      </c>
      <c r="B398" s="8" t="inlineStr">
        <is>
          <t>2026-02</t>
        </is>
      </c>
      <c r="C398" s="14" t="n">
        <v>-1013317.52</v>
      </c>
      <c r="D398" s="14" t="n">
        <v>-584085.62</v>
      </c>
      <c r="E398" s="14" t="n">
        <v>429231.9</v>
      </c>
      <c r="F398" s="14" t="n">
        <v>959931</v>
      </c>
      <c r="G398" s="14" t="n">
        <v>530699.1</v>
      </c>
      <c r="H398" s="14" t="n">
        <v>-429231.9</v>
      </c>
      <c r="I398" s="14" t="n">
        <v>-53386.52000000002</v>
      </c>
      <c r="J398" s="14" t="n">
        <v>-53386.52000000002</v>
      </c>
      <c r="K398" s="14" t="n">
        <v>0</v>
      </c>
      <c r="L398" s="8" t="b">
        <v>0</v>
      </c>
      <c r="M398" s="14" t="n">
        <v>0</v>
      </c>
      <c r="N398" s="19">
        <f>ROUND((J398-I398)-(K398+E398+H398),4)</f>
        <v/>
      </c>
    </row>
    <row r="399">
      <c r="A399" s="8" t="inlineStr">
        <is>
          <t>Небо Авиа</t>
        </is>
      </c>
      <c r="B399" s="8" t="inlineStr">
        <is>
          <t>2026-03</t>
        </is>
      </c>
      <c r="C399" s="14" t="n">
        <v>-584085.62</v>
      </c>
      <c r="D399" s="14" t="n">
        <v>-701727.62</v>
      </c>
      <c r="E399" s="14" t="n">
        <v>-117642</v>
      </c>
      <c r="F399" s="14" t="n">
        <v>530699.1000000001</v>
      </c>
      <c r="G399" s="14" t="n">
        <v>648341.1000000001</v>
      </c>
      <c r="H399" s="14" t="n">
        <v>117642</v>
      </c>
      <c r="I399" s="14" t="n">
        <v>-53386.5199999999</v>
      </c>
      <c r="J399" s="14" t="n">
        <v>-53386.5199999999</v>
      </c>
      <c r="K399" s="14" t="n">
        <v>0</v>
      </c>
      <c r="L399" s="8" t="b">
        <v>0</v>
      </c>
      <c r="M399" s="14" t="n">
        <v>0</v>
      </c>
      <c r="N399" s="19">
        <f>ROUND((J399-I399)-(K399+E399+H399),4)</f>
        <v/>
      </c>
    </row>
    <row r="400">
      <c r="A400" s="8" t="inlineStr">
        <is>
          <t>Небо Авиа</t>
        </is>
      </c>
      <c r="B400" s="8" t="inlineStr">
        <is>
          <t>2026-04</t>
        </is>
      </c>
      <c r="C400" s="14" t="n">
        <v>-701727.62</v>
      </c>
      <c r="D400" s="14" t="n">
        <v>-636437.15</v>
      </c>
      <c r="E400" s="14" t="n">
        <v>65290.47</v>
      </c>
      <c r="F400" s="14" t="n">
        <v>648341.1000000001</v>
      </c>
      <c r="G400" s="14" t="n">
        <v>582390.3300000001</v>
      </c>
      <c r="H400" s="14" t="n">
        <v>-65950.76999999999</v>
      </c>
      <c r="I400" s="14" t="n">
        <v>-53386.5199999999</v>
      </c>
      <c r="J400" s="14" t="n">
        <v>-54046.81999999995</v>
      </c>
      <c r="K400" s="14" t="n">
        <v>0</v>
      </c>
      <c r="L400" s="8" t="b">
        <v>0</v>
      </c>
      <c r="M400" s="14" t="n">
        <v>0</v>
      </c>
      <c r="N400" s="19">
        <f>ROUND((J400-I400)-(K400+E400+H400),4)</f>
        <v/>
      </c>
    </row>
    <row r="401">
      <c r="A401" s="8" t="inlineStr">
        <is>
          <t>Небо Авиа</t>
        </is>
      </c>
      <c r="B401" s="8" t="inlineStr">
        <is>
          <t>2026-05</t>
        </is>
      </c>
      <c r="C401" s="14" t="n">
        <v>-636437.15</v>
      </c>
      <c r="D401" s="14" t="n">
        <v>-679603.08</v>
      </c>
      <c r="E401" s="14" t="n">
        <v>-43165.92999999998</v>
      </c>
      <c r="F401" s="14" t="n">
        <v>582390.33</v>
      </c>
      <c r="G401" s="14" t="n">
        <v>625556.26</v>
      </c>
      <c r="H401" s="14" t="n">
        <v>43165.93000000004</v>
      </c>
      <c r="I401" s="14" t="n">
        <v>-54046.82000000007</v>
      </c>
      <c r="J401" s="14" t="n">
        <v>-54046.81999999995</v>
      </c>
      <c r="K401" s="14" t="n">
        <v>0</v>
      </c>
      <c r="L401" s="8" t="b">
        <v>0</v>
      </c>
      <c r="M401" s="14" t="n">
        <v>0</v>
      </c>
      <c r="N401" s="19">
        <f>ROUND((J401-I401)-(K401+E401+H401),4)</f>
        <v/>
      </c>
    </row>
    <row r="402">
      <c r="A402" s="8" t="inlineStr">
        <is>
          <t>Небо Авиа</t>
        </is>
      </c>
      <c r="B402" s="8" t="inlineStr">
        <is>
          <t>2026-06</t>
        </is>
      </c>
      <c r="C402" s="14" t="n">
        <v>-679603.08</v>
      </c>
      <c r="D402" s="14" t="n">
        <v>-638217.71</v>
      </c>
      <c r="E402" s="14" t="n">
        <v>41385.36999999997</v>
      </c>
      <c r="F402" s="14" t="n">
        <v>625556.2599999999</v>
      </c>
      <c r="G402" s="14" t="n">
        <v>584170.8899999999</v>
      </c>
      <c r="H402" s="14" t="n">
        <v>-41385.36999999997</v>
      </c>
      <c r="I402" s="14" t="n">
        <v>-54046.82000000007</v>
      </c>
      <c r="J402" s="14" t="n">
        <v>-54046.82000000007</v>
      </c>
      <c r="K402" s="14" t="n">
        <v>0</v>
      </c>
      <c r="L402" s="8" t="b">
        <v>0</v>
      </c>
      <c r="M402" s="14" t="n">
        <v>0</v>
      </c>
      <c r="N402" s="19">
        <f>ROUND((J402-I402)-(K402+E402+H402),4)</f>
        <v/>
      </c>
    </row>
    <row r="403">
      <c r="A403" s="8" t="inlineStr">
        <is>
          <t>Небо Авиа</t>
        </is>
      </c>
      <c r="B403" s="8" t="inlineStr">
        <is>
          <t>2026-07</t>
        </is>
      </c>
      <c r="C403" s="14" t="n">
        <v>-638217.71</v>
      </c>
      <c r="D403" s="14" t="n">
        <v>-408384.23</v>
      </c>
      <c r="E403" s="14" t="n">
        <v>229833.48</v>
      </c>
      <c r="F403" s="14" t="n">
        <v>584170.89</v>
      </c>
      <c r="G403" s="14" t="n">
        <v>354337.41</v>
      </c>
      <c r="H403" s="14" t="n">
        <v>-229833.48</v>
      </c>
      <c r="I403" s="14" t="n">
        <v>-54046.81999999995</v>
      </c>
      <c r="J403" s="14" t="n">
        <v>-54046.81999999995</v>
      </c>
      <c r="K403" s="14" t="n">
        <v>0</v>
      </c>
      <c r="L403" s="8" t="b">
        <v>0</v>
      </c>
      <c r="M403" s="14" t="n">
        <v>0</v>
      </c>
      <c r="N403" s="19">
        <f>ROUND((J403-I403)-(K403+E403+H403),4)</f>
        <v/>
      </c>
    </row>
    <row r="404">
      <c r="A404" s="8" t="inlineStr">
        <is>
          <t>Ниязбеков Кубат Таалайевич</t>
        </is>
      </c>
      <c r="B404" s="8" t="inlineStr">
        <is>
          <t>2026-01</t>
        </is>
      </c>
      <c r="C404" s="14" t="n">
        <v>-689349.47</v>
      </c>
      <c r="D404" s="14" t="n">
        <v>-12989.12</v>
      </c>
      <c r="E404" s="14" t="n">
        <v>676360.35</v>
      </c>
      <c r="F404" s="14" t="n">
        <v>277452.89</v>
      </c>
      <c r="G404" s="14" t="n">
        <v>-398907.46</v>
      </c>
      <c r="H404" s="14" t="n">
        <v>-676360.35</v>
      </c>
      <c r="I404" s="14" t="n">
        <v>-411896.58</v>
      </c>
      <c r="J404" s="14" t="n">
        <v>-411896.58</v>
      </c>
      <c r="K404" s="14" t="n">
        <v>-5.456968210637569e-12</v>
      </c>
      <c r="L404" s="8" t="b">
        <v>0</v>
      </c>
      <c r="M404" s="14" t="n">
        <v>0</v>
      </c>
      <c r="N404" s="19">
        <f>ROUND((J404-I404)-(K404+E404+H404),4)</f>
        <v/>
      </c>
    </row>
    <row r="405">
      <c r="A405" s="8" t="inlineStr">
        <is>
          <t>Ниязбеков Кубат Таалайевич</t>
        </is>
      </c>
      <c r="B405" s="8" t="inlineStr">
        <is>
          <t>2026-02</t>
        </is>
      </c>
      <c r="C405" s="14" t="n">
        <v>-12989.12</v>
      </c>
      <c r="D405" s="14" t="n">
        <v>82979.05</v>
      </c>
      <c r="E405" s="14" t="n">
        <v>95968.17</v>
      </c>
      <c r="F405" s="14" t="n">
        <v>-398907.46</v>
      </c>
      <c r="G405" s="14" t="n">
        <v>-494875.63</v>
      </c>
      <c r="H405" s="14" t="n">
        <v>-95968.17000000001</v>
      </c>
      <c r="I405" s="14" t="n">
        <v>-411896.58</v>
      </c>
      <c r="J405" s="14" t="n">
        <v>-411896.58</v>
      </c>
      <c r="K405" s="14" t="n">
        <v>0</v>
      </c>
      <c r="L405" s="8" t="b">
        <v>0</v>
      </c>
      <c r="M405" s="14" t="n">
        <v>0</v>
      </c>
      <c r="N405" s="19">
        <f>ROUND((J405-I405)-(K405+E405+H405),4)</f>
        <v/>
      </c>
    </row>
    <row r="406">
      <c r="A406" s="8" t="inlineStr">
        <is>
          <t>Ниязбеков Кубат Таалайевич</t>
        </is>
      </c>
      <c r="B406" s="8" t="inlineStr">
        <is>
          <t>2026-03</t>
        </is>
      </c>
      <c r="C406" s="14" t="n">
        <v>82979.05</v>
      </c>
      <c r="D406" s="14" t="n">
        <v>153533.25</v>
      </c>
      <c r="E406" s="14" t="n">
        <v>70554.2</v>
      </c>
      <c r="F406" s="14" t="n">
        <v>-494875.6299999999</v>
      </c>
      <c r="G406" s="14" t="n">
        <v>-582714.9399999999</v>
      </c>
      <c r="H406" s="14" t="n">
        <v>-87839.31</v>
      </c>
      <c r="I406" s="14" t="n">
        <v>-411896.58</v>
      </c>
      <c r="J406" s="14" t="n">
        <v>-429181.6899999999</v>
      </c>
      <c r="K406" s="14" t="n">
        <v>0</v>
      </c>
      <c r="L406" s="8" t="b">
        <v>0</v>
      </c>
      <c r="M406" s="14" t="n">
        <v>0</v>
      </c>
      <c r="N406" s="19">
        <f>ROUND((J406-I406)-(K406+E406+H406),4)</f>
        <v/>
      </c>
    </row>
    <row r="407">
      <c r="A407" s="8" t="inlineStr">
        <is>
          <t>Ниязбеков Кубат Таалайевич</t>
        </is>
      </c>
      <c r="B407" s="8" t="inlineStr">
        <is>
          <t>2026-04</t>
        </is>
      </c>
      <c r="C407" s="14" t="n">
        <v>153533.25</v>
      </c>
      <c r="D407" s="14" t="n">
        <v>60389.69</v>
      </c>
      <c r="E407" s="14" t="n">
        <v>-93143.56</v>
      </c>
      <c r="F407" s="14" t="n">
        <v>-582714.9399999999</v>
      </c>
      <c r="G407" s="14" t="n">
        <v>-489571.3799999999</v>
      </c>
      <c r="H407" s="14" t="n">
        <v>93143.56000000003</v>
      </c>
      <c r="I407" s="14" t="n">
        <v>-429181.6899999999</v>
      </c>
      <c r="J407" s="14" t="n">
        <v>-429181.6899999999</v>
      </c>
      <c r="K407" s="14" t="n">
        <v>0</v>
      </c>
      <c r="L407" s="8" t="b">
        <v>0</v>
      </c>
      <c r="M407" s="14" t="n">
        <v>0</v>
      </c>
      <c r="N407" s="19">
        <f>ROUND((J407-I407)-(K407+E407+H407),4)</f>
        <v/>
      </c>
    </row>
    <row r="408">
      <c r="A408" s="8" t="inlineStr">
        <is>
          <t>Ниязбеков Кубат Таалайевич</t>
        </is>
      </c>
      <c r="B408" s="8" t="inlineStr">
        <is>
          <t>2026-05</t>
        </is>
      </c>
      <c r="C408" s="14" t="n">
        <v>60389.69</v>
      </c>
      <c r="D408" s="14" t="n">
        <v>-262609.32</v>
      </c>
      <c r="E408" s="14" t="n">
        <v>-322999.01</v>
      </c>
      <c r="F408" s="14" t="n">
        <v>-489571.3799999999</v>
      </c>
      <c r="G408" s="14" t="n">
        <v>-166572.3699999999</v>
      </c>
      <c r="H408" s="14" t="n">
        <v>322999.01</v>
      </c>
      <c r="I408" s="14" t="n">
        <v>-429181.6899999999</v>
      </c>
      <c r="J408" s="14" t="n">
        <v>-429181.6899999999</v>
      </c>
      <c r="K408" s="14" t="n">
        <v>0</v>
      </c>
      <c r="L408" s="8" t="b">
        <v>0</v>
      </c>
      <c r="M408" s="14" t="n">
        <v>0</v>
      </c>
      <c r="N408" s="19">
        <f>ROUND((J408-I408)-(K408+E408+H408),4)</f>
        <v/>
      </c>
    </row>
    <row r="409">
      <c r="A409" s="8" t="inlineStr">
        <is>
          <t>Ниязбеков Кубат Таалайевич</t>
        </is>
      </c>
      <c r="B409" s="8" t="inlineStr">
        <is>
          <t>2026-06</t>
        </is>
      </c>
      <c r="C409" s="14" t="n">
        <v>-262609.32</v>
      </c>
      <c r="D409" s="14" t="n">
        <v>-343163.93</v>
      </c>
      <c r="E409" s="14" t="n">
        <v>-80554.61000000002</v>
      </c>
      <c r="F409" s="14" t="n">
        <v>-166572.3699999999</v>
      </c>
      <c r="G409" s="14" t="n">
        <v>-86004.58999999991</v>
      </c>
      <c r="H409" s="14" t="n">
        <v>80567.78000000004</v>
      </c>
      <c r="I409" s="14" t="n">
        <v>-429181.6899999999</v>
      </c>
      <c r="J409" s="14" t="n">
        <v>-429168.5199999999</v>
      </c>
      <c r="K409" s="14" t="n">
        <v>5.820766091346741e-11</v>
      </c>
      <c r="L409" s="8" t="b">
        <v>0</v>
      </c>
      <c r="M409" s="14" t="n">
        <v>0</v>
      </c>
      <c r="N409" s="19">
        <f>ROUND((J409-I409)-(K409+E409+H409),4)</f>
        <v/>
      </c>
    </row>
    <row r="410">
      <c r="A410" s="8" t="inlineStr">
        <is>
          <t>Ниязбеков Кубат Таалайевич</t>
        </is>
      </c>
      <c r="B410" s="8" t="inlineStr">
        <is>
          <t>2026-07</t>
        </is>
      </c>
      <c r="C410" s="14" t="n">
        <v>-343163.93</v>
      </c>
      <c r="D410" s="14" t="n">
        <v>-1093080.61</v>
      </c>
      <c r="E410" s="14" t="n">
        <v>-749916.6800000001</v>
      </c>
      <c r="F410" s="14" t="n">
        <v>-86004.58999999985</v>
      </c>
      <c r="G410" s="14" t="n">
        <v>663912.0900000001</v>
      </c>
      <c r="H410" s="14" t="n">
        <v>749916.6799999999</v>
      </c>
      <c r="I410" s="14" t="n">
        <v>-429168.5199999998</v>
      </c>
      <c r="J410" s="14" t="n">
        <v>-429168.52</v>
      </c>
      <c r="K410" s="14" t="n">
        <v>0</v>
      </c>
      <c r="L410" s="8" t="b">
        <v>0</v>
      </c>
      <c r="M410" s="14" t="n">
        <v>0</v>
      </c>
      <c r="N410" s="19">
        <f>ROUND((J410-I410)-(K410+E410+H410),4)</f>
        <v/>
      </c>
    </row>
    <row r="411">
      <c r="A411" s="8" t="inlineStr">
        <is>
          <t>Ниязбекова Асель Сатаровна</t>
        </is>
      </c>
      <c r="B411" s="8" t="inlineStr">
        <is>
          <t>2026-01</t>
        </is>
      </c>
      <c r="C411" s="14" t="n">
        <v>0</v>
      </c>
      <c r="D411" s="14" t="n">
        <v>-236129.16</v>
      </c>
      <c r="E411" s="14" t="n">
        <v>-236129.16</v>
      </c>
      <c r="F411" s="14" t="n">
        <v>0</v>
      </c>
      <c r="G411" s="14" t="n">
        <v>170470.47</v>
      </c>
      <c r="H411" s="14" t="n">
        <v>170470.47</v>
      </c>
      <c r="I411" s="14" t="n">
        <v>0</v>
      </c>
      <c r="J411" s="14" t="n">
        <v>-65658.69</v>
      </c>
      <c r="K411" s="14" t="n">
        <v>0</v>
      </c>
      <c r="L411" s="8" t="b">
        <v>0</v>
      </c>
      <c r="M411" s="14" t="n">
        <v>0</v>
      </c>
      <c r="N411" s="19">
        <f>ROUND((J411-I411)-(K411+E411+H411),4)</f>
        <v/>
      </c>
    </row>
    <row r="412">
      <c r="A412" s="8" t="inlineStr">
        <is>
          <t>Ниязбекова Асель Сатаровна</t>
        </is>
      </c>
      <c r="B412" s="8" t="inlineStr">
        <is>
          <t>2026-02</t>
        </is>
      </c>
      <c r="C412" s="14" t="n">
        <v>-236129.16</v>
      </c>
      <c r="D412" s="14" t="n">
        <v>-296552.16</v>
      </c>
      <c r="E412" s="14" t="n">
        <v>-60423</v>
      </c>
      <c r="F412" s="14" t="n">
        <v>170470.47</v>
      </c>
      <c r="G412" s="14" t="n">
        <v>230893.47</v>
      </c>
      <c r="H412" s="14" t="n">
        <v>60423</v>
      </c>
      <c r="I412" s="14" t="n">
        <v>-65658.68999999997</v>
      </c>
      <c r="J412" s="14" t="n">
        <v>-65658.68999999994</v>
      </c>
      <c r="K412" s="14" t="n">
        <v>5.820766091346741e-11</v>
      </c>
      <c r="L412" s="8" t="b">
        <v>0</v>
      </c>
      <c r="M412" s="14" t="n">
        <v>0</v>
      </c>
      <c r="N412" s="19">
        <f>ROUND((J412-I412)-(K412+E412+H412),4)</f>
        <v/>
      </c>
    </row>
    <row r="413">
      <c r="A413" s="8" t="inlineStr">
        <is>
          <t>Ниязбекова Асель Сатаровна</t>
        </is>
      </c>
      <c r="B413" s="8" t="inlineStr">
        <is>
          <t>2026-03</t>
        </is>
      </c>
      <c r="C413" s="14" t="n">
        <v>-296552.16</v>
      </c>
      <c r="D413" s="14" t="n">
        <v>-338224.44</v>
      </c>
      <c r="E413" s="14" t="n">
        <v>-41672.28000000001</v>
      </c>
      <c r="F413" s="14" t="n">
        <v>230893.47</v>
      </c>
      <c r="G413" s="14" t="n">
        <v>271041.81</v>
      </c>
      <c r="H413" s="14" t="n">
        <v>40148.34000000003</v>
      </c>
      <c r="I413" s="14" t="n">
        <v>-65658.69</v>
      </c>
      <c r="J413" s="14" t="n">
        <v>-67182.63</v>
      </c>
      <c r="K413" s="14" t="n">
        <v>0</v>
      </c>
      <c r="L413" s="8" t="b">
        <v>0</v>
      </c>
      <c r="M413" s="14" t="n">
        <v>0</v>
      </c>
      <c r="N413" s="19">
        <f>ROUND((J413-I413)-(K413+E413+H413),4)</f>
        <v/>
      </c>
    </row>
    <row r="414">
      <c r="A414" s="8" t="inlineStr">
        <is>
          <t>Ниязбекова Асель Сатаровна</t>
        </is>
      </c>
      <c r="B414" s="8" t="inlineStr">
        <is>
          <t>2026-04</t>
        </is>
      </c>
      <c r="C414" s="14" t="n">
        <v>-338224.44</v>
      </c>
      <c r="D414" s="14" t="n">
        <v>179738.75</v>
      </c>
      <c r="E414" s="14" t="n">
        <v>517963.19</v>
      </c>
      <c r="F414" s="14" t="n">
        <v>271041.81</v>
      </c>
      <c r="G414" s="14" t="n">
        <v>-246921.38</v>
      </c>
      <c r="H414" s="14" t="n">
        <v>-517963.19</v>
      </c>
      <c r="I414" s="14" t="n">
        <v>-67182.63</v>
      </c>
      <c r="J414" s="14" t="n">
        <v>-67182.63</v>
      </c>
      <c r="K414" s="14" t="n">
        <v>0</v>
      </c>
      <c r="L414" s="8" t="b">
        <v>0</v>
      </c>
      <c r="M414" s="14" t="n">
        <v>0</v>
      </c>
      <c r="N414" s="19">
        <f>ROUND((J414-I414)-(K414+E414+H414),4)</f>
        <v/>
      </c>
    </row>
    <row r="415">
      <c r="A415" s="8" t="inlineStr">
        <is>
          <t>Ниязбекова Асель Сатаровна</t>
        </is>
      </c>
      <c r="B415" s="8" t="inlineStr">
        <is>
          <t>2026-05</t>
        </is>
      </c>
      <c r="C415" s="14" t="n">
        <v>179738.75</v>
      </c>
      <c r="D415" s="14" t="n">
        <v>39070.74</v>
      </c>
      <c r="E415" s="14" t="n">
        <v>-140668.01</v>
      </c>
      <c r="F415" s="14" t="n">
        <v>-246921.38</v>
      </c>
      <c r="G415" s="14" t="n">
        <v>-100040</v>
      </c>
      <c r="H415" s="14" t="n">
        <v>146881.38</v>
      </c>
      <c r="I415" s="14" t="n">
        <v>-67182.63000000003</v>
      </c>
      <c r="J415" s="14" t="n">
        <v>-60969.26</v>
      </c>
      <c r="K415" s="14" t="n">
        <v>7.275957614183426e-12</v>
      </c>
      <c r="L415" s="8" t="b">
        <v>0</v>
      </c>
      <c r="M415" s="14" t="n">
        <v>0</v>
      </c>
      <c r="N415" s="19">
        <f>ROUND((J415-I415)-(K415+E415+H415),4)</f>
        <v/>
      </c>
    </row>
    <row r="416">
      <c r="A416" s="8" t="inlineStr">
        <is>
          <t>Ниязбекова Асель Сатаровна</t>
        </is>
      </c>
      <c r="B416" s="8" t="inlineStr">
        <is>
          <t>2026-06</t>
        </is>
      </c>
      <c r="C416" s="14" t="n">
        <v>39070.74</v>
      </c>
      <c r="D416" s="14" t="n">
        <v>-82471.92</v>
      </c>
      <c r="E416" s="14" t="n">
        <v>-121542.66</v>
      </c>
      <c r="F416" s="14" t="n">
        <v>-100040.0000000002</v>
      </c>
      <c r="G416" s="14" t="n">
        <v>21502.65999999989</v>
      </c>
      <c r="H416" s="14" t="n">
        <v>121542.66</v>
      </c>
      <c r="I416" s="14" t="n">
        <v>-60969.26000000016</v>
      </c>
      <c r="J416" s="14" t="n">
        <v>-60969.26000000011</v>
      </c>
      <c r="K416" s="14" t="n">
        <v>1.455191522836685e-11</v>
      </c>
      <c r="L416" s="8" t="b">
        <v>0</v>
      </c>
      <c r="M416" s="14" t="n">
        <v>0</v>
      </c>
      <c r="N416" s="19">
        <f>ROUND((J416-I416)-(K416+E416+H416),4)</f>
        <v/>
      </c>
    </row>
    <row r="417">
      <c r="A417" s="8" t="inlineStr">
        <is>
          <t>Ниязбекова Асель Сатаровна</t>
        </is>
      </c>
      <c r="B417" s="8" t="inlineStr">
        <is>
          <t>2026-07</t>
        </is>
      </c>
      <c r="C417" s="14" t="n">
        <v>-82471.92</v>
      </c>
      <c r="D417" s="14" t="n">
        <v>-103252.45</v>
      </c>
      <c r="E417" s="14" t="n">
        <v>-20780.53</v>
      </c>
      <c r="F417" s="14" t="n">
        <v>21502.65999999994</v>
      </c>
      <c r="G417" s="14" t="n">
        <v>42148.01999999996</v>
      </c>
      <c r="H417" s="14" t="n">
        <v>20645.36000000002</v>
      </c>
      <c r="I417" s="14" t="n">
        <v>-60969.26000000005</v>
      </c>
      <c r="J417" s="14" t="n">
        <v>-61104.43000000004</v>
      </c>
      <c r="K417" s="14" t="n">
        <v>0</v>
      </c>
      <c r="L417" s="8" t="b">
        <v>0</v>
      </c>
      <c r="M417" s="14" t="n">
        <v>0</v>
      </c>
      <c r="N417" s="19">
        <f>ROUND((J417-I417)-(K417+E417+H417),4)</f>
        <v/>
      </c>
    </row>
    <row r="418">
      <c r="A418" s="8" t="inlineStr">
        <is>
          <t>ОсОО Ала-Арча Авиа</t>
        </is>
      </c>
      <c r="B418" s="8" t="inlineStr">
        <is>
          <t>2026-01</t>
        </is>
      </c>
      <c r="C418" s="14" t="n">
        <v>0</v>
      </c>
      <c r="D418" s="14" t="n">
        <v>-29665.92</v>
      </c>
      <c r="E418" s="14" t="n">
        <v>-29665.92000000001</v>
      </c>
      <c r="F418" s="14" t="n">
        <v>3582785.68</v>
      </c>
      <c r="G418" s="14" t="n">
        <v>3612960.18</v>
      </c>
      <c r="H418" s="14" t="n">
        <v>30174.49999999998</v>
      </c>
      <c r="I418" s="14" t="n">
        <v>3582785.68</v>
      </c>
      <c r="J418" s="14" t="n">
        <v>3583294.26</v>
      </c>
      <c r="K418" s="14" t="n">
        <v>1.455191522836685e-11</v>
      </c>
      <c r="L418" s="8" t="b">
        <v>0</v>
      </c>
      <c r="M418" s="14" t="n">
        <v>0</v>
      </c>
      <c r="N418" s="19">
        <f>ROUND((J418-I418)-(K418+E418+H418),4)</f>
        <v/>
      </c>
    </row>
    <row r="419">
      <c r="A419" s="8" t="inlineStr">
        <is>
          <t>ОсОО Ала-Арча Авиа</t>
        </is>
      </c>
      <c r="B419" s="8" t="inlineStr">
        <is>
          <t>2026-02</t>
        </is>
      </c>
      <c r="C419" s="14" t="n">
        <v>-29665.92</v>
      </c>
      <c r="D419" s="14" t="n">
        <v>-669305.61</v>
      </c>
      <c r="E419" s="14" t="n">
        <v>-639639.6899999999</v>
      </c>
      <c r="F419" s="14" t="n">
        <v>3612960.18</v>
      </c>
      <c r="G419" s="14" t="n">
        <v>4107888.79</v>
      </c>
      <c r="H419" s="14" t="n">
        <v>494928.61</v>
      </c>
      <c r="I419" s="14" t="n">
        <v>3583294.26</v>
      </c>
      <c r="J419" s="14" t="n">
        <v>3438583.18</v>
      </c>
      <c r="K419" s="14" t="n">
        <v>0</v>
      </c>
      <c r="L419" s="8" t="b">
        <v>0</v>
      </c>
      <c r="M419" s="14" t="n">
        <v>0</v>
      </c>
      <c r="N419" s="19">
        <f>ROUND((J419-I419)-(K419+E419+H419),4)</f>
        <v/>
      </c>
    </row>
    <row r="420">
      <c r="A420" s="8" t="inlineStr">
        <is>
          <t>ОсОО Ала-Арча Авиа</t>
        </is>
      </c>
      <c r="B420" s="8" t="inlineStr">
        <is>
          <t>2026-03</t>
        </is>
      </c>
      <c r="C420" s="14" t="n">
        <v>-669305.61</v>
      </c>
      <c r="D420" s="14" t="n">
        <v>-71781.72</v>
      </c>
      <c r="E420" s="14" t="n">
        <v>597523.89</v>
      </c>
      <c r="F420" s="14" t="n">
        <v>4107888.79</v>
      </c>
      <c r="G420" s="14" t="n">
        <v>3393940.26</v>
      </c>
      <c r="H420" s="14" t="n">
        <v>-713948.53</v>
      </c>
      <c r="I420" s="14" t="n">
        <v>3438583.18</v>
      </c>
      <c r="J420" s="14" t="n">
        <v>3322158.54</v>
      </c>
      <c r="K420" s="14" t="n">
        <v>-2.91038304567337e-11</v>
      </c>
      <c r="L420" s="8" t="b">
        <v>0</v>
      </c>
      <c r="M420" s="14" t="n">
        <v>0</v>
      </c>
      <c r="N420" s="19">
        <f>ROUND((J420-I420)-(K420+E420+H420),4)</f>
        <v/>
      </c>
    </row>
    <row r="421">
      <c r="A421" s="8" t="inlineStr">
        <is>
          <t>ОсОО Ала-Арча Авиа</t>
        </is>
      </c>
      <c r="B421" s="8" t="inlineStr">
        <is>
          <t>2026-04</t>
        </is>
      </c>
      <c r="C421" s="14" t="n">
        <v>-71781.72</v>
      </c>
      <c r="D421" s="14" t="n">
        <v>-162265.62</v>
      </c>
      <c r="E421" s="14" t="n">
        <v>-90483.89999999999</v>
      </c>
      <c r="F421" s="14" t="n">
        <v>3393940.26</v>
      </c>
      <c r="G421" s="14" t="n">
        <v>3484424.16</v>
      </c>
      <c r="H421" s="14" t="n">
        <v>90483.89999999999</v>
      </c>
      <c r="I421" s="14" t="n">
        <v>3322158.54</v>
      </c>
      <c r="J421" s="14" t="n">
        <v>3322158.54</v>
      </c>
      <c r="K421" s="14" t="n">
        <v>0</v>
      </c>
      <c r="L421" s="8" t="b">
        <v>0</v>
      </c>
      <c r="M421" s="14" t="n">
        <v>0</v>
      </c>
      <c r="N421" s="19">
        <f>ROUND((J421-I421)-(K421+E421+H421),4)</f>
        <v/>
      </c>
    </row>
    <row r="422">
      <c r="A422" s="8" t="inlineStr">
        <is>
          <t>ОсОО Ала-Арча Авиа</t>
        </is>
      </c>
      <c r="B422" s="8" t="inlineStr">
        <is>
          <t>2026-05</t>
        </is>
      </c>
      <c r="C422" s="14" t="n">
        <v>-162265.62</v>
      </c>
      <c r="D422" s="14" t="n">
        <v>-63528.61</v>
      </c>
      <c r="E422" s="14" t="n">
        <v>98737.01000000001</v>
      </c>
      <c r="F422" s="14" t="n">
        <v>3484424.160000001</v>
      </c>
      <c r="G422" s="14" t="n">
        <v>3354494</v>
      </c>
      <c r="H422" s="14" t="n">
        <v>-129930.16</v>
      </c>
      <c r="I422" s="14" t="n">
        <v>3322158.540000001</v>
      </c>
      <c r="J422" s="14" t="n">
        <v>3290965.390000001</v>
      </c>
      <c r="K422" s="14" t="n">
        <v>-1.455191522836685e-11</v>
      </c>
      <c r="L422" s="8" t="b">
        <v>0</v>
      </c>
      <c r="M422" s="14" t="n">
        <v>0</v>
      </c>
      <c r="N422" s="19">
        <f>ROUND((J422-I422)-(K422+E422+H422),4)</f>
        <v/>
      </c>
    </row>
    <row r="423">
      <c r="A423" s="8" t="inlineStr">
        <is>
          <t>ОсОО Ала-Арча Авиа</t>
        </is>
      </c>
      <c r="B423" s="8" t="inlineStr">
        <is>
          <t>2026-06</t>
        </is>
      </c>
      <c r="C423" s="14" t="n">
        <v>-63528.61</v>
      </c>
      <c r="D423" s="14" t="n">
        <v>-22417.15</v>
      </c>
      <c r="E423" s="14" t="n">
        <v>41111.46000000002</v>
      </c>
      <c r="F423" s="14" t="n">
        <v>3354494</v>
      </c>
      <c r="G423" s="14" t="n">
        <v>3313382.54</v>
      </c>
      <c r="H423" s="14" t="n">
        <v>-41111.46000000002</v>
      </c>
      <c r="I423" s="14" t="n">
        <v>3290965.39</v>
      </c>
      <c r="J423" s="14" t="n">
        <v>3290965.39</v>
      </c>
      <c r="K423" s="14" t="n">
        <v>-2.182787284255028e-11</v>
      </c>
      <c r="L423" s="8" t="b">
        <v>0</v>
      </c>
      <c r="M423" s="14" t="n">
        <v>0</v>
      </c>
      <c r="N423" s="19">
        <f>ROUND((J423-I423)-(K423+E423+H423),4)</f>
        <v/>
      </c>
    </row>
    <row r="424">
      <c r="A424" s="8" t="inlineStr">
        <is>
          <t>ОсОО Ала-Арча Авиа</t>
        </is>
      </c>
      <c r="B424" s="8" t="inlineStr">
        <is>
          <t>2026-07</t>
        </is>
      </c>
      <c r="C424" s="14" t="n">
        <v>-22417.15</v>
      </c>
      <c r="D424" s="14" t="n">
        <v>-205194.4</v>
      </c>
      <c r="E424" s="14" t="n">
        <v>-182777.25</v>
      </c>
      <c r="F424" s="14" t="n">
        <v>3313382.54</v>
      </c>
      <c r="G424" s="14" t="n">
        <v>3277859.79</v>
      </c>
      <c r="H424" s="14" t="n">
        <v>-35522.74999999997</v>
      </c>
      <c r="I424" s="14" t="n">
        <v>3290965.39</v>
      </c>
      <c r="J424" s="14" t="n">
        <v>3072665.39</v>
      </c>
      <c r="K424" s="14" t="n">
        <v>0</v>
      </c>
      <c r="L424" s="8" t="b">
        <v>0</v>
      </c>
      <c r="M424" s="14" t="n">
        <v>0</v>
      </c>
      <c r="N424" s="19">
        <f>ROUND((J424-I424)-(K424+E424+H424),4)</f>
        <v/>
      </c>
    </row>
    <row r="425">
      <c r="A425" s="8" t="inlineStr">
        <is>
          <t>ОсОО Ала-Арча Трип</t>
        </is>
      </c>
      <c r="B425" s="8" t="inlineStr">
        <is>
          <t>2026-01</t>
        </is>
      </c>
      <c r="C425" s="14" t="n">
        <v>0</v>
      </c>
      <c r="D425" s="14" t="n">
        <v>-452077.08</v>
      </c>
      <c r="E425" s="14" t="n">
        <v>-452077.08</v>
      </c>
      <c r="F425" s="14" t="n">
        <v>0</v>
      </c>
      <c r="G425" s="14" t="n">
        <v>452106.3100000001</v>
      </c>
      <c r="H425" s="14" t="n">
        <v>452106.3100000001</v>
      </c>
      <c r="I425" s="14" t="n">
        <v>0</v>
      </c>
      <c r="J425" s="14" t="n">
        <v>29.23000000003958</v>
      </c>
      <c r="K425" s="14" t="n">
        <v>0</v>
      </c>
      <c r="L425" s="8" t="b">
        <v>0</v>
      </c>
      <c r="M425" s="14" t="n">
        <v>0</v>
      </c>
      <c r="N425" s="19">
        <f>ROUND((J425-I425)-(K425+E425+H425),4)</f>
        <v/>
      </c>
    </row>
    <row r="426">
      <c r="A426" s="8" t="inlineStr">
        <is>
          <t>ОсОО Ала-Арча Трип</t>
        </is>
      </c>
      <c r="B426" s="8" t="inlineStr">
        <is>
          <t>2026-02</t>
        </is>
      </c>
      <c r="C426" s="14" t="n">
        <v>-452077.08</v>
      </c>
      <c r="D426" s="14" t="n">
        <v>-805624.34</v>
      </c>
      <c r="E426" s="14" t="n">
        <v>-353547.26</v>
      </c>
      <c r="F426" s="14" t="n">
        <v>452106.3100000001</v>
      </c>
      <c r="G426" s="14" t="n">
        <v>649453.5700000001</v>
      </c>
      <c r="H426" s="14" t="n">
        <v>197347.26</v>
      </c>
      <c r="I426" s="14" t="n">
        <v>29.23000000003958</v>
      </c>
      <c r="J426" s="14" t="n">
        <v>-156170.7699999999</v>
      </c>
      <c r="K426" s="14" t="n">
        <v>1.164153218269348e-10</v>
      </c>
      <c r="L426" s="8" t="b">
        <v>0</v>
      </c>
      <c r="M426" s="14" t="n">
        <v>0</v>
      </c>
      <c r="N426" s="19">
        <f>ROUND((J426-I426)-(K426+E426+H426),4)</f>
        <v/>
      </c>
    </row>
    <row r="427">
      <c r="A427" s="8" t="inlineStr">
        <is>
          <t>ОсОО Ала-Арча Трип</t>
        </is>
      </c>
      <c r="B427" s="8" t="inlineStr">
        <is>
          <t>2026-03</t>
        </is>
      </c>
      <c r="C427" s="14" t="n">
        <v>-805624.34</v>
      </c>
      <c r="D427" s="14" t="n">
        <v>-660777.51</v>
      </c>
      <c r="E427" s="14" t="n">
        <v>144846.83</v>
      </c>
      <c r="F427" s="14" t="n">
        <v>649453.5700000001</v>
      </c>
      <c r="G427" s="14" t="n">
        <v>507085.77</v>
      </c>
      <c r="H427" s="14" t="n">
        <v>-142367.8</v>
      </c>
      <c r="I427" s="14" t="n">
        <v>-156170.7699999999</v>
      </c>
      <c r="J427" s="14" t="n">
        <v>-153691.74</v>
      </c>
      <c r="K427" s="14" t="n">
        <v>0</v>
      </c>
      <c r="L427" s="8" t="b">
        <v>0</v>
      </c>
      <c r="M427" s="14" t="n">
        <v>0</v>
      </c>
      <c r="N427" s="19">
        <f>ROUND((J427-I427)-(K427+E427+H427),4)</f>
        <v/>
      </c>
    </row>
    <row r="428">
      <c r="A428" s="8" t="inlineStr">
        <is>
          <t>ОсОО Ала-Арча Трип</t>
        </is>
      </c>
      <c r="B428" s="8" t="inlineStr">
        <is>
          <t>2026-04</t>
        </is>
      </c>
      <c r="C428" s="14" t="n">
        <v>-660777.51</v>
      </c>
      <c r="D428" s="14" t="n">
        <v>-606510.29</v>
      </c>
      <c r="E428" s="14" t="n">
        <v>54267.22</v>
      </c>
      <c r="F428" s="14" t="n">
        <v>507085.7700000001</v>
      </c>
      <c r="G428" s="14" t="n">
        <v>452818.5500000001</v>
      </c>
      <c r="H428" s="14" t="n">
        <v>-54267.22</v>
      </c>
      <c r="I428" s="14" t="n">
        <v>-153691.7399999999</v>
      </c>
      <c r="J428" s="14" t="n">
        <v>-153691.7399999999</v>
      </c>
      <c r="K428" s="14" t="n">
        <v>0</v>
      </c>
      <c r="L428" s="8" t="b">
        <v>0</v>
      </c>
      <c r="M428" s="14" t="n">
        <v>0</v>
      </c>
      <c r="N428" s="19">
        <f>ROUND((J428-I428)-(K428+E428+H428),4)</f>
        <v/>
      </c>
    </row>
    <row r="429">
      <c r="A429" s="8" t="inlineStr">
        <is>
          <t>ОсОО Ала-Арча Трип</t>
        </is>
      </c>
      <c r="B429" s="8" t="inlineStr">
        <is>
          <t>2026-05</t>
        </is>
      </c>
      <c r="C429" s="14" t="n">
        <v>-323201.3</v>
      </c>
      <c r="D429" s="14" t="n">
        <v>59120.15</v>
      </c>
      <c r="E429" s="14" t="n">
        <v>382321.45</v>
      </c>
      <c r="F429" s="14" t="n">
        <v>452818.5500000001</v>
      </c>
      <c r="G429" s="14" t="n">
        <v>60497.10000000002</v>
      </c>
      <c r="H429" s="14" t="n">
        <v>-392321.4500000001</v>
      </c>
      <c r="I429" s="14" t="n">
        <v>129617.2500000001</v>
      </c>
      <c r="J429" s="14" t="n">
        <v>119617.25</v>
      </c>
      <c r="K429" s="14" t="n">
        <v>-2.182787284255028e-11</v>
      </c>
      <c r="L429" s="8" t="b">
        <v>1</v>
      </c>
      <c r="M429" s="14" t="n">
        <v>283308.99</v>
      </c>
      <c r="N429" s="19">
        <f>ROUND((J429-I429)-(K429+E429+H429),4)</f>
        <v/>
      </c>
    </row>
    <row r="430">
      <c r="A430" s="8" t="inlineStr">
        <is>
          <t>ОсОО Ала-Арча Трип</t>
        </is>
      </c>
      <c r="B430" s="8" t="inlineStr">
        <is>
          <t>2026-06</t>
        </is>
      </c>
      <c r="C430" s="14" t="n">
        <v>59120.15</v>
      </c>
      <c r="D430" s="14" t="n">
        <v>189162.89</v>
      </c>
      <c r="E430" s="14" t="n">
        <v>130042.74</v>
      </c>
      <c r="F430" s="14" t="n">
        <v>60497.09999999998</v>
      </c>
      <c r="G430" s="14" t="n">
        <v>-69545.63999999998</v>
      </c>
      <c r="H430" s="14" t="n">
        <v>-130042.74</v>
      </c>
      <c r="I430" s="14" t="n">
        <v>119617.25</v>
      </c>
      <c r="J430" s="14" t="n">
        <v>119617.25</v>
      </c>
      <c r="K430" s="14" t="n">
        <v>0</v>
      </c>
      <c r="L430" s="8" t="b">
        <v>0</v>
      </c>
      <c r="M430" s="14" t="n">
        <v>0</v>
      </c>
      <c r="N430" s="19">
        <f>ROUND((J430-I430)-(K430+E430+H430),4)</f>
        <v/>
      </c>
    </row>
    <row r="431">
      <c r="A431" s="8" t="inlineStr">
        <is>
          <t>ОсОО Ала-Арча Трип</t>
        </is>
      </c>
      <c r="B431" s="8" t="inlineStr">
        <is>
          <t>2026-07</t>
        </is>
      </c>
      <c r="C431" s="14" t="n">
        <v>189162.89</v>
      </c>
      <c r="D431" s="14" t="n">
        <v>168576.36</v>
      </c>
      <c r="E431" s="14" t="n">
        <v>-20586.53</v>
      </c>
      <c r="F431" s="14" t="n">
        <v>-69545.63999999998</v>
      </c>
      <c r="G431" s="14" t="n">
        <v>-48959.10999999999</v>
      </c>
      <c r="H431" s="14" t="n">
        <v>20586.53</v>
      </c>
      <c r="I431" s="14" t="n">
        <v>119617.25</v>
      </c>
      <c r="J431" s="14" t="n">
        <v>119617.25</v>
      </c>
      <c r="K431" s="14" t="n">
        <v>-2.91038304567337e-11</v>
      </c>
      <c r="L431" s="8" t="b">
        <v>0</v>
      </c>
      <c r="M431" s="14" t="n">
        <v>0</v>
      </c>
      <c r="N431" s="19">
        <f>ROUND((J431-I431)-(K431+E431+H431),4)</f>
        <v/>
      </c>
    </row>
    <row r="432">
      <c r="A432" s="8" t="inlineStr">
        <is>
          <t>ОсОО Ала-Тоо Эйр</t>
        </is>
      </c>
      <c r="B432" s="8" t="inlineStr">
        <is>
          <t>2026-01</t>
        </is>
      </c>
      <c r="C432" s="14" t="n">
        <v>640897.63</v>
      </c>
      <c r="D432" s="14" t="n">
        <v>705226.29</v>
      </c>
      <c r="E432" s="14" t="n">
        <v>64328.65999999999</v>
      </c>
      <c r="F432" s="14" t="n">
        <v>-1835225.86</v>
      </c>
      <c r="G432" s="14" t="n">
        <v>-1899554.52</v>
      </c>
      <c r="H432" s="14" t="n">
        <v>-64328.65999999999</v>
      </c>
      <c r="I432" s="14" t="n">
        <v>-1194328.23</v>
      </c>
      <c r="J432" s="14" t="n">
        <v>-1194328.23</v>
      </c>
      <c r="K432" s="14" t="n">
        <v>0</v>
      </c>
      <c r="L432" s="8" t="b">
        <v>0</v>
      </c>
      <c r="M432" s="14" t="n">
        <v>0</v>
      </c>
      <c r="N432" s="19">
        <f>ROUND((J432-I432)-(K432+E432+H432),4)</f>
        <v/>
      </c>
    </row>
    <row r="433">
      <c r="A433" s="8" t="inlineStr">
        <is>
          <t>ОсОО Ала-Тоо Эйр</t>
        </is>
      </c>
      <c r="B433" s="8" t="inlineStr">
        <is>
          <t>2026-02</t>
        </is>
      </c>
      <c r="C433" s="14" t="n">
        <v>705226.29</v>
      </c>
      <c r="D433" s="14" t="n">
        <v>1451799.46</v>
      </c>
      <c r="E433" s="14" t="n">
        <v>746573.17</v>
      </c>
      <c r="F433" s="14" t="n">
        <v>-1899554.52</v>
      </c>
      <c r="G433" s="14" t="n">
        <v>-2646344.47</v>
      </c>
      <c r="H433" s="14" t="n">
        <v>-746789.95</v>
      </c>
      <c r="I433" s="14" t="n">
        <v>-1194328.23</v>
      </c>
      <c r="J433" s="14" t="n">
        <v>-1194545.01</v>
      </c>
      <c r="K433" s="14" t="n">
        <v>0</v>
      </c>
      <c r="L433" s="8" t="b">
        <v>0</v>
      </c>
      <c r="M433" s="14" t="n">
        <v>0</v>
      </c>
      <c r="N433" s="19">
        <f>ROUND((J433-I433)-(K433+E433+H433),4)</f>
        <v/>
      </c>
    </row>
    <row r="434">
      <c r="A434" s="8" t="inlineStr">
        <is>
          <t>ОсОО Ала-Тоо Эйр</t>
        </is>
      </c>
      <c r="B434" s="8" t="inlineStr">
        <is>
          <t>2026-03</t>
        </is>
      </c>
      <c r="C434" s="14" t="n">
        <v>1168490.47</v>
      </c>
      <c r="D434" s="14" t="n">
        <v>434473.42</v>
      </c>
      <c r="E434" s="14" t="n">
        <v>-734017.05</v>
      </c>
      <c r="F434" s="14" t="n">
        <v>-2646344.47</v>
      </c>
      <c r="G434" s="14" t="n">
        <v>-1911985.47</v>
      </c>
      <c r="H434" s="14" t="n">
        <v>734359</v>
      </c>
      <c r="I434" s="14" t="n">
        <v>-1477854</v>
      </c>
      <c r="J434" s="14" t="n">
        <v>-1477512.05</v>
      </c>
      <c r="K434" s="14" t="n">
        <v>5.820766091346741e-11</v>
      </c>
      <c r="L434" s="8" t="b">
        <v>1</v>
      </c>
      <c r="M434" s="14" t="n">
        <v>-283308.99</v>
      </c>
      <c r="N434" s="19">
        <f>ROUND((J434-I434)-(K434+E434+H434),4)</f>
        <v/>
      </c>
    </row>
    <row r="435">
      <c r="A435" s="8" t="inlineStr">
        <is>
          <t>ОсОО Ала-Тоо Эйр</t>
        </is>
      </c>
      <c r="B435" s="8" t="inlineStr">
        <is>
          <t>2026-04</t>
        </is>
      </c>
      <c r="C435" s="14" t="n">
        <v>434473.42</v>
      </c>
      <c r="D435" s="14" t="n">
        <v>108626.1</v>
      </c>
      <c r="E435" s="14" t="n">
        <v>-325847.32</v>
      </c>
      <c r="F435" s="14" t="n">
        <v>-1911985.47</v>
      </c>
      <c r="G435" s="14" t="n">
        <v>-1586138.15</v>
      </c>
      <c r="H435" s="14" t="n">
        <v>325847.3200000001</v>
      </c>
      <c r="I435" s="14" t="n">
        <v>-1477512.05</v>
      </c>
      <c r="J435" s="14" t="n">
        <v>-1477512.05</v>
      </c>
      <c r="K435" s="14" t="n">
        <v>2.91038304567337e-11</v>
      </c>
      <c r="L435" s="8" t="b">
        <v>0</v>
      </c>
      <c r="M435" s="14" t="n">
        <v>0</v>
      </c>
      <c r="N435" s="19">
        <f>ROUND((J435-I435)-(K435+E435+H435),4)</f>
        <v/>
      </c>
    </row>
    <row r="436">
      <c r="A436" s="8" t="inlineStr">
        <is>
          <t>ОсОО Ала-Тоо Эйр</t>
        </is>
      </c>
      <c r="B436" s="8" t="inlineStr">
        <is>
          <t>2026-05</t>
        </is>
      </c>
      <c r="C436" s="14" t="n">
        <v>108626.1</v>
      </c>
      <c r="D436" s="14" t="n">
        <v>420866.16</v>
      </c>
      <c r="E436" s="14" t="n">
        <v>312240.06</v>
      </c>
      <c r="F436" s="14" t="n">
        <v>-1586138.15</v>
      </c>
      <c r="G436" s="14" t="n">
        <v>-1692436.21</v>
      </c>
      <c r="H436" s="14" t="n">
        <v>-106298.06</v>
      </c>
      <c r="I436" s="14" t="n">
        <v>-1477512.05</v>
      </c>
      <c r="J436" s="14" t="n">
        <v>-1271570.05</v>
      </c>
      <c r="K436" s="14" t="n">
        <v>-5.820766091346741e-11</v>
      </c>
      <c r="L436" s="8" t="b">
        <v>0</v>
      </c>
      <c r="M436" s="14" t="n">
        <v>0</v>
      </c>
      <c r="N436" s="19">
        <f>ROUND((J436-I436)-(K436+E436+H436),4)</f>
        <v/>
      </c>
    </row>
    <row r="437">
      <c r="A437" s="8" t="inlineStr">
        <is>
          <t>ОсОО Ала-Тоо Эйр</t>
        </is>
      </c>
      <c r="B437" s="8" t="inlineStr">
        <is>
          <t>2026-06</t>
        </is>
      </c>
      <c r="C437" s="14" t="n">
        <v>420866.16</v>
      </c>
      <c r="D437" s="14" t="n">
        <v>-208754.15</v>
      </c>
      <c r="E437" s="14" t="n">
        <v>-629620.3100000001</v>
      </c>
      <c r="F437" s="14" t="n">
        <v>-1692436.21</v>
      </c>
      <c r="G437" s="14" t="n">
        <v>-1062331.78</v>
      </c>
      <c r="H437" s="14" t="n">
        <v>630104.4299999999</v>
      </c>
      <c r="I437" s="14" t="n">
        <v>-1271570.05</v>
      </c>
      <c r="J437" s="14" t="n">
        <v>-1271085.93</v>
      </c>
      <c r="K437" s="14" t="n">
        <v>8.731149137020111e-11</v>
      </c>
      <c r="L437" s="8" t="b">
        <v>0</v>
      </c>
      <c r="M437" s="14" t="n">
        <v>0</v>
      </c>
      <c r="N437" s="19">
        <f>ROUND((J437-I437)-(K437+E437+H437),4)</f>
        <v/>
      </c>
    </row>
    <row r="438">
      <c r="A438" s="8" t="inlineStr">
        <is>
          <t>ОсОО Ала-Тоо Эйр</t>
        </is>
      </c>
      <c r="B438" s="8" t="inlineStr">
        <is>
          <t>2026-07</t>
        </is>
      </c>
      <c r="C438" s="14" t="n">
        <v>-208754.15</v>
      </c>
      <c r="D438" s="14" t="n">
        <v>84654.24000000001</v>
      </c>
      <c r="E438" s="14" t="n">
        <v>293408.39</v>
      </c>
      <c r="F438" s="14" t="n">
        <v>-1062331.78</v>
      </c>
      <c r="G438" s="14" t="n">
        <v>-1355740.17</v>
      </c>
      <c r="H438" s="14" t="n">
        <v>-293408.39</v>
      </c>
      <c r="I438" s="14" t="n">
        <v>-1271085.93</v>
      </c>
      <c r="J438" s="14" t="n">
        <v>-1271085.93</v>
      </c>
      <c r="K438" s="14" t="n">
        <v>4.365574568510056e-11</v>
      </c>
      <c r="L438" s="8" t="b">
        <v>0</v>
      </c>
      <c r="M438" s="14" t="n">
        <v>0</v>
      </c>
      <c r="N438" s="19">
        <f>ROUND((J438-I438)-(K438+E438+H438),4)</f>
        <v/>
      </c>
    </row>
    <row r="439">
      <c r="A439" s="8" t="inlineStr">
        <is>
          <t>ОсОО Алтын Эйр</t>
        </is>
      </c>
      <c r="B439" s="8" t="inlineStr">
        <is>
          <t>2026-01</t>
        </is>
      </c>
      <c r="C439" s="14" t="n">
        <v>0</v>
      </c>
      <c r="D439" s="14" t="n">
        <v>-826364.05</v>
      </c>
      <c r="E439" s="14" t="n">
        <v>-826364.05</v>
      </c>
      <c r="F439" s="14" t="n">
        <v>0</v>
      </c>
      <c r="G439" s="14" t="n">
        <v>522863.53</v>
      </c>
      <c r="H439" s="14" t="n">
        <v>522863.53</v>
      </c>
      <c r="I439" s="14" t="n">
        <v>0</v>
      </c>
      <c r="J439" s="14" t="n">
        <v>-303500.52</v>
      </c>
      <c r="K439" s="14" t="n">
        <v>0</v>
      </c>
      <c r="L439" s="8" t="b">
        <v>0</v>
      </c>
      <c r="M439" s="14" t="n">
        <v>0</v>
      </c>
      <c r="N439" s="19">
        <f>ROUND((J439-I439)-(K439+E439+H439),4)</f>
        <v/>
      </c>
    </row>
    <row r="440">
      <c r="A440" s="8" t="inlineStr">
        <is>
          <t>ОсОО Алтын Эйр</t>
        </is>
      </c>
      <c r="B440" s="8" t="inlineStr">
        <is>
          <t>2026-02</t>
        </is>
      </c>
      <c r="C440" s="14" t="n">
        <v>-826364.05</v>
      </c>
      <c r="D440" s="14" t="n">
        <v>-1247831.01</v>
      </c>
      <c r="E440" s="14" t="n">
        <v>-421466.96</v>
      </c>
      <c r="F440" s="14" t="n">
        <v>522863.53</v>
      </c>
      <c r="G440" s="14" t="n">
        <v>660030.49</v>
      </c>
      <c r="H440" s="14" t="n">
        <v>137166.96</v>
      </c>
      <c r="I440" s="14" t="n">
        <v>-303500.5200000001</v>
      </c>
      <c r="J440" s="14" t="n">
        <v>-587800.52</v>
      </c>
      <c r="K440" s="14" t="n">
        <v>0</v>
      </c>
      <c r="L440" s="8" t="b">
        <v>0</v>
      </c>
      <c r="M440" s="14" t="n">
        <v>0</v>
      </c>
      <c r="N440" s="19">
        <f>ROUND((J440-I440)-(K440+E440+H440),4)</f>
        <v/>
      </c>
    </row>
    <row r="441">
      <c r="A441" s="8" t="inlineStr">
        <is>
          <t>ОсОО Алтын Эйр</t>
        </is>
      </c>
      <c r="B441" s="8" t="inlineStr">
        <is>
          <t>2026-03</t>
        </is>
      </c>
      <c r="C441" s="14" t="n">
        <v>-1247831.01</v>
      </c>
      <c r="D441" s="14" t="n">
        <v>-916597.46</v>
      </c>
      <c r="E441" s="14" t="n">
        <v>331233.55</v>
      </c>
      <c r="F441" s="14" t="n">
        <v>660030.49</v>
      </c>
      <c r="G441" s="14" t="n">
        <v>328731.5</v>
      </c>
      <c r="H441" s="14" t="n">
        <v>-331298.99</v>
      </c>
      <c r="I441" s="14" t="n">
        <v>-587800.52</v>
      </c>
      <c r="J441" s="14" t="n">
        <v>-587865.96</v>
      </c>
      <c r="K441" s="14" t="n">
        <v>0</v>
      </c>
      <c r="L441" s="8" t="b">
        <v>0</v>
      </c>
      <c r="M441" s="14" t="n">
        <v>0</v>
      </c>
      <c r="N441" s="19">
        <f>ROUND((J441-I441)-(K441+E441+H441),4)</f>
        <v/>
      </c>
    </row>
    <row r="442">
      <c r="A442" s="8" t="inlineStr">
        <is>
          <t>ОсОО Алтын Эйр</t>
        </is>
      </c>
      <c r="B442" s="8" t="inlineStr">
        <is>
          <t>2026-04</t>
        </is>
      </c>
      <c r="C442" s="14" t="n">
        <v>-916597.46</v>
      </c>
      <c r="D442" s="14" t="n">
        <v>-728832.11</v>
      </c>
      <c r="E442" s="14" t="n">
        <v>187765.35</v>
      </c>
      <c r="F442" s="14" t="n">
        <v>328731.5</v>
      </c>
      <c r="G442" s="14" t="n">
        <v>141013.9899999999</v>
      </c>
      <c r="H442" s="14" t="n">
        <v>-187717.5100000001</v>
      </c>
      <c r="I442" s="14" t="n">
        <v>-587865.96</v>
      </c>
      <c r="J442" s="14" t="n">
        <v>-587818.1200000001</v>
      </c>
      <c r="K442" s="14" t="n">
        <v>-1.164153218269348e-10</v>
      </c>
      <c r="L442" s="8" t="b">
        <v>0</v>
      </c>
      <c r="M442" s="14" t="n">
        <v>0</v>
      </c>
      <c r="N442" s="19">
        <f>ROUND((J442-I442)-(K442+E442+H442),4)</f>
        <v/>
      </c>
    </row>
    <row r="443">
      <c r="A443" s="8" t="inlineStr">
        <is>
          <t>ОсОО Алтын Эйр</t>
        </is>
      </c>
      <c r="B443" s="8" t="inlineStr">
        <is>
          <t>2026-05</t>
        </is>
      </c>
      <c r="C443" s="14" t="n">
        <v>-728832.11</v>
      </c>
      <c r="D443" s="14" t="n">
        <v>-2189372.17</v>
      </c>
      <c r="E443" s="14" t="n">
        <v>-1460540.06</v>
      </c>
      <c r="F443" s="14" t="n">
        <v>141013.9899999998</v>
      </c>
      <c r="G443" s="14" t="n">
        <v>1211665.94</v>
      </c>
      <c r="H443" s="14" t="n">
        <v>1070651.95</v>
      </c>
      <c r="I443" s="14" t="n">
        <v>-587818.1200000002</v>
      </c>
      <c r="J443" s="14" t="n">
        <v>-977706.23</v>
      </c>
      <c r="K443" s="14" t="n">
        <v>0</v>
      </c>
      <c r="L443" s="8" t="b">
        <v>0</v>
      </c>
      <c r="M443" s="14" t="n">
        <v>0</v>
      </c>
      <c r="N443" s="19">
        <f>ROUND((J443-I443)-(K443+E443+H443),4)</f>
        <v/>
      </c>
    </row>
    <row r="444">
      <c r="A444" s="8" t="inlineStr">
        <is>
          <t>ОсОО Алтын Эйр</t>
        </is>
      </c>
      <c r="B444" s="8" t="inlineStr">
        <is>
          <t>2026-06</t>
        </is>
      </c>
      <c r="C444" s="14" t="n">
        <v>-2189372.17</v>
      </c>
      <c r="D444" s="14" t="n">
        <v>-1754270.26</v>
      </c>
      <c r="E444" s="14" t="n">
        <v>435101.91</v>
      </c>
      <c r="F444" s="14" t="n">
        <v>1211665.94</v>
      </c>
      <c r="G444" s="14" t="n">
        <v>706390.77</v>
      </c>
      <c r="H444" s="14" t="n">
        <v>-505275.17</v>
      </c>
      <c r="I444" s="14" t="n">
        <v>-977706.23</v>
      </c>
      <c r="J444" s="14" t="n">
        <v>-1047879.49</v>
      </c>
      <c r="K444" s="14" t="n">
        <v>-2.328306436538696e-10</v>
      </c>
      <c r="L444" s="8" t="b">
        <v>0</v>
      </c>
      <c r="M444" s="14" t="n">
        <v>0</v>
      </c>
      <c r="N444" s="19">
        <f>ROUND((J444-I444)-(K444+E444+H444),4)</f>
        <v/>
      </c>
    </row>
    <row r="445">
      <c r="A445" s="8" t="inlineStr">
        <is>
          <t>ОсОО Алтын Эйр</t>
        </is>
      </c>
      <c r="B445" s="8" t="inlineStr">
        <is>
          <t>2026-07</t>
        </is>
      </c>
      <c r="C445" s="14" t="n">
        <v>-1754270.26</v>
      </c>
      <c r="D445" s="14" t="n">
        <v>-914893.78</v>
      </c>
      <c r="E445" s="14" t="n">
        <v>839376.48</v>
      </c>
      <c r="F445" s="14" t="n">
        <v>706390.77</v>
      </c>
      <c r="G445" s="14" t="n">
        <v>-132985.7099999997</v>
      </c>
      <c r="H445" s="14" t="n">
        <v>-839376.4799999997</v>
      </c>
      <c r="I445" s="14" t="n">
        <v>-1047879.49</v>
      </c>
      <c r="J445" s="14" t="n">
        <v>-1047879.49</v>
      </c>
      <c r="K445" s="14" t="n">
        <v>0</v>
      </c>
      <c r="L445" s="8" t="b">
        <v>0</v>
      </c>
      <c r="M445" s="14" t="n">
        <v>0</v>
      </c>
      <c r="N445" s="19">
        <f>ROUND((J445-I445)-(K445+E445+H445),4)</f>
        <v/>
      </c>
    </row>
    <row r="446">
      <c r="A446" s="8" t="inlineStr">
        <is>
          <t>ОсОО Иссык Тур</t>
        </is>
      </c>
      <c r="B446" s="8" t="inlineStr">
        <is>
          <t>2026-01</t>
        </is>
      </c>
      <c r="C446" s="14" t="n">
        <v>0</v>
      </c>
      <c r="D446" s="14" t="n">
        <v>-287469.09</v>
      </c>
      <c r="E446" s="14" t="n">
        <v>-287469.09</v>
      </c>
      <c r="F446" s="14" t="n">
        <v>-149434.14</v>
      </c>
      <c r="G446" s="14" t="n">
        <v>138577.17</v>
      </c>
      <c r="H446" s="14" t="n">
        <v>288011.31</v>
      </c>
      <c r="I446" s="14" t="n">
        <v>-149434.14</v>
      </c>
      <c r="J446" s="14" t="n">
        <v>-148891.92</v>
      </c>
      <c r="K446" s="14" t="n">
        <v>-5.820766091346741e-11</v>
      </c>
      <c r="L446" s="8" t="b">
        <v>0</v>
      </c>
      <c r="M446" s="14" t="n">
        <v>0</v>
      </c>
      <c r="N446" s="19">
        <f>ROUND((J446-I446)-(K446+E446+H446),4)</f>
        <v/>
      </c>
    </row>
    <row r="447">
      <c r="A447" s="8" t="inlineStr">
        <is>
          <t>ОсОО Иссык Тур</t>
        </is>
      </c>
      <c r="B447" s="8" t="inlineStr">
        <is>
          <t>2026-02</t>
        </is>
      </c>
      <c r="C447" s="14" t="n">
        <v>-287469.09</v>
      </c>
      <c r="D447" s="14" t="n">
        <v>-185175.12</v>
      </c>
      <c r="E447" s="14" t="n">
        <v>102293.97</v>
      </c>
      <c r="F447" s="14" t="n">
        <v>138577.17</v>
      </c>
      <c r="G447" s="14" t="n">
        <v>-234016.8</v>
      </c>
      <c r="H447" s="14" t="n">
        <v>-372593.97</v>
      </c>
      <c r="I447" s="14" t="n">
        <v>-148891.92</v>
      </c>
      <c r="J447" s="14" t="n">
        <v>-419191.92</v>
      </c>
      <c r="K447" s="14" t="n">
        <v>2.91038304567337e-11</v>
      </c>
      <c r="L447" s="8" t="b">
        <v>0</v>
      </c>
      <c r="M447" s="14" t="n">
        <v>0</v>
      </c>
      <c r="N447" s="19">
        <f>ROUND((J447-I447)-(K447+E447+H447),4)</f>
        <v/>
      </c>
    </row>
    <row r="448">
      <c r="A448" s="8" t="inlineStr">
        <is>
          <t>ОсОО Иссык Тур</t>
        </is>
      </c>
      <c r="B448" s="8" t="inlineStr">
        <is>
          <t>2026-03</t>
        </is>
      </c>
      <c r="C448" s="14" t="n">
        <v>-185175.12</v>
      </c>
      <c r="D448" s="14" t="n">
        <v>-1329092.51</v>
      </c>
      <c r="E448" s="14" t="n">
        <v>-1143917.39</v>
      </c>
      <c r="F448" s="14" t="n">
        <v>-234016.8</v>
      </c>
      <c r="G448" s="14" t="n">
        <v>431668.9399999998</v>
      </c>
      <c r="H448" s="14" t="n">
        <v>665685.7399999999</v>
      </c>
      <c r="I448" s="14" t="n">
        <v>-419191.92</v>
      </c>
      <c r="J448" s="14" t="n">
        <v>-897423.5700000002</v>
      </c>
      <c r="K448" s="14" t="n">
        <v>2.328306436538696e-10</v>
      </c>
      <c r="L448" s="8" t="b">
        <v>0</v>
      </c>
      <c r="M448" s="14" t="n">
        <v>0</v>
      </c>
      <c r="N448" s="19">
        <f>ROUND((J448-I448)-(K448+E448+H448),4)</f>
        <v/>
      </c>
    </row>
    <row r="449">
      <c r="A449" s="8" t="inlineStr">
        <is>
          <t>ОсОО Иссык Тур</t>
        </is>
      </c>
      <c r="B449" s="8" t="inlineStr">
        <is>
          <t>2026-04</t>
        </is>
      </c>
      <c r="C449" s="14" t="n">
        <v>-1329092.51</v>
      </c>
      <c r="D449" s="14" t="n">
        <v>-1131826.04</v>
      </c>
      <c r="E449" s="14" t="n">
        <v>197266.47</v>
      </c>
      <c r="F449" s="14" t="n">
        <v>431668.9399999999</v>
      </c>
      <c r="G449" s="14" t="n">
        <v>410114.89</v>
      </c>
      <c r="H449" s="14" t="n">
        <v>-21554.04999999996</v>
      </c>
      <c r="I449" s="14" t="n">
        <v>-897423.5700000001</v>
      </c>
      <c r="J449" s="14" t="n">
        <v>-721711.15</v>
      </c>
      <c r="K449" s="14" t="n">
        <v>0</v>
      </c>
      <c r="L449" s="8" t="b">
        <v>0</v>
      </c>
      <c r="M449" s="14" t="n">
        <v>0</v>
      </c>
      <c r="N449" s="19">
        <f>ROUND((J449-I449)-(K449+E449+H449),4)</f>
        <v/>
      </c>
    </row>
    <row r="450">
      <c r="A450" s="8" t="inlineStr">
        <is>
          <t>ОсОО Иссык Тур</t>
        </is>
      </c>
      <c r="B450" s="8" t="inlineStr">
        <is>
          <t>2026-05</t>
        </is>
      </c>
      <c r="C450" s="14" t="n">
        <v>-1131826.04</v>
      </c>
      <c r="D450" s="14" t="n">
        <v>-1022654.41</v>
      </c>
      <c r="E450" s="14" t="n">
        <v>109171.63</v>
      </c>
      <c r="F450" s="14" t="n">
        <v>410114.8899999999</v>
      </c>
      <c r="G450" s="14" t="n">
        <v>239265.36</v>
      </c>
      <c r="H450" s="14" t="n">
        <v>-170849.5299999999</v>
      </c>
      <c r="I450" s="14" t="n">
        <v>-721711.1500000001</v>
      </c>
      <c r="J450" s="14" t="n">
        <v>-783389.05</v>
      </c>
      <c r="K450" s="14" t="n">
        <v>0</v>
      </c>
      <c r="L450" s="8" t="b">
        <v>0</v>
      </c>
      <c r="M450" s="14" t="n">
        <v>0</v>
      </c>
      <c r="N450" s="19">
        <f>ROUND((J450-I450)-(K450+E450+H450),4)</f>
        <v/>
      </c>
    </row>
    <row r="451">
      <c r="A451" s="8" t="inlineStr">
        <is>
          <t>ОсОО Иссык Тур</t>
        </is>
      </c>
      <c r="B451" s="8" t="inlineStr">
        <is>
          <t>2026-06</t>
        </is>
      </c>
      <c r="C451" s="14" t="n">
        <v>-1022654.41</v>
      </c>
      <c r="D451" s="14" t="n">
        <v>-414876.27</v>
      </c>
      <c r="E451" s="14" t="n">
        <v>607778.14</v>
      </c>
      <c r="F451" s="14" t="n">
        <v>239265.3599999999</v>
      </c>
      <c r="G451" s="14" t="n">
        <v>-197997.5800000001</v>
      </c>
      <c r="H451" s="14" t="n">
        <v>-437262.94</v>
      </c>
      <c r="I451" s="14" t="n">
        <v>-783389.05</v>
      </c>
      <c r="J451" s="14" t="n">
        <v>-612873.8500000001</v>
      </c>
      <c r="K451" s="14" t="n">
        <v>0</v>
      </c>
      <c r="L451" s="8" t="b">
        <v>0</v>
      </c>
      <c r="M451" s="14" t="n">
        <v>0</v>
      </c>
      <c r="N451" s="19">
        <f>ROUND((J451-I451)-(K451+E451+H451),4)</f>
        <v/>
      </c>
    </row>
    <row r="452">
      <c r="A452" s="8" t="inlineStr">
        <is>
          <t>ОсОО Иссык Тур</t>
        </is>
      </c>
      <c r="B452" s="8" t="inlineStr">
        <is>
          <t>2026-07</t>
        </is>
      </c>
      <c r="C452" s="14" t="n">
        <v>-414876.27</v>
      </c>
      <c r="D452" s="14" t="n">
        <v>55501.35</v>
      </c>
      <c r="E452" s="14" t="n">
        <v>470377.62</v>
      </c>
      <c r="F452" s="14" t="n">
        <v>-197997.5799999999</v>
      </c>
      <c r="G452" s="14" t="n">
        <v>-660554.1999999998</v>
      </c>
      <c r="H452" s="14" t="n">
        <v>-462556.6199999999</v>
      </c>
      <c r="I452" s="14" t="n">
        <v>-612873.8499999999</v>
      </c>
      <c r="J452" s="14" t="n">
        <v>-605052.8499999999</v>
      </c>
      <c r="K452" s="14" t="n">
        <v>2.182787284255028e-11</v>
      </c>
      <c r="L452" s="8" t="b">
        <v>0</v>
      </c>
      <c r="M452" s="14" t="n">
        <v>0</v>
      </c>
      <c r="N452" s="19">
        <f>ROUND((J452-I452)-(K452+E452+H452),4)</f>
        <v/>
      </c>
    </row>
    <row r="453">
      <c r="A453" s="8" t="inlineStr">
        <is>
          <t>ОсОО Кара-Кол Трип</t>
        </is>
      </c>
      <c r="B453" s="8" t="inlineStr">
        <is>
          <t>2026-01</t>
        </is>
      </c>
      <c r="C453" s="14" t="n">
        <v>0</v>
      </c>
      <c r="D453" s="14" t="n">
        <v>-573202.47</v>
      </c>
      <c r="E453" s="14" t="n">
        <v>-573202.47</v>
      </c>
      <c r="F453" s="14" t="n">
        <v>278432.5200000001</v>
      </c>
      <c r="G453" s="14" t="n">
        <v>756317.3700000001</v>
      </c>
      <c r="H453" s="14" t="n">
        <v>477884.85</v>
      </c>
      <c r="I453" s="14" t="n">
        <v>278432.5200000001</v>
      </c>
      <c r="J453" s="14" t="n">
        <v>183114.9000000001</v>
      </c>
      <c r="K453" s="14" t="n">
        <v>0</v>
      </c>
      <c r="L453" s="8" t="b">
        <v>0</v>
      </c>
      <c r="M453" s="14" t="n">
        <v>0</v>
      </c>
      <c r="N453" s="19">
        <f>ROUND((J453-I453)-(K453+E453+H453),4)</f>
        <v/>
      </c>
    </row>
    <row r="454">
      <c r="A454" s="8" t="inlineStr">
        <is>
          <t>ОсОО Кара-Кол Трип</t>
        </is>
      </c>
      <c r="B454" s="8" t="inlineStr">
        <is>
          <t>2026-02</t>
        </is>
      </c>
      <c r="C454" s="14" t="n">
        <v>-573202.47</v>
      </c>
      <c r="D454" s="14" t="n">
        <v>136160.76</v>
      </c>
      <c r="E454" s="14" t="n">
        <v>709363.23</v>
      </c>
      <c r="F454" s="14" t="n">
        <v>756317.37</v>
      </c>
      <c r="G454" s="14" t="n">
        <v>145233.46</v>
      </c>
      <c r="H454" s="14" t="n">
        <v>-611083.91</v>
      </c>
      <c r="I454" s="14" t="n">
        <v>183114.9</v>
      </c>
      <c r="J454" s="14" t="n">
        <v>281394.22</v>
      </c>
      <c r="K454" s="14" t="n">
        <v>0</v>
      </c>
      <c r="L454" s="8" t="b">
        <v>0</v>
      </c>
      <c r="M454" s="14" t="n">
        <v>0</v>
      </c>
      <c r="N454" s="19">
        <f>ROUND((J454-I454)-(K454+E454+H454),4)</f>
        <v/>
      </c>
    </row>
    <row r="455">
      <c r="A455" s="8" t="inlineStr">
        <is>
          <t>ОсОО Кара-Кол Трип</t>
        </is>
      </c>
      <c r="B455" s="8" t="inlineStr">
        <is>
          <t>2026-03</t>
        </is>
      </c>
      <c r="C455" s="14" t="n">
        <v>136160.76</v>
      </c>
      <c r="D455" s="14" t="n">
        <v>-363278.33</v>
      </c>
      <c r="E455" s="14" t="n">
        <v>-499439.09</v>
      </c>
      <c r="F455" s="14" t="n">
        <v>145233.46</v>
      </c>
      <c r="G455" s="14" t="n">
        <v>644672.55</v>
      </c>
      <c r="H455" s="14" t="n">
        <v>499439.0900000001</v>
      </c>
      <c r="I455" s="14" t="n">
        <v>281394.22</v>
      </c>
      <c r="J455" s="14" t="n">
        <v>281394.22</v>
      </c>
      <c r="K455" s="14" t="n">
        <v>-5.820766091346741e-11</v>
      </c>
      <c r="L455" s="8" t="b">
        <v>0</v>
      </c>
      <c r="M455" s="14" t="n">
        <v>0</v>
      </c>
      <c r="N455" s="19">
        <f>ROUND((J455-I455)-(K455+E455+H455),4)</f>
        <v/>
      </c>
    </row>
    <row r="456">
      <c r="A456" s="8" t="inlineStr">
        <is>
          <t>ОсОО Кара-Кол Трип</t>
        </is>
      </c>
      <c r="B456" s="8" t="inlineStr">
        <is>
          <t>2026-04</t>
        </is>
      </c>
      <c r="C456" s="14" t="n">
        <v>-363278.33</v>
      </c>
      <c r="D456" s="14" t="n">
        <v>-919276.42</v>
      </c>
      <c r="E456" s="14" t="n">
        <v>-555998.09</v>
      </c>
      <c r="F456" s="14" t="n">
        <v>644672.5499999999</v>
      </c>
      <c r="G456" s="14" t="n">
        <v>1167162.95</v>
      </c>
      <c r="H456" s="14" t="n">
        <v>522490.4</v>
      </c>
      <c r="I456" s="14" t="n">
        <v>281394.2199999999</v>
      </c>
      <c r="J456" s="14" t="n">
        <v>247886.5299999999</v>
      </c>
      <c r="K456" s="14" t="n">
        <v>-1.164153218269348e-10</v>
      </c>
      <c r="L456" s="8" t="b">
        <v>0</v>
      </c>
      <c r="M456" s="14" t="n">
        <v>0</v>
      </c>
      <c r="N456" s="19">
        <f>ROUND((J456-I456)-(K456+E456+H456),4)</f>
        <v/>
      </c>
    </row>
    <row r="457">
      <c r="A457" s="8" t="inlineStr">
        <is>
          <t>ОсОО Кара-Кол Трип</t>
        </is>
      </c>
      <c r="B457" s="8" t="inlineStr">
        <is>
          <t>2026-05</t>
        </is>
      </c>
      <c r="C457" s="14" t="n">
        <v>-919276.42</v>
      </c>
      <c r="D457" s="14" t="n">
        <v>-611346.35</v>
      </c>
      <c r="E457" s="14" t="n">
        <v>307930.0699999999</v>
      </c>
      <c r="F457" s="14" t="n">
        <v>1167162.95</v>
      </c>
      <c r="G457" s="14" t="n">
        <v>892517.3700000001</v>
      </c>
      <c r="H457" s="14" t="n">
        <v>-274645.58</v>
      </c>
      <c r="I457" s="14" t="n">
        <v>247886.5300000001</v>
      </c>
      <c r="J457" s="14" t="n">
        <v>281171.0200000001</v>
      </c>
      <c r="K457" s="14" t="n">
        <v>1.164153218269348e-10</v>
      </c>
      <c r="L457" s="8" t="b">
        <v>0</v>
      </c>
      <c r="M457" s="14" t="n">
        <v>0</v>
      </c>
      <c r="N457" s="19">
        <f>ROUND((J457-I457)-(K457+E457+H457),4)</f>
        <v/>
      </c>
    </row>
    <row r="458">
      <c r="A458" s="8" t="inlineStr">
        <is>
          <t>ОсОО Кара-Кол Трип</t>
        </is>
      </c>
      <c r="B458" s="8" t="inlineStr">
        <is>
          <t>2026-06</t>
        </is>
      </c>
      <c r="C458" s="14" t="n">
        <v>-611346.35</v>
      </c>
      <c r="D458" s="14" t="n">
        <v>-741289.45</v>
      </c>
      <c r="E458" s="14" t="n">
        <v>-129943.1</v>
      </c>
      <c r="F458" s="14" t="n">
        <v>892517.37</v>
      </c>
      <c r="G458" s="14" t="n">
        <v>1009613.47</v>
      </c>
      <c r="H458" s="14" t="n">
        <v>117096.1</v>
      </c>
      <c r="I458" s="14" t="n">
        <v>281171.02</v>
      </c>
      <c r="J458" s="14" t="n">
        <v>268324.02</v>
      </c>
      <c r="K458" s="14" t="n">
        <v>0</v>
      </c>
      <c r="L458" s="8" t="b">
        <v>0</v>
      </c>
      <c r="M458" s="14" t="n">
        <v>0</v>
      </c>
      <c r="N458" s="19">
        <f>ROUND((J458-I458)-(K458+E458+H458),4)</f>
        <v/>
      </c>
    </row>
    <row r="459">
      <c r="A459" s="8" t="inlineStr">
        <is>
          <t>ОсОО Кара-Кол Трип</t>
        </is>
      </c>
      <c r="B459" s="8" t="inlineStr">
        <is>
          <t>2026-07</t>
        </is>
      </c>
      <c r="C459" s="14" t="n">
        <v>-741289.45</v>
      </c>
      <c r="D459" s="14" t="n">
        <v>-244604.58</v>
      </c>
      <c r="E459" s="14" t="n">
        <v>496684.8700000001</v>
      </c>
      <c r="F459" s="14" t="n">
        <v>1009613.47</v>
      </c>
      <c r="G459" s="14" t="n">
        <v>404943.6400000002</v>
      </c>
      <c r="H459" s="14" t="n">
        <v>-604669.83</v>
      </c>
      <c r="I459" s="14" t="n">
        <v>268324.0200000003</v>
      </c>
      <c r="J459" s="14" t="n">
        <v>160339.0600000003</v>
      </c>
      <c r="K459" s="14" t="n">
        <v>-8.731149137020111e-11</v>
      </c>
      <c r="L459" s="8" t="b">
        <v>0</v>
      </c>
      <c r="M459" s="14" t="n">
        <v>0</v>
      </c>
      <c r="N459" s="19">
        <f>ROUND((J459-I459)-(K459+E459+H459),4)</f>
        <v/>
      </c>
    </row>
    <row r="460">
      <c r="A460" s="8" t="inlineStr">
        <is>
          <t>ОсОО Кок-Жайык Вояж</t>
        </is>
      </c>
      <c r="B460" s="8" t="inlineStr">
        <is>
          <t>2026-01</t>
        </is>
      </c>
      <c r="C460" s="14" t="n">
        <v>0</v>
      </c>
      <c r="D460" s="14" t="n">
        <v>-232955.85</v>
      </c>
      <c r="E460" s="14" t="n">
        <v>-232955.85</v>
      </c>
      <c r="F460" s="14" t="n">
        <v>0</v>
      </c>
      <c r="G460" s="14" t="n">
        <v>87151.89999999999</v>
      </c>
      <c r="H460" s="14" t="n">
        <v>87151.89999999999</v>
      </c>
      <c r="I460" s="14" t="n">
        <v>0</v>
      </c>
      <c r="J460" s="14" t="n">
        <v>-145803.95</v>
      </c>
      <c r="K460" s="14" t="n">
        <v>-2.91038304567337e-11</v>
      </c>
      <c r="L460" s="8" t="b">
        <v>0</v>
      </c>
      <c r="M460" s="14" t="n">
        <v>0</v>
      </c>
      <c r="N460" s="19">
        <f>ROUND((J460-I460)-(K460+E460+H460),4)</f>
        <v/>
      </c>
    </row>
    <row r="461">
      <c r="A461" s="8" t="inlineStr">
        <is>
          <t>ОсОО Кок-Жайык Вояж</t>
        </is>
      </c>
      <c r="B461" s="8" t="inlineStr">
        <is>
          <t>2026-02</t>
        </is>
      </c>
      <c r="C461" s="14" t="n">
        <v>-232955.85</v>
      </c>
      <c r="D461" s="14" t="n">
        <v>-92135.3</v>
      </c>
      <c r="E461" s="14" t="n">
        <v>140820.55</v>
      </c>
      <c r="F461" s="14" t="n">
        <v>87151.90000000008</v>
      </c>
      <c r="G461" s="14" t="n">
        <v>-53476.32999999996</v>
      </c>
      <c r="H461" s="14" t="n">
        <v>-140628.23</v>
      </c>
      <c r="I461" s="14" t="n">
        <v>-145803.9499999999</v>
      </c>
      <c r="J461" s="14" t="n">
        <v>-145611.6299999999</v>
      </c>
      <c r="K461" s="14" t="n">
        <v>-1.455191522836685e-11</v>
      </c>
      <c r="L461" s="8" t="b">
        <v>0</v>
      </c>
      <c r="M461" s="14" t="n">
        <v>0</v>
      </c>
      <c r="N461" s="19">
        <f>ROUND((J461-I461)-(K461+E461+H461),4)</f>
        <v/>
      </c>
    </row>
    <row r="462">
      <c r="A462" s="8" t="inlineStr">
        <is>
          <t>ОсОО Кок-Жайык Вояж</t>
        </is>
      </c>
      <c r="B462" s="8" t="inlineStr">
        <is>
          <t>2026-03</t>
        </is>
      </c>
      <c r="C462" s="14" t="n">
        <v>-92135.3</v>
      </c>
      <c r="D462" s="14" t="n">
        <v>84876.59</v>
      </c>
      <c r="E462" s="14" t="n">
        <v>177011.89</v>
      </c>
      <c r="F462" s="14" t="n">
        <v>-53476.3299999999</v>
      </c>
      <c r="G462" s="14" t="n">
        <v>-409535.8499999999</v>
      </c>
      <c r="H462" s="14" t="n">
        <v>-356059.52</v>
      </c>
      <c r="I462" s="14" t="n">
        <v>-145611.6299999999</v>
      </c>
      <c r="J462" s="14" t="n">
        <v>-324659.2599999999</v>
      </c>
      <c r="K462" s="14" t="n">
        <v>1.455191522836685e-11</v>
      </c>
      <c r="L462" s="8" t="b">
        <v>0</v>
      </c>
      <c r="M462" s="14" t="n">
        <v>0</v>
      </c>
      <c r="N462" s="19">
        <f>ROUND((J462-I462)-(K462+E462+H462),4)</f>
        <v/>
      </c>
    </row>
    <row r="463">
      <c r="A463" s="8" t="inlineStr">
        <is>
          <t>ОсОО Кок-Жайык Вояж</t>
        </is>
      </c>
      <c r="B463" s="8" t="inlineStr">
        <is>
          <t>2026-04</t>
        </is>
      </c>
      <c r="C463" s="14" t="n">
        <v>84876.59</v>
      </c>
      <c r="D463" s="14" t="n">
        <v>-191212.59</v>
      </c>
      <c r="E463" s="14" t="n">
        <v>-276089.18</v>
      </c>
      <c r="F463" s="14" t="n">
        <v>-409535.8499999999</v>
      </c>
      <c r="G463" s="14" t="n">
        <v>-59652.66999999985</v>
      </c>
      <c r="H463" s="14" t="n">
        <v>349883.1800000001</v>
      </c>
      <c r="I463" s="14" t="n">
        <v>-324659.2599999999</v>
      </c>
      <c r="J463" s="14" t="n">
        <v>-250865.2599999998</v>
      </c>
      <c r="K463" s="14" t="n">
        <v>0</v>
      </c>
      <c r="L463" s="8" t="b">
        <v>0</v>
      </c>
      <c r="M463" s="14" t="n">
        <v>0</v>
      </c>
      <c r="N463" s="19">
        <f>ROUND((J463-I463)-(K463+E463+H463),4)</f>
        <v/>
      </c>
    </row>
    <row r="464">
      <c r="A464" s="8" t="inlineStr">
        <is>
          <t>ОсОО Кок-Жайык Вояж</t>
        </is>
      </c>
      <c r="B464" s="8" t="inlineStr">
        <is>
          <t>2026-05</t>
        </is>
      </c>
      <c r="C464" s="14" t="n">
        <v>-191212.59</v>
      </c>
      <c r="D464" s="14" t="n">
        <v>-554432.46</v>
      </c>
      <c r="E464" s="14" t="n">
        <v>-363219.87</v>
      </c>
      <c r="F464" s="14" t="n">
        <v>-59652.6700000001</v>
      </c>
      <c r="G464" s="14" t="n">
        <v>303468.6699999999</v>
      </c>
      <c r="H464" s="14" t="n">
        <v>363121.34</v>
      </c>
      <c r="I464" s="14" t="n">
        <v>-250865.2600000001</v>
      </c>
      <c r="J464" s="14" t="n">
        <v>-250963.79</v>
      </c>
      <c r="K464" s="14" t="n">
        <v>0</v>
      </c>
      <c r="L464" s="8" t="b">
        <v>0</v>
      </c>
      <c r="M464" s="14" t="n">
        <v>0</v>
      </c>
      <c r="N464" s="19">
        <f>ROUND((J464-I464)-(K464+E464+H464),4)</f>
        <v/>
      </c>
    </row>
    <row r="465">
      <c r="A465" s="8" t="inlineStr">
        <is>
          <t>ОсОО Кок-Жайык Вояж</t>
        </is>
      </c>
      <c r="B465" s="8" t="inlineStr">
        <is>
          <t>2026-06</t>
        </is>
      </c>
      <c r="C465" s="14" t="n">
        <v>-554432.46</v>
      </c>
      <c r="D465" s="14" t="n">
        <v>-699835.62</v>
      </c>
      <c r="E465" s="14" t="n">
        <v>-145403.16</v>
      </c>
      <c r="F465" s="14" t="n">
        <v>303468.67</v>
      </c>
      <c r="G465" s="14" t="n">
        <v>448871.8300000001</v>
      </c>
      <c r="H465" s="14" t="n">
        <v>145403.1600000001</v>
      </c>
      <c r="I465" s="14" t="n">
        <v>-250963.79</v>
      </c>
      <c r="J465" s="14" t="n">
        <v>-250963.7899999999</v>
      </c>
      <c r="K465" s="14" t="n">
        <v>0</v>
      </c>
      <c r="L465" s="8" t="b">
        <v>0</v>
      </c>
      <c r="M465" s="14" t="n">
        <v>0</v>
      </c>
      <c r="N465" s="19">
        <f>ROUND((J465-I465)-(K465+E465+H465),4)</f>
        <v/>
      </c>
    </row>
    <row r="466">
      <c r="A466" s="8" t="inlineStr">
        <is>
          <t>ОсОО Кок-Жайык Вояж</t>
        </is>
      </c>
      <c r="B466" s="8" t="inlineStr">
        <is>
          <t>2026-07</t>
        </is>
      </c>
      <c r="C466" s="14" t="n">
        <v>-699835.62</v>
      </c>
      <c r="D466" s="14" t="n">
        <v>-55615.31</v>
      </c>
      <c r="E466" s="14" t="n">
        <v>644220.3100000001</v>
      </c>
      <c r="F466" s="14" t="n">
        <v>448871.8300000001</v>
      </c>
      <c r="G466" s="14" t="n">
        <v>-195348.48</v>
      </c>
      <c r="H466" s="14" t="n">
        <v>-644220.3100000001</v>
      </c>
      <c r="I466" s="14" t="n">
        <v>-250963.7899999999</v>
      </c>
      <c r="J466" s="14" t="n">
        <v>-250963.79</v>
      </c>
      <c r="K466" s="14" t="n">
        <v>-5.820766091346741e-11</v>
      </c>
      <c r="L466" s="8" t="b">
        <v>0</v>
      </c>
      <c r="M466" s="14" t="n">
        <v>0</v>
      </c>
      <c r="N466" s="19">
        <f>ROUND((J466-I466)-(K466+E466+H466),4)</f>
        <v/>
      </c>
    </row>
    <row r="467">
      <c r="A467" s="8" t="inlineStr">
        <is>
          <t>ОсОО Кок-Жайык Лайн</t>
        </is>
      </c>
      <c r="B467" s="8" t="inlineStr">
        <is>
          <t>2026-01</t>
        </is>
      </c>
      <c r="C467" s="14" t="n">
        <v>573536.76</v>
      </c>
      <c r="D467" s="14" t="n">
        <v>205763.34</v>
      </c>
      <c r="E467" s="14" t="n">
        <v>-367773.42</v>
      </c>
      <c r="F467" s="14" t="n">
        <v>-573536.76</v>
      </c>
      <c r="G467" s="14" t="n">
        <v>-206980.54</v>
      </c>
      <c r="H467" s="14" t="n">
        <v>366556.22</v>
      </c>
      <c r="I467" s="14" t="n">
        <v>0</v>
      </c>
      <c r="J467" s="14" t="n">
        <v>-1217.199999999983</v>
      </c>
      <c r="K467" s="14" t="n">
        <v>-2.91038304567337e-11</v>
      </c>
      <c r="L467" s="8" t="b">
        <v>0</v>
      </c>
      <c r="M467" s="14" t="n">
        <v>0</v>
      </c>
      <c r="N467" s="19">
        <f>ROUND((J467-I467)-(K467+E467+H467),4)</f>
        <v/>
      </c>
    </row>
    <row r="468">
      <c r="A468" s="8" t="inlineStr">
        <is>
          <t>ОсОО Кок-Жайык Лайн</t>
        </is>
      </c>
      <c r="B468" s="8" t="inlineStr">
        <is>
          <t>2026-02</t>
        </is>
      </c>
      <c r="C468" s="14" t="n">
        <v>205763.34</v>
      </c>
      <c r="D468" s="14" t="n">
        <v>411751.71</v>
      </c>
      <c r="E468" s="14" t="n">
        <v>205988.37</v>
      </c>
      <c r="F468" s="14" t="n">
        <v>-206980.5400000001</v>
      </c>
      <c r="G468" s="14" t="n">
        <v>-415668.91</v>
      </c>
      <c r="H468" s="14" t="n">
        <v>-208688.37</v>
      </c>
      <c r="I468" s="14" t="n">
        <v>-1217.20000000007</v>
      </c>
      <c r="J468" s="14" t="n">
        <v>-3917.200000000012</v>
      </c>
      <c r="K468" s="14" t="n">
        <v>5.820766091346741e-11</v>
      </c>
      <c r="L468" s="8" t="b">
        <v>0</v>
      </c>
      <c r="M468" s="14" t="n">
        <v>0</v>
      </c>
      <c r="N468" s="19">
        <f>ROUND((J468-I468)-(K468+E468+H468),4)</f>
        <v/>
      </c>
    </row>
    <row r="469">
      <c r="A469" s="8" t="inlineStr">
        <is>
          <t>ОсОО Кок-Жайык Лайн</t>
        </is>
      </c>
      <c r="B469" s="8" t="inlineStr">
        <is>
          <t>2026-03</t>
        </is>
      </c>
      <c r="C469" s="14" t="n">
        <v>411751.71</v>
      </c>
      <c r="D469" s="14" t="n">
        <v>-44761.24</v>
      </c>
      <c r="E469" s="14" t="n">
        <v>-456512.95</v>
      </c>
      <c r="F469" s="14" t="n">
        <v>-415668.9099999999</v>
      </c>
      <c r="G469" s="14" t="n">
        <v>-352055.96</v>
      </c>
      <c r="H469" s="14" t="n">
        <v>63612.94999999995</v>
      </c>
      <c r="I469" s="14" t="n">
        <v>-3917.199999999895</v>
      </c>
      <c r="J469" s="14" t="n">
        <v>-396817.2</v>
      </c>
      <c r="K469" s="14" t="n">
        <v>-7.275957614183426e-12</v>
      </c>
      <c r="L469" s="8" t="b">
        <v>0</v>
      </c>
      <c r="M469" s="14" t="n">
        <v>0</v>
      </c>
      <c r="N469" s="19">
        <f>ROUND((J469-I469)-(K469+E469+H469),4)</f>
        <v/>
      </c>
    </row>
    <row r="470">
      <c r="A470" s="8" t="inlineStr">
        <is>
          <t>ОсОО Кок-Жайык Лайн</t>
        </is>
      </c>
      <c r="B470" s="8" t="inlineStr">
        <is>
          <t>2026-04</t>
        </is>
      </c>
      <c r="C470" s="14" t="n">
        <v>-44761.24</v>
      </c>
      <c r="D470" s="14" t="n">
        <v>-253946.36</v>
      </c>
      <c r="E470" s="14" t="n">
        <v>-209185.12</v>
      </c>
      <c r="F470" s="14" t="n">
        <v>-352055.9600000001</v>
      </c>
      <c r="G470" s="14" t="n">
        <v>-132870.84</v>
      </c>
      <c r="H470" s="14" t="n">
        <v>219185.1200000001</v>
      </c>
      <c r="I470" s="14" t="n">
        <v>-396817.2000000001</v>
      </c>
      <c r="J470" s="14" t="n">
        <v>-386817.2</v>
      </c>
      <c r="K470" s="14" t="n">
        <v>0</v>
      </c>
      <c r="L470" s="8" t="b">
        <v>0</v>
      </c>
      <c r="M470" s="14" t="n">
        <v>0</v>
      </c>
      <c r="N470" s="19">
        <f>ROUND((J470-I470)-(K470+E470+H470),4)</f>
        <v/>
      </c>
    </row>
    <row r="471">
      <c r="A471" s="8" t="inlineStr">
        <is>
          <t>ОсОО Кок-Жайык Лайн</t>
        </is>
      </c>
      <c r="B471" s="8" t="inlineStr">
        <is>
          <t>2026-05</t>
        </is>
      </c>
      <c r="C471" s="14" t="n">
        <v>-253946.36</v>
      </c>
      <c r="D471" s="14" t="n">
        <v>-321202.82</v>
      </c>
      <c r="E471" s="14" t="n">
        <v>-67256.46000000002</v>
      </c>
      <c r="F471" s="14" t="n">
        <v>-132870.8399999999</v>
      </c>
      <c r="G471" s="14" t="n">
        <v>-101610.1799999999</v>
      </c>
      <c r="H471" s="14" t="n">
        <v>31260.66000000003</v>
      </c>
      <c r="I471" s="14" t="n">
        <v>-386817.1999999999</v>
      </c>
      <c r="J471" s="14" t="n">
        <v>-422812.9999999999</v>
      </c>
      <c r="K471" s="14" t="n">
        <v>0</v>
      </c>
      <c r="L471" s="8" t="b">
        <v>0</v>
      </c>
      <c r="M471" s="14" t="n">
        <v>0</v>
      </c>
      <c r="N471" s="19">
        <f>ROUND((J471-I471)-(K471+E471+H471),4)</f>
        <v/>
      </c>
    </row>
    <row r="472">
      <c r="A472" s="8" t="inlineStr">
        <is>
          <t>ОсОО Кок-Жайык Лайн</t>
        </is>
      </c>
      <c r="B472" s="8" t="inlineStr">
        <is>
          <t>2026-06</t>
        </is>
      </c>
      <c r="C472" s="14" t="n">
        <v>-321202.82</v>
      </c>
      <c r="D472" s="14" t="n">
        <v>-464852.62</v>
      </c>
      <c r="E472" s="14" t="n">
        <v>-143649.8</v>
      </c>
      <c r="F472" s="14" t="n">
        <v>-101610.1799999999</v>
      </c>
      <c r="G472" s="14" t="n">
        <v>42039.62000000011</v>
      </c>
      <c r="H472" s="14" t="n">
        <v>143649.8</v>
      </c>
      <c r="I472" s="14" t="n">
        <v>-422812.9999999999</v>
      </c>
      <c r="J472" s="14" t="n">
        <v>-422812.9999999999</v>
      </c>
      <c r="K472" s="14" t="n">
        <v>0</v>
      </c>
      <c r="L472" s="8" t="b">
        <v>0</v>
      </c>
      <c r="M472" s="14" t="n">
        <v>0</v>
      </c>
      <c r="N472" s="19">
        <f>ROUND((J472-I472)-(K472+E472+H472),4)</f>
        <v/>
      </c>
    </row>
    <row r="473">
      <c r="A473" s="8" t="inlineStr">
        <is>
          <t>ОсОО Кок-Жайык Лайн</t>
        </is>
      </c>
      <c r="B473" s="8" t="inlineStr">
        <is>
          <t>2026-07</t>
        </is>
      </c>
      <c r="C473" s="14" t="n">
        <v>-464852.62</v>
      </c>
      <c r="D473" s="14" t="n">
        <v>347797.28</v>
      </c>
      <c r="E473" s="14" t="n">
        <v>812649.8999999999</v>
      </c>
      <c r="F473" s="14" t="n">
        <v>42039.62000000011</v>
      </c>
      <c r="G473" s="14" t="n">
        <v>-820415.8999999999</v>
      </c>
      <c r="H473" s="14" t="n">
        <v>-862455.52</v>
      </c>
      <c r="I473" s="14" t="n">
        <v>-422812.9999999999</v>
      </c>
      <c r="J473" s="14" t="n">
        <v>-472618.6199999999</v>
      </c>
      <c r="K473" s="14" t="n">
        <v>1.164153218269348e-10</v>
      </c>
      <c r="L473" s="8" t="b">
        <v>0</v>
      </c>
      <c r="M473" s="14" t="n">
        <v>0</v>
      </c>
      <c r="N473" s="19">
        <f>ROUND((J473-I473)-(K473+E473+H473),4)</f>
        <v/>
      </c>
    </row>
    <row r="474">
      <c r="A474" s="8" t="inlineStr">
        <is>
          <t>ОсОО Тянь-Шань Вояж</t>
        </is>
      </c>
      <c r="B474" s="8" t="inlineStr">
        <is>
          <t>2026-01</t>
        </is>
      </c>
      <c r="C474" s="14" t="n">
        <v>-515924.29</v>
      </c>
      <c r="D474" s="14" t="n">
        <v>-616349.73</v>
      </c>
      <c r="E474" s="14" t="n">
        <v>-100425.44</v>
      </c>
      <c r="F474" s="14" t="n">
        <v>-3398226.3</v>
      </c>
      <c r="G474" s="14" t="n">
        <v>-3297800.86</v>
      </c>
      <c r="H474" s="14" t="n">
        <v>100425.44</v>
      </c>
      <c r="I474" s="14" t="n">
        <v>-3914150.59</v>
      </c>
      <c r="J474" s="14" t="n">
        <v>-3914150.59</v>
      </c>
      <c r="K474" s="14" t="n">
        <v>0</v>
      </c>
      <c r="L474" s="8" t="b">
        <v>0</v>
      </c>
      <c r="M474" s="14" t="n">
        <v>0</v>
      </c>
      <c r="N474" s="19">
        <f>ROUND((J474-I474)-(K474+E474+H474),4)</f>
        <v/>
      </c>
    </row>
    <row r="475">
      <c r="A475" s="8" t="inlineStr">
        <is>
          <t>ОсОО Тянь-Шань Вояж</t>
        </is>
      </c>
      <c r="B475" s="8" t="inlineStr">
        <is>
          <t>2026-02</t>
        </is>
      </c>
      <c r="C475" s="14" t="n">
        <v>-616349.73</v>
      </c>
      <c r="D475" s="14" t="n">
        <v>-624751.22</v>
      </c>
      <c r="E475" s="14" t="n">
        <v>-8401.489999999991</v>
      </c>
      <c r="F475" s="14" t="n">
        <v>-3297800.859999999</v>
      </c>
      <c r="G475" s="14" t="n">
        <v>-3297399.37</v>
      </c>
      <c r="H475" s="14" t="n">
        <v>401.4899999999907</v>
      </c>
      <c r="I475" s="14" t="n">
        <v>-3914150.589999999</v>
      </c>
      <c r="J475" s="14" t="n">
        <v>-3922150.59</v>
      </c>
      <c r="K475" s="14" t="n">
        <v>0</v>
      </c>
      <c r="L475" s="8" t="b">
        <v>0</v>
      </c>
      <c r="M475" s="14" t="n">
        <v>0</v>
      </c>
      <c r="N475" s="19">
        <f>ROUND((J475-I475)-(K475+E475+H475),4)</f>
        <v/>
      </c>
    </row>
    <row r="476">
      <c r="A476" s="8" t="inlineStr">
        <is>
          <t>ОсОО Тянь-Шань Вояж</t>
        </is>
      </c>
      <c r="B476" s="8" t="inlineStr">
        <is>
          <t>2026-03</t>
        </is>
      </c>
      <c r="C476" s="14" t="n">
        <v>-624751.22</v>
      </c>
      <c r="D476" s="14" t="n">
        <v>-687568.6</v>
      </c>
      <c r="E476" s="14" t="n">
        <v>-62817.38</v>
      </c>
      <c r="F476" s="14" t="n">
        <v>-3297399.37</v>
      </c>
      <c r="G476" s="14" t="n">
        <v>-3234581.99</v>
      </c>
      <c r="H476" s="14" t="n">
        <v>62817.38000000002</v>
      </c>
      <c r="I476" s="14" t="n">
        <v>-3922150.59</v>
      </c>
      <c r="J476" s="14" t="n">
        <v>-3922150.59</v>
      </c>
      <c r="K476" s="14" t="n">
        <v>0</v>
      </c>
      <c r="L476" s="8" t="b">
        <v>0</v>
      </c>
      <c r="M476" s="14" t="n">
        <v>0</v>
      </c>
      <c r="N476" s="19">
        <f>ROUND((J476-I476)-(K476+E476+H476),4)</f>
        <v/>
      </c>
    </row>
    <row r="477">
      <c r="A477" s="8" t="inlineStr">
        <is>
          <t>ОсОО Тянь-Шань Вояж</t>
        </is>
      </c>
      <c r="B477" s="8" t="inlineStr">
        <is>
          <t>2026-04</t>
        </is>
      </c>
      <c r="C477" s="14" t="n">
        <v>-687568.6</v>
      </c>
      <c r="D477" s="14" t="n">
        <v>-1052444.03</v>
      </c>
      <c r="E477" s="14" t="n">
        <v>-364875.43</v>
      </c>
      <c r="F477" s="14" t="n">
        <v>-3234581.99</v>
      </c>
      <c r="G477" s="14" t="n">
        <v>-2869706.56</v>
      </c>
      <c r="H477" s="14" t="n">
        <v>364875.43</v>
      </c>
      <c r="I477" s="14" t="n">
        <v>-3922150.59</v>
      </c>
      <c r="J477" s="14" t="n">
        <v>-3922150.59</v>
      </c>
      <c r="K477" s="14" t="n">
        <v>0</v>
      </c>
      <c r="L477" s="8" t="b">
        <v>0</v>
      </c>
      <c r="M477" s="14" t="n">
        <v>0</v>
      </c>
      <c r="N477" s="19">
        <f>ROUND((J477-I477)-(K477+E477+H477),4)</f>
        <v/>
      </c>
    </row>
    <row r="478">
      <c r="A478" s="8" t="inlineStr">
        <is>
          <t>ОсОО Тянь-Шань Вояж</t>
        </is>
      </c>
      <c r="B478" s="8" t="inlineStr">
        <is>
          <t>2026-05</t>
        </is>
      </c>
      <c r="C478" s="14" t="n">
        <v>-1052444.03</v>
      </c>
      <c r="D478" s="14" t="n">
        <v>-1181998.98</v>
      </c>
      <c r="E478" s="14" t="n">
        <v>-129554.95</v>
      </c>
      <c r="F478" s="14" t="n">
        <v>-2869706.56</v>
      </c>
      <c r="G478" s="14" t="n">
        <v>-2731365.4</v>
      </c>
      <c r="H478" s="14" t="n">
        <v>138341.16</v>
      </c>
      <c r="I478" s="14" t="n">
        <v>-3922150.59</v>
      </c>
      <c r="J478" s="14" t="n">
        <v>-3913364.38</v>
      </c>
      <c r="K478" s="14" t="n">
        <v>0</v>
      </c>
      <c r="L478" s="8" t="b">
        <v>0</v>
      </c>
      <c r="M478" s="14" t="n">
        <v>0</v>
      </c>
      <c r="N478" s="19">
        <f>ROUND((J478-I478)-(K478+E478+H478),4)</f>
        <v/>
      </c>
    </row>
    <row r="479">
      <c r="A479" s="8" t="inlineStr">
        <is>
          <t>ОсОО Тянь-Шань Вояж</t>
        </is>
      </c>
      <c r="B479" s="8" t="inlineStr">
        <is>
          <t>2026-06</t>
        </is>
      </c>
      <c r="C479" s="14" t="n">
        <v>-1181998.98</v>
      </c>
      <c r="D479" s="14" t="n">
        <v>-683604.33</v>
      </c>
      <c r="E479" s="14" t="n">
        <v>498394.65</v>
      </c>
      <c r="F479" s="14" t="n">
        <v>-2731365.4</v>
      </c>
      <c r="G479" s="14" t="n">
        <v>-3229760.05</v>
      </c>
      <c r="H479" s="14" t="n">
        <v>-498394.65</v>
      </c>
      <c r="I479" s="14" t="n">
        <v>-3913364.38</v>
      </c>
      <c r="J479" s="14" t="n">
        <v>-3913364.38</v>
      </c>
      <c r="K479" s="14" t="n">
        <v>0</v>
      </c>
      <c r="L479" s="8" t="b">
        <v>0</v>
      </c>
      <c r="M479" s="14" t="n">
        <v>0</v>
      </c>
      <c r="N479" s="19">
        <f>ROUND((J479-I479)-(K479+E479+H479),4)</f>
        <v/>
      </c>
    </row>
    <row r="480">
      <c r="A480" s="8" t="inlineStr">
        <is>
          <t>ОсОО Тянь-Шань Вояж</t>
        </is>
      </c>
      <c r="B480" s="8" t="inlineStr">
        <is>
          <t>2026-07</t>
        </is>
      </c>
      <c r="C480" s="14" t="n">
        <v>-683604.33</v>
      </c>
      <c r="D480" s="14" t="n">
        <v>-620034.55</v>
      </c>
      <c r="E480" s="14" t="n">
        <v>63569.78</v>
      </c>
      <c r="F480" s="14" t="n">
        <v>-3229760.05</v>
      </c>
      <c r="G480" s="14" t="n">
        <v>-3293329.83</v>
      </c>
      <c r="H480" s="14" t="n">
        <v>-63569.78000000001</v>
      </c>
      <c r="I480" s="14" t="n">
        <v>-3913364.38</v>
      </c>
      <c r="J480" s="14" t="n">
        <v>-3913364.38</v>
      </c>
      <c r="K480" s="14" t="n">
        <v>-1.164153218269348e-10</v>
      </c>
      <c r="L480" s="8" t="b">
        <v>0</v>
      </c>
      <c r="M480" s="14" t="n">
        <v>0</v>
      </c>
      <c r="N480" s="19">
        <f>ROUND((J480-I480)-(K480+E480+H480),4)</f>
        <v/>
      </c>
    </row>
    <row r="481">
      <c r="A481" s="8" t="inlineStr">
        <is>
          <t>ОсОО Чолпон Авиакасса</t>
        </is>
      </c>
      <c r="B481" s="8" t="inlineStr">
        <is>
          <t>2026-01</t>
        </is>
      </c>
      <c r="C481" s="14" t="n">
        <v>780854.97</v>
      </c>
      <c r="D481" s="14" t="n">
        <v>226590.53</v>
      </c>
      <c r="E481" s="14" t="n">
        <v>-554264.4399999999</v>
      </c>
      <c r="F481" s="14" t="n">
        <v>-780854.97</v>
      </c>
      <c r="G481" s="14" t="n">
        <v>-592991.97</v>
      </c>
      <c r="H481" s="14" t="n">
        <v>187863</v>
      </c>
      <c r="I481" s="14" t="n">
        <v>0</v>
      </c>
      <c r="J481" s="14" t="n">
        <v>-366401.4399999999</v>
      </c>
      <c r="K481" s="14" t="n">
        <v>-2.91038304567337e-11</v>
      </c>
      <c r="L481" s="8" t="b">
        <v>0</v>
      </c>
      <c r="M481" s="14" t="n">
        <v>0</v>
      </c>
      <c r="N481" s="19">
        <f>ROUND((J481-I481)-(K481+E481+H481),4)</f>
        <v/>
      </c>
    </row>
    <row r="482">
      <c r="A482" s="8" t="inlineStr">
        <is>
          <t>ОсОО Чолпон Авиакасса</t>
        </is>
      </c>
      <c r="B482" s="8" t="inlineStr">
        <is>
          <t>2026-02</t>
        </is>
      </c>
      <c r="C482" s="14" t="n">
        <v>226590.53</v>
      </c>
      <c r="D482" s="14" t="n">
        <v>701418</v>
      </c>
      <c r="E482" s="14" t="n">
        <v>474827.47</v>
      </c>
      <c r="F482" s="14" t="n">
        <v>-592991.9699999999</v>
      </c>
      <c r="G482" s="14" t="n">
        <v>-1067819.44</v>
      </c>
      <c r="H482" s="14" t="n">
        <v>-474827.4700000001</v>
      </c>
      <c r="I482" s="14" t="n">
        <v>-366401.4399999998</v>
      </c>
      <c r="J482" s="14" t="n">
        <v>-366401.4399999999</v>
      </c>
      <c r="K482" s="14" t="n">
        <v>0</v>
      </c>
      <c r="L482" s="8" t="b">
        <v>0</v>
      </c>
      <c r="M482" s="14" t="n">
        <v>0</v>
      </c>
      <c r="N482" s="19">
        <f>ROUND((J482-I482)-(K482+E482+H482),4)</f>
        <v/>
      </c>
    </row>
    <row r="483">
      <c r="A483" s="8" t="inlineStr">
        <is>
          <t>ОсОО Чолпон Авиакасса</t>
        </is>
      </c>
      <c r="B483" s="8" t="inlineStr">
        <is>
          <t>2026-03</t>
        </is>
      </c>
      <c r="C483" s="14" t="n">
        <v>696618</v>
      </c>
      <c r="D483" s="14" t="n">
        <v>486809.89</v>
      </c>
      <c r="E483" s="14" t="n">
        <v>-209808.11</v>
      </c>
      <c r="F483" s="14" t="n">
        <v>-1067819.44</v>
      </c>
      <c r="G483" s="14" t="n">
        <v>-858011.33</v>
      </c>
      <c r="H483" s="14" t="n">
        <v>209808.11</v>
      </c>
      <c r="I483" s="14" t="n">
        <v>-371201.4399999999</v>
      </c>
      <c r="J483" s="14" t="n">
        <v>-371201.4399999999</v>
      </c>
      <c r="K483" s="14" t="n">
        <v>0</v>
      </c>
      <c r="L483" s="8" t="b">
        <v>1</v>
      </c>
      <c r="M483" s="14" t="n">
        <v>-4800</v>
      </c>
      <c r="N483" s="19">
        <f>ROUND((J483-I483)-(K483+E483+H483),4)</f>
        <v/>
      </c>
    </row>
    <row r="484">
      <c r="A484" s="8" t="inlineStr">
        <is>
          <t>ОсОО Чолпон Авиакасса</t>
        </is>
      </c>
      <c r="B484" s="8" t="inlineStr">
        <is>
          <t>2026-04</t>
        </is>
      </c>
      <c r="C484" s="14" t="n">
        <v>486809.89</v>
      </c>
      <c r="D484" s="14" t="n">
        <v>-447275.39</v>
      </c>
      <c r="E484" s="14" t="n">
        <v>-934085.28</v>
      </c>
      <c r="F484" s="14" t="n">
        <v>-858011.33</v>
      </c>
      <c r="G484" s="14" t="n">
        <v>75948.55000000005</v>
      </c>
      <c r="H484" s="14" t="n">
        <v>933959.88</v>
      </c>
      <c r="I484" s="14" t="n">
        <v>-371201.4399999999</v>
      </c>
      <c r="J484" s="14" t="n">
        <v>-371326.84</v>
      </c>
      <c r="K484" s="14" t="n">
        <v>0</v>
      </c>
      <c r="L484" s="8" t="b">
        <v>0</v>
      </c>
      <c r="M484" s="14" t="n">
        <v>0</v>
      </c>
      <c r="N484" s="19">
        <f>ROUND((J484-I484)-(K484+E484+H484),4)</f>
        <v/>
      </c>
    </row>
    <row r="485">
      <c r="A485" s="8" t="inlineStr">
        <is>
          <t>ОсОО Чолпон Авиакасса</t>
        </is>
      </c>
      <c r="B485" s="8" t="inlineStr">
        <is>
          <t>2026-05</t>
        </is>
      </c>
      <c r="C485" s="14" t="n">
        <v>-447275.39</v>
      </c>
      <c r="D485" s="14" t="n">
        <v>-760114.1</v>
      </c>
      <c r="E485" s="14" t="n">
        <v>-312838.71</v>
      </c>
      <c r="F485" s="14" t="n">
        <v>75948.55000000005</v>
      </c>
      <c r="G485" s="14" t="n">
        <v>384164.51</v>
      </c>
      <c r="H485" s="14" t="n">
        <v>308215.96</v>
      </c>
      <c r="I485" s="14" t="n">
        <v>-371326.84</v>
      </c>
      <c r="J485" s="14" t="n">
        <v>-375949.59</v>
      </c>
      <c r="K485" s="14" t="n">
        <v>1.164153218269348e-10</v>
      </c>
      <c r="L485" s="8" t="b">
        <v>0</v>
      </c>
      <c r="M485" s="14" t="n">
        <v>0</v>
      </c>
      <c r="N485" s="19">
        <f>ROUND((J485-I485)-(K485+E485+H485),4)</f>
        <v/>
      </c>
    </row>
    <row r="486">
      <c r="A486" s="8" t="inlineStr">
        <is>
          <t>ОсОО Чолпон Авиакасса</t>
        </is>
      </c>
      <c r="B486" s="8" t="inlineStr">
        <is>
          <t>2026-06</t>
        </is>
      </c>
      <c r="C486" s="14" t="n">
        <v>-760114.1</v>
      </c>
      <c r="D486" s="14" t="n">
        <v>-901786.85</v>
      </c>
      <c r="E486" s="14" t="n">
        <v>-141672.7499999999</v>
      </c>
      <c r="F486" s="14" t="n">
        <v>384164.5099999998</v>
      </c>
      <c r="G486" s="14" t="n">
        <v>449149.7899999998</v>
      </c>
      <c r="H486" s="14" t="n">
        <v>64985.27999999996</v>
      </c>
      <c r="I486" s="14" t="n">
        <v>-375949.5900000001</v>
      </c>
      <c r="J486" s="14" t="n">
        <v>-452637.0600000002</v>
      </c>
      <c r="K486" s="14" t="n">
        <v>-1.164153218269348e-10</v>
      </c>
      <c r="L486" s="8" t="b">
        <v>0</v>
      </c>
      <c r="M486" s="14" t="n">
        <v>0</v>
      </c>
      <c r="N486" s="19">
        <f>ROUND((J486-I486)-(K486+E486+H486),4)</f>
        <v/>
      </c>
    </row>
    <row r="487">
      <c r="A487" s="8" t="inlineStr">
        <is>
          <t>ОсОО Чолпон Авиакасса</t>
        </is>
      </c>
      <c r="B487" s="8" t="inlineStr">
        <is>
          <t>2026-07</t>
        </is>
      </c>
      <c r="C487" s="14" t="n">
        <v>-901786.85</v>
      </c>
      <c r="D487" s="14" t="n">
        <v>-266998.21</v>
      </c>
      <c r="E487" s="14" t="n">
        <v>634788.64</v>
      </c>
      <c r="F487" s="14" t="n">
        <v>449149.7900000002</v>
      </c>
      <c r="G487" s="14" t="n">
        <v>-385895.9899999998</v>
      </c>
      <c r="H487" s="14" t="n">
        <v>-835045.7799999999</v>
      </c>
      <c r="I487" s="14" t="n">
        <v>-452637.0599999998</v>
      </c>
      <c r="J487" s="14" t="n">
        <v>-652894.1999999997</v>
      </c>
      <c r="K487" s="14" t="n">
        <v>-5.820766091346741e-11</v>
      </c>
      <c r="L487" s="8" t="b">
        <v>0</v>
      </c>
      <c r="M487" s="14" t="n">
        <v>0</v>
      </c>
      <c r="N487" s="19">
        <f>ROUND((J487-I487)-(K487+E487+H487),4)</f>
        <v/>
      </c>
    </row>
    <row r="488">
      <c r="A488" s="8" t="inlineStr">
        <is>
          <t>Осмонова А. Н.</t>
        </is>
      </c>
      <c r="B488" s="8" t="inlineStr">
        <is>
          <t>2026-01</t>
        </is>
      </c>
      <c r="C488" s="14" t="n">
        <v>0</v>
      </c>
      <c r="D488" s="14" t="n">
        <v>662016.45</v>
      </c>
      <c r="E488" s="14" t="n">
        <v>662016.45</v>
      </c>
      <c r="F488" s="14" t="n">
        <v>0</v>
      </c>
      <c r="G488" s="14" t="n">
        <v>-737138.7000000001</v>
      </c>
      <c r="H488" s="14" t="n">
        <v>-737138.7000000001</v>
      </c>
      <c r="I488" s="14" t="n">
        <v>0</v>
      </c>
      <c r="J488" s="14" t="n">
        <v>-75122.25000000012</v>
      </c>
      <c r="K488" s="14" t="n">
        <v>0</v>
      </c>
      <c r="L488" s="8" t="b">
        <v>0</v>
      </c>
      <c r="M488" s="14" t="n">
        <v>0</v>
      </c>
      <c r="N488" s="19">
        <f>ROUND((J488-I488)-(K488+E488+H488),4)</f>
        <v/>
      </c>
    </row>
    <row r="489">
      <c r="A489" s="8" t="inlineStr">
        <is>
          <t>Осмонова А. Н.</t>
        </is>
      </c>
      <c r="B489" s="8" t="inlineStr">
        <is>
          <t>2026-02</t>
        </is>
      </c>
      <c r="C489" s="14" t="n">
        <v>662016.45</v>
      </c>
      <c r="D489" s="14" t="n">
        <v>-99165.64999999999</v>
      </c>
      <c r="E489" s="14" t="n">
        <v>-761182.1</v>
      </c>
      <c r="F489" s="14" t="n">
        <v>-737138.7000000001</v>
      </c>
      <c r="G489" s="14" t="n">
        <v>24043.39999999996</v>
      </c>
      <c r="H489" s="14" t="n">
        <v>761182.1</v>
      </c>
      <c r="I489" s="14" t="n">
        <v>-75122.25000000012</v>
      </c>
      <c r="J489" s="14" t="n">
        <v>-75122.25000000003</v>
      </c>
      <c r="K489" s="14" t="n">
        <v>2.91038304567337e-11</v>
      </c>
      <c r="L489" s="8" t="b">
        <v>0</v>
      </c>
      <c r="M489" s="14" t="n">
        <v>0</v>
      </c>
      <c r="N489" s="19">
        <f>ROUND((J489-I489)-(K489+E489+H489),4)</f>
        <v/>
      </c>
    </row>
    <row r="490">
      <c r="A490" s="8" t="inlineStr">
        <is>
          <t>Осмонова А. Н.</t>
        </is>
      </c>
      <c r="B490" s="8" t="inlineStr">
        <is>
          <t>2026-03</t>
        </is>
      </c>
      <c r="C490" s="14" t="n">
        <v>-99165.64999999999</v>
      </c>
      <c r="D490" s="14" t="n">
        <v>-82645.42999999999</v>
      </c>
      <c r="E490" s="14" t="n">
        <v>16520.22000000002</v>
      </c>
      <c r="F490" s="14" t="n">
        <v>24043.39999999988</v>
      </c>
      <c r="G490" s="14" t="n">
        <v>7523.179999999913</v>
      </c>
      <c r="H490" s="14" t="n">
        <v>-16520.21999999996</v>
      </c>
      <c r="I490" s="14" t="n">
        <v>-75122.25000000012</v>
      </c>
      <c r="J490" s="14" t="n">
        <v>-75122.25000000009</v>
      </c>
      <c r="K490" s="14" t="n">
        <v>-2.91038304567337e-11</v>
      </c>
      <c r="L490" s="8" t="b">
        <v>0</v>
      </c>
      <c r="M490" s="14" t="n">
        <v>0</v>
      </c>
      <c r="N490" s="19">
        <f>ROUND((J490-I490)-(K490+E490+H490),4)</f>
        <v/>
      </c>
    </row>
    <row r="491">
      <c r="A491" s="8" t="inlineStr">
        <is>
          <t>Осмонова А. Н.</t>
        </is>
      </c>
      <c r="B491" s="8" t="inlineStr">
        <is>
          <t>2026-04</t>
        </is>
      </c>
      <c r="C491" s="14" t="n">
        <v>-82645.42999999999</v>
      </c>
      <c r="D491" s="14" t="n">
        <v>-695320.2</v>
      </c>
      <c r="E491" s="14" t="n">
        <v>-612674.77</v>
      </c>
      <c r="F491" s="14" t="n">
        <v>7523.179999999935</v>
      </c>
      <c r="G491" s="14" t="n">
        <v>620197.95</v>
      </c>
      <c r="H491" s="14" t="n">
        <v>612674.77</v>
      </c>
      <c r="I491" s="14" t="n">
        <v>-75122.25000000006</v>
      </c>
      <c r="J491" s="14" t="n">
        <v>-75122.25</v>
      </c>
      <c r="K491" s="14" t="n">
        <v>0</v>
      </c>
      <c r="L491" s="8" t="b">
        <v>0</v>
      </c>
      <c r="M491" s="14" t="n">
        <v>0</v>
      </c>
      <c r="N491" s="19">
        <f>ROUND((J491-I491)-(K491+E491+H491),4)</f>
        <v/>
      </c>
    </row>
    <row r="492">
      <c r="A492" s="8" t="inlineStr">
        <is>
          <t>Осмонова А. Н.</t>
        </is>
      </c>
      <c r="B492" s="8" t="inlineStr">
        <is>
          <t>2026-05</t>
        </is>
      </c>
      <c r="C492" s="14" t="n">
        <v>-695320.2</v>
      </c>
      <c r="D492" s="14" t="n">
        <v>-1482284.71</v>
      </c>
      <c r="E492" s="14" t="n">
        <v>-786964.51</v>
      </c>
      <c r="F492" s="14" t="n">
        <v>620197.9500000001</v>
      </c>
      <c r="G492" s="14" t="n">
        <v>913862.4600000001</v>
      </c>
      <c r="H492" s="14" t="n">
        <v>293664.51</v>
      </c>
      <c r="I492" s="14" t="n">
        <v>-75122.24999999988</v>
      </c>
      <c r="J492" s="14" t="n">
        <v>-568422.2499999999</v>
      </c>
      <c r="K492" s="14" t="n">
        <v>0</v>
      </c>
      <c r="L492" s="8" t="b">
        <v>0</v>
      </c>
      <c r="M492" s="14" t="n">
        <v>0</v>
      </c>
      <c r="N492" s="19">
        <f>ROUND((J492-I492)-(K492+E492+H492),4)</f>
        <v/>
      </c>
    </row>
    <row r="493">
      <c r="A493" s="8" t="inlineStr">
        <is>
          <t>Осмонова А. Н.</t>
        </is>
      </c>
      <c r="B493" s="8" t="inlineStr">
        <is>
          <t>2026-06</t>
        </is>
      </c>
      <c r="C493" s="14" t="n">
        <v>-1482284.71</v>
      </c>
      <c r="D493" s="14" t="n">
        <v>-793016.3</v>
      </c>
      <c r="E493" s="14" t="n">
        <v>689268.41</v>
      </c>
      <c r="F493" s="14" t="n">
        <v>913862.46</v>
      </c>
      <c r="G493" s="14" t="n">
        <v>251594.0499999999</v>
      </c>
      <c r="H493" s="14" t="n">
        <v>-662268.41</v>
      </c>
      <c r="I493" s="14" t="n">
        <v>-568422.25</v>
      </c>
      <c r="J493" s="14" t="n">
        <v>-541422.2500000001</v>
      </c>
      <c r="K493" s="14" t="n">
        <v>-1.164153218269348e-10</v>
      </c>
      <c r="L493" s="8" t="b">
        <v>0</v>
      </c>
      <c r="M493" s="14" t="n">
        <v>0</v>
      </c>
      <c r="N493" s="19">
        <f>ROUND((J493-I493)-(K493+E493+H493),4)</f>
        <v/>
      </c>
    </row>
    <row r="494">
      <c r="A494" s="8" t="inlineStr">
        <is>
          <t>Осмонова А. Н.</t>
        </is>
      </c>
      <c r="B494" s="8" t="inlineStr">
        <is>
          <t>2026-07</t>
        </is>
      </c>
      <c r="C494" s="14" t="n">
        <v>-793016.3</v>
      </c>
      <c r="D494" s="14" t="n">
        <v>-28219.67</v>
      </c>
      <c r="E494" s="14" t="n">
        <v>764796.63</v>
      </c>
      <c r="F494" s="14" t="n">
        <v>251594.0500000002</v>
      </c>
      <c r="G494" s="14" t="n">
        <v>-513202.58</v>
      </c>
      <c r="H494" s="14" t="n">
        <v>-764796.6300000001</v>
      </c>
      <c r="I494" s="14" t="n">
        <v>-541422.2499999999</v>
      </c>
      <c r="J494" s="14" t="n">
        <v>-541422.25</v>
      </c>
      <c r="K494" s="14" t="n">
        <v>4.365574568510056e-11</v>
      </c>
      <c r="L494" s="8" t="b">
        <v>0</v>
      </c>
      <c r="M494" s="14" t="n">
        <v>0</v>
      </c>
      <c r="N494" s="19">
        <f>ROUND((J494-I494)-(K494+E494+H494),4)</f>
        <v/>
      </c>
    </row>
    <row r="495">
      <c r="A495" s="8" t="inlineStr">
        <is>
          <t>САЛАМ ВОЯЖ</t>
        </is>
      </c>
      <c r="B495" s="8" t="inlineStr">
        <is>
          <t>2026-01</t>
        </is>
      </c>
      <c r="C495" s="14" t="n">
        <v>0</v>
      </c>
      <c r="D495" s="14" t="n">
        <v>-45347.22</v>
      </c>
      <c r="E495" s="14" t="n">
        <v>-45347.22</v>
      </c>
      <c r="F495" s="14" t="n">
        <v>0</v>
      </c>
      <c r="G495" s="14" t="n">
        <v>-142352.78</v>
      </c>
      <c r="H495" s="14" t="n">
        <v>-142352.78</v>
      </c>
      <c r="I495" s="14" t="n">
        <v>0</v>
      </c>
      <c r="J495" s="14" t="n">
        <v>-187700</v>
      </c>
      <c r="K495" s="14" t="n">
        <v>0</v>
      </c>
      <c r="L495" s="8" t="b">
        <v>0</v>
      </c>
      <c r="M495" s="14" t="n">
        <v>0</v>
      </c>
      <c r="N495" s="19">
        <f>ROUND((J495-I495)-(K495+E495+H495),4)</f>
        <v/>
      </c>
    </row>
    <row r="496">
      <c r="A496" s="8" t="inlineStr">
        <is>
          <t>САЛАМ ВОЯЖ</t>
        </is>
      </c>
      <c r="B496" s="8" t="inlineStr">
        <is>
          <t>2026-02</t>
        </is>
      </c>
      <c r="C496" s="14" t="n">
        <v>237961.77</v>
      </c>
      <c r="D496" s="14" t="n">
        <v>113389.53</v>
      </c>
      <c r="E496" s="14" t="n">
        <v>-124572.24</v>
      </c>
      <c r="F496" s="14" t="n">
        <v>-142352.78</v>
      </c>
      <c r="G496" s="14" t="n">
        <v>-17780.53999999997</v>
      </c>
      <c r="H496" s="14" t="n">
        <v>124572.24</v>
      </c>
      <c r="I496" s="14" t="n">
        <v>95608.99000000002</v>
      </c>
      <c r="J496" s="14" t="n">
        <v>95608.99000000003</v>
      </c>
      <c r="K496" s="14" t="n">
        <v>1.455191522836685e-11</v>
      </c>
      <c r="L496" s="8" t="b">
        <v>1</v>
      </c>
      <c r="M496" s="14" t="n">
        <v>283308.99</v>
      </c>
      <c r="N496" s="19">
        <f>ROUND((J496-I496)-(K496+E496+H496),4)</f>
        <v/>
      </c>
    </row>
    <row r="497">
      <c r="A497" s="8" t="inlineStr">
        <is>
          <t>САЛАМ ВОЯЖ</t>
        </is>
      </c>
      <c r="B497" s="8" t="inlineStr">
        <is>
          <t>2026-03</t>
        </is>
      </c>
      <c r="C497" s="14" t="n">
        <v>113389.53</v>
      </c>
      <c r="D497" s="14" t="n">
        <v>-148941.29</v>
      </c>
      <c r="E497" s="14" t="n">
        <v>-262330.82</v>
      </c>
      <c r="F497" s="14" t="n">
        <v>-17780.53999999992</v>
      </c>
      <c r="G497" s="14" t="n">
        <v>244550.28</v>
      </c>
      <c r="H497" s="14" t="n">
        <v>262330.8199999999</v>
      </c>
      <c r="I497" s="14" t="n">
        <v>95608.99000000008</v>
      </c>
      <c r="J497" s="14" t="n">
        <v>95608.99000000002</v>
      </c>
      <c r="K497" s="14" t="n">
        <v>0</v>
      </c>
      <c r="L497" s="8" t="b">
        <v>0</v>
      </c>
      <c r="M497" s="14" t="n">
        <v>0</v>
      </c>
      <c r="N497" s="19">
        <f>ROUND((J497-I497)-(K497+E497+H497),4)</f>
        <v/>
      </c>
    </row>
    <row r="498">
      <c r="A498" s="8" t="inlineStr">
        <is>
          <t>САЛАМ ВОЯЖ</t>
        </is>
      </c>
      <c r="B498" s="8" t="inlineStr">
        <is>
          <t>2026-04</t>
        </is>
      </c>
      <c r="C498" s="14" t="n">
        <v>-148941.29</v>
      </c>
      <c r="D498" s="14" t="n">
        <v>-394608.51</v>
      </c>
      <c r="E498" s="14" t="n">
        <v>-245667.22</v>
      </c>
      <c r="F498" s="14" t="n">
        <v>244550.28</v>
      </c>
      <c r="G498" s="14" t="n">
        <v>579305.5</v>
      </c>
      <c r="H498" s="14" t="n">
        <v>334755.22</v>
      </c>
      <c r="I498" s="14" t="n">
        <v>95608.99000000002</v>
      </c>
      <c r="J498" s="14" t="n">
        <v>184696.99</v>
      </c>
      <c r="K498" s="14" t="n">
        <v>0</v>
      </c>
      <c r="L498" s="8" t="b">
        <v>0</v>
      </c>
      <c r="M498" s="14" t="n">
        <v>0</v>
      </c>
      <c r="N498" s="19">
        <f>ROUND((J498-I498)-(K498+E498+H498),4)</f>
        <v/>
      </c>
    </row>
    <row r="499">
      <c r="A499" s="8" t="inlineStr">
        <is>
          <t>САЛАМ ВОЯЖ</t>
        </is>
      </c>
      <c r="B499" s="8" t="inlineStr">
        <is>
          <t>2026-05</t>
        </is>
      </c>
      <c r="C499" s="14" t="n">
        <v>-394608.51</v>
      </c>
      <c r="D499" s="14" t="n">
        <v>-355301.91</v>
      </c>
      <c r="E499" s="14" t="n">
        <v>39306.60000000001</v>
      </c>
      <c r="F499" s="14" t="n">
        <v>579305.5</v>
      </c>
      <c r="G499" s="14" t="n">
        <v>539998.9</v>
      </c>
      <c r="H499" s="14" t="n">
        <v>-39306.59999999998</v>
      </c>
      <c r="I499" s="14" t="n">
        <v>184696.99</v>
      </c>
      <c r="J499" s="14" t="n">
        <v>184696.99</v>
      </c>
      <c r="K499" s="14" t="n">
        <v>0</v>
      </c>
      <c r="L499" s="8" t="b">
        <v>0</v>
      </c>
      <c r="M499" s="14" t="n">
        <v>0</v>
      </c>
      <c r="N499" s="19">
        <f>ROUND((J499-I499)-(K499+E499+H499),4)</f>
        <v/>
      </c>
    </row>
    <row r="500">
      <c r="A500" s="8" t="inlineStr">
        <is>
          <t>САЛАМ ВОЯЖ</t>
        </is>
      </c>
      <c r="B500" s="8" t="inlineStr">
        <is>
          <t>2026-06</t>
        </is>
      </c>
      <c r="C500" s="14" t="n">
        <v>-355301.91</v>
      </c>
      <c r="D500" s="14" t="n">
        <v>-56399.67</v>
      </c>
      <c r="E500" s="14" t="n">
        <v>298902.24</v>
      </c>
      <c r="F500" s="14" t="n">
        <v>539998.8999999999</v>
      </c>
      <c r="G500" s="14" t="n">
        <v>198341.3599999999</v>
      </c>
      <c r="H500" s="14" t="n">
        <v>-341657.54</v>
      </c>
      <c r="I500" s="14" t="n">
        <v>184696.9899999999</v>
      </c>
      <c r="J500" s="14" t="n">
        <v>141941.6899999999</v>
      </c>
      <c r="K500" s="14" t="n">
        <v>-1.455191522836685e-11</v>
      </c>
      <c r="L500" s="8" t="b">
        <v>0</v>
      </c>
      <c r="M500" s="14" t="n">
        <v>0</v>
      </c>
      <c r="N500" s="19">
        <f>ROUND((J500-I500)-(K500+E500+H500),4)</f>
        <v/>
      </c>
    </row>
    <row r="501">
      <c r="A501" s="8" t="inlineStr">
        <is>
          <t>САЛАМ ВОЯЖ</t>
        </is>
      </c>
      <c r="B501" s="8" t="inlineStr">
        <is>
          <t>2026-07</t>
        </is>
      </c>
      <c r="C501" s="14" t="n">
        <v>-56399.67</v>
      </c>
      <c r="D501" s="14" t="n">
        <v>192464.47</v>
      </c>
      <c r="E501" s="14" t="n">
        <v>248864.14</v>
      </c>
      <c r="F501" s="14" t="n">
        <v>198341.3600000001</v>
      </c>
      <c r="G501" s="14" t="n">
        <v>-50522.77999999993</v>
      </c>
      <c r="H501" s="14" t="n">
        <v>-248864.14</v>
      </c>
      <c r="I501" s="14" t="n">
        <v>141941.6900000001</v>
      </c>
      <c r="J501" s="14" t="n">
        <v>141941.6900000001</v>
      </c>
      <c r="K501" s="14" t="n">
        <v>-2.91038304567337e-11</v>
      </c>
      <c r="L501" s="8" t="b">
        <v>0</v>
      </c>
      <c r="M501" s="14" t="n">
        <v>0</v>
      </c>
      <c r="N501" s="19">
        <f>ROUND((J501-I501)-(K501+E501+H501),4)</f>
        <v/>
      </c>
    </row>
    <row r="502">
      <c r="A502" s="8" t="inlineStr">
        <is>
          <t>САЛАМ ЭЙР</t>
        </is>
      </c>
      <c r="B502" s="8" t="inlineStr">
        <is>
          <t>2026-01</t>
        </is>
      </c>
      <c r="C502" s="14" t="n">
        <v>-845210.14</v>
      </c>
      <c r="D502" s="14" t="n">
        <v>-582419.6</v>
      </c>
      <c r="E502" s="14" t="n">
        <v>262790.54</v>
      </c>
      <c r="F502" s="14" t="n">
        <v>845210.1399999999</v>
      </c>
      <c r="G502" s="14" t="n">
        <v>513052.2</v>
      </c>
      <c r="H502" s="14" t="n">
        <v>-332157.9399999999</v>
      </c>
      <c r="I502" s="14" t="n">
        <v>-1.164153218269348e-10</v>
      </c>
      <c r="J502" s="14" t="n">
        <v>-69367.40000000002</v>
      </c>
      <c r="K502" s="14" t="n">
        <v>0</v>
      </c>
      <c r="L502" s="8" t="b">
        <v>0</v>
      </c>
      <c r="M502" s="14" t="n">
        <v>0</v>
      </c>
      <c r="N502" s="19">
        <f>ROUND((J502-I502)-(K502+E502+H502),4)</f>
        <v/>
      </c>
    </row>
    <row r="503">
      <c r="A503" s="8" t="inlineStr">
        <is>
          <t>САЛАМ ЭЙР</t>
        </is>
      </c>
      <c r="B503" s="8" t="inlineStr">
        <is>
          <t>2026-02</t>
        </is>
      </c>
      <c r="C503" s="14" t="n">
        <v>-582419.6</v>
      </c>
      <c r="D503" s="14" t="n">
        <v>-1180329.54</v>
      </c>
      <c r="E503" s="14" t="n">
        <v>-597909.9399999999</v>
      </c>
      <c r="F503" s="14" t="n">
        <v>513052.2000000001</v>
      </c>
      <c r="G503" s="14" t="n">
        <v>1110962.14</v>
      </c>
      <c r="H503" s="14" t="n">
        <v>597909.9400000001</v>
      </c>
      <c r="I503" s="14" t="n">
        <v>-69367.39999999991</v>
      </c>
      <c r="J503" s="14" t="n">
        <v>-69367.39999999991</v>
      </c>
      <c r="K503" s="14" t="n">
        <v>0</v>
      </c>
      <c r="L503" s="8" t="b">
        <v>0</v>
      </c>
      <c r="M503" s="14" t="n">
        <v>0</v>
      </c>
      <c r="N503" s="19">
        <f>ROUND((J503-I503)-(K503+E503+H503),4)</f>
        <v/>
      </c>
    </row>
    <row r="504">
      <c r="A504" s="8" t="inlineStr">
        <is>
          <t>САЛАМ ЭЙР</t>
        </is>
      </c>
      <c r="B504" s="8" t="inlineStr">
        <is>
          <t>2026-03</t>
        </is>
      </c>
      <c r="C504" s="14" t="n">
        <v>-1180329.54</v>
      </c>
      <c r="D504" s="14" t="n">
        <v>-1022815.61</v>
      </c>
      <c r="E504" s="14" t="n">
        <v>157513.9300000001</v>
      </c>
      <c r="F504" s="14" t="n">
        <v>1110962.14</v>
      </c>
      <c r="G504" s="14" t="n">
        <v>895019.46</v>
      </c>
      <c r="H504" s="14" t="n">
        <v>-215942.6799999999</v>
      </c>
      <c r="I504" s="14" t="n">
        <v>-69367.40000000014</v>
      </c>
      <c r="J504" s="14" t="n">
        <v>-127796.15</v>
      </c>
      <c r="K504" s="14" t="n">
        <v>0</v>
      </c>
      <c r="L504" s="8" t="b">
        <v>0</v>
      </c>
      <c r="M504" s="14" t="n">
        <v>0</v>
      </c>
      <c r="N504" s="19">
        <f>ROUND((J504-I504)-(K504+E504+H504),4)</f>
        <v/>
      </c>
    </row>
    <row r="505">
      <c r="A505" s="8" t="inlineStr">
        <is>
          <t>САЛАМ ЭЙР</t>
        </is>
      </c>
      <c r="B505" s="8" t="inlineStr">
        <is>
          <t>2026-04</t>
        </is>
      </c>
      <c r="C505" s="14" t="n">
        <v>-1022815.61</v>
      </c>
      <c r="D505" s="14" t="n">
        <v>-763236.26</v>
      </c>
      <c r="E505" s="14" t="n">
        <v>259579.35</v>
      </c>
      <c r="F505" s="14" t="n">
        <v>895019.4600000002</v>
      </c>
      <c r="G505" s="14" t="n">
        <v>636551.9100000001</v>
      </c>
      <c r="H505" s="14" t="n">
        <v>-258467.55</v>
      </c>
      <c r="I505" s="14" t="n">
        <v>-127796.1499999998</v>
      </c>
      <c r="J505" s="14" t="n">
        <v>-126684.3499999999</v>
      </c>
      <c r="K505" s="14" t="n">
        <v>0</v>
      </c>
      <c r="L505" s="8" t="b">
        <v>0</v>
      </c>
      <c r="M505" s="14" t="n">
        <v>0</v>
      </c>
      <c r="N505" s="19">
        <f>ROUND((J505-I505)-(K505+E505+H505),4)</f>
        <v/>
      </c>
    </row>
    <row r="506">
      <c r="A506" s="8" t="inlineStr">
        <is>
          <t>САЛАМ ЭЙР</t>
        </is>
      </c>
      <c r="B506" s="8" t="inlineStr">
        <is>
          <t>2026-05</t>
        </is>
      </c>
      <c r="C506" s="14" t="n">
        <v>-763236.26</v>
      </c>
      <c r="D506" s="14" t="n">
        <v>-1189774.03</v>
      </c>
      <c r="E506" s="14" t="n">
        <v>-426537.77</v>
      </c>
      <c r="F506" s="14" t="n">
        <v>636551.9099999999</v>
      </c>
      <c r="G506" s="14" t="n">
        <v>1082448.68</v>
      </c>
      <c r="H506" s="14" t="n">
        <v>445896.7700000001</v>
      </c>
      <c r="I506" s="14" t="n">
        <v>-126684.3500000001</v>
      </c>
      <c r="J506" s="14" t="n">
        <v>-107325.3500000001</v>
      </c>
      <c r="K506" s="14" t="n">
        <v>0</v>
      </c>
      <c r="L506" s="8" t="b">
        <v>0</v>
      </c>
      <c r="M506" s="14" t="n">
        <v>0</v>
      </c>
      <c r="N506" s="19">
        <f>ROUND((J506-I506)-(K506+E506+H506),4)</f>
        <v/>
      </c>
    </row>
    <row r="507">
      <c r="A507" s="8" t="inlineStr">
        <is>
          <t>САЛАМ ЭЙР</t>
        </is>
      </c>
      <c r="B507" s="8" t="inlineStr">
        <is>
          <t>2026-06</t>
        </is>
      </c>
      <c r="C507" s="14" t="n">
        <v>-1189774.03</v>
      </c>
      <c r="D507" s="14" t="n">
        <v>-1368313.42</v>
      </c>
      <c r="E507" s="14" t="n">
        <v>-178539.39</v>
      </c>
      <c r="F507" s="14" t="n">
        <v>1082448.68</v>
      </c>
      <c r="G507" s="14" t="n">
        <v>1216024.07</v>
      </c>
      <c r="H507" s="14" t="n">
        <v>133575.3900000001</v>
      </c>
      <c r="I507" s="14" t="n">
        <v>-107325.3499999999</v>
      </c>
      <c r="J507" s="14" t="n">
        <v>-152289.3499999996</v>
      </c>
      <c r="K507" s="14" t="n">
        <v>0</v>
      </c>
      <c r="L507" s="8" t="b">
        <v>0</v>
      </c>
      <c r="M507" s="14" t="n">
        <v>0</v>
      </c>
      <c r="N507" s="19">
        <f>ROUND((J507-I507)-(K507+E507+H507),4)</f>
        <v/>
      </c>
    </row>
    <row r="508">
      <c r="A508" s="8" t="inlineStr">
        <is>
          <t>САЛАМ ЭЙР</t>
        </is>
      </c>
      <c r="B508" s="8" t="inlineStr">
        <is>
          <t>2026-07</t>
        </is>
      </c>
      <c r="C508" s="14" t="n">
        <v>-1368313.42</v>
      </c>
      <c r="D508" s="14" t="n">
        <v>-812636.71</v>
      </c>
      <c r="E508" s="14" t="n">
        <v>555676.71</v>
      </c>
      <c r="F508" s="14" t="n">
        <v>1216024.07</v>
      </c>
      <c r="G508" s="14" t="n">
        <v>485899.16</v>
      </c>
      <c r="H508" s="14" t="n">
        <v>-730124.9099999999</v>
      </c>
      <c r="I508" s="14" t="n">
        <v>-152289.3500000001</v>
      </c>
      <c r="J508" s="14" t="n">
        <v>-326737.55</v>
      </c>
      <c r="K508" s="14" t="n">
        <v>0</v>
      </c>
      <c r="L508" s="8" t="b">
        <v>0</v>
      </c>
      <c r="M508" s="14" t="n">
        <v>0</v>
      </c>
      <c r="N508" s="19">
        <f>ROUND((J508-I508)-(K508+E508+H508),4)</f>
        <v/>
      </c>
    </row>
    <row r="509">
      <c r="A509" s="8" t="inlineStr">
        <is>
          <t>СОН-КУЛЬ ТУР</t>
        </is>
      </c>
      <c r="B509" s="8" t="inlineStr">
        <is>
          <t>2026-01</t>
        </is>
      </c>
      <c r="C509" s="14" t="n">
        <v>584933.0699999999</v>
      </c>
      <c r="D509" s="14" t="n">
        <v>-505624.77</v>
      </c>
      <c r="E509" s="14" t="n">
        <v>-1090557.84</v>
      </c>
      <c r="F509" s="14" t="n">
        <v>-584933.0700000001</v>
      </c>
      <c r="G509" s="14" t="n">
        <v>222824.7699999999</v>
      </c>
      <c r="H509" s="14" t="n">
        <v>807757.84</v>
      </c>
      <c r="I509" s="14" t="n">
        <v>-1.164153218269348e-10</v>
      </c>
      <c r="J509" s="14" t="n">
        <v>-282800.0000000001</v>
      </c>
      <c r="K509" s="14" t="n">
        <v>-1.164153218269348e-10</v>
      </c>
      <c r="L509" s="8" t="b">
        <v>0</v>
      </c>
      <c r="M509" s="14" t="n">
        <v>0</v>
      </c>
      <c r="N509" s="19">
        <f>ROUND((J509-I509)-(K509+E509+H509),4)</f>
        <v/>
      </c>
    </row>
    <row r="510">
      <c r="A510" s="8" t="inlineStr">
        <is>
          <t>СОН-КУЛЬ ТУР</t>
        </is>
      </c>
      <c r="B510" s="8" t="inlineStr">
        <is>
          <t>2026-02</t>
        </is>
      </c>
      <c r="C510" s="14" t="n">
        <v>-505624.77</v>
      </c>
      <c r="D510" s="14" t="n">
        <v>-929868.4399999999</v>
      </c>
      <c r="E510" s="14" t="n">
        <v>-424243.67</v>
      </c>
      <c r="F510" s="14" t="n">
        <v>222824.7699999999</v>
      </c>
      <c r="G510" s="14" t="n">
        <v>647047.99</v>
      </c>
      <c r="H510" s="14" t="n">
        <v>424223.2200000001</v>
      </c>
      <c r="I510" s="14" t="n">
        <v>-282800.0000000001</v>
      </c>
      <c r="J510" s="14" t="n">
        <v>-282820.45</v>
      </c>
      <c r="K510" s="14" t="n">
        <v>1.164153218269348e-10</v>
      </c>
      <c r="L510" s="8" t="b">
        <v>0</v>
      </c>
      <c r="M510" s="14" t="n">
        <v>0</v>
      </c>
      <c r="N510" s="19">
        <f>ROUND((J510-I510)-(K510+E510+H510),4)</f>
        <v/>
      </c>
    </row>
    <row r="511">
      <c r="A511" s="8" t="inlineStr">
        <is>
          <t>СОН-КУЛЬ ТУР</t>
        </is>
      </c>
      <c r="B511" s="8" t="inlineStr">
        <is>
          <t>2026-03</t>
        </is>
      </c>
      <c r="C511" s="14" t="n">
        <v>-929868.4399999999</v>
      </c>
      <c r="D511" s="14" t="n">
        <v>-988801.5</v>
      </c>
      <c r="E511" s="14" t="n">
        <v>-58933.06000000003</v>
      </c>
      <c r="F511" s="14" t="n">
        <v>647047.99</v>
      </c>
      <c r="G511" s="14" t="n">
        <v>708049.75</v>
      </c>
      <c r="H511" s="14" t="n">
        <v>61001.76000000002</v>
      </c>
      <c r="I511" s="14" t="n">
        <v>-282820.45</v>
      </c>
      <c r="J511" s="14" t="n">
        <v>-280751.75</v>
      </c>
      <c r="K511" s="14" t="n">
        <v>0</v>
      </c>
      <c r="L511" s="8" t="b">
        <v>0</v>
      </c>
      <c r="M511" s="14" t="n">
        <v>0</v>
      </c>
      <c r="N511" s="19">
        <f>ROUND((J511-I511)-(K511+E511+H511),4)</f>
        <v/>
      </c>
    </row>
    <row r="512">
      <c r="A512" s="8" t="inlineStr">
        <is>
          <t>СОН-КУЛЬ ТУР</t>
        </is>
      </c>
      <c r="B512" s="8" t="inlineStr">
        <is>
          <t>2026-04</t>
        </is>
      </c>
      <c r="C512" s="14" t="n">
        <v>-988801.5</v>
      </c>
      <c r="D512" s="14" t="n">
        <v>-1179470.27</v>
      </c>
      <c r="E512" s="14" t="n">
        <v>-190668.77</v>
      </c>
      <c r="F512" s="14" t="n">
        <v>708049.7499999998</v>
      </c>
      <c r="G512" s="14" t="n">
        <v>898718.5199999998</v>
      </c>
      <c r="H512" s="14" t="n">
        <v>190668.77</v>
      </c>
      <c r="I512" s="14" t="n">
        <v>-280751.7500000002</v>
      </c>
      <c r="J512" s="14" t="n">
        <v>-280751.7500000002</v>
      </c>
      <c r="K512" s="14" t="n">
        <v>0</v>
      </c>
      <c r="L512" s="8" t="b">
        <v>0</v>
      </c>
      <c r="M512" s="14" t="n">
        <v>0</v>
      </c>
      <c r="N512" s="19">
        <f>ROUND((J512-I512)-(K512+E512+H512),4)</f>
        <v/>
      </c>
    </row>
    <row r="513">
      <c r="A513" s="8" t="inlineStr">
        <is>
          <t>СОН-КУЛЬ ТУР</t>
        </is>
      </c>
      <c r="B513" s="8" t="inlineStr">
        <is>
          <t>2026-05</t>
        </is>
      </c>
      <c r="C513" s="14" t="n">
        <v>-1179470.27</v>
      </c>
      <c r="D513" s="14" t="n">
        <v>-1160413.47</v>
      </c>
      <c r="E513" s="14" t="n">
        <v>19056.79999999999</v>
      </c>
      <c r="F513" s="14" t="n">
        <v>898718.5199999998</v>
      </c>
      <c r="G513" s="14" t="n">
        <v>879661.7199999997</v>
      </c>
      <c r="H513" s="14" t="n">
        <v>-19056.8</v>
      </c>
      <c r="I513" s="14" t="n">
        <v>-280751.7500000002</v>
      </c>
      <c r="J513" s="14" t="n">
        <v>-280751.7500000002</v>
      </c>
      <c r="K513" s="14" t="n">
        <v>0</v>
      </c>
      <c r="L513" s="8" t="b">
        <v>0</v>
      </c>
      <c r="M513" s="14" t="n">
        <v>0</v>
      </c>
      <c r="N513" s="19">
        <f>ROUND((J513-I513)-(K513+E513+H513),4)</f>
        <v/>
      </c>
    </row>
    <row r="514">
      <c r="A514" s="8" t="inlineStr">
        <is>
          <t>СОН-КУЛЬ ТУР</t>
        </is>
      </c>
      <c r="B514" s="8" t="inlineStr">
        <is>
          <t>2026-06</t>
        </is>
      </c>
      <c r="C514" s="14" t="n">
        <v>-1160413.47</v>
      </c>
      <c r="D514" s="14" t="n">
        <v>-458222.28</v>
      </c>
      <c r="E514" s="14" t="n">
        <v>702191.1899999999</v>
      </c>
      <c r="F514" s="14" t="n">
        <v>879661.7199999999</v>
      </c>
      <c r="G514" s="14" t="n">
        <v>177365.5299999998</v>
      </c>
      <c r="H514" s="14" t="n">
        <v>-702296.1900000001</v>
      </c>
      <c r="I514" s="14" t="n">
        <v>-280751.7500000001</v>
      </c>
      <c r="J514" s="14" t="n">
        <v>-280856.7500000002</v>
      </c>
      <c r="K514" s="14" t="n">
        <v>0</v>
      </c>
      <c r="L514" s="8" t="b">
        <v>0</v>
      </c>
      <c r="M514" s="14" t="n">
        <v>0</v>
      </c>
      <c r="N514" s="19">
        <f>ROUND((J514-I514)-(K514+E514+H514),4)</f>
        <v/>
      </c>
    </row>
    <row r="515">
      <c r="A515" s="8" t="inlineStr">
        <is>
          <t>СОН-КУЛЬ ТУР</t>
        </is>
      </c>
      <c r="B515" s="8" t="inlineStr">
        <is>
          <t>2026-07</t>
        </is>
      </c>
      <c r="C515" s="14" t="n">
        <v>-458222.28</v>
      </c>
      <c r="D515" s="14" t="n">
        <v>-61153.38</v>
      </c>
      <c r="E515" s="14" t="n">
        <v>397068.9</v>
      </c>
      <c r="F515" s="14" t="n">
        <v>177365.5299999999</v>
      </c>
      <c r="G515" s="14" t="n">
        <v>-217196.9000000001</v>
      </c>
      <c r="H515" s="14" t="n">
        <v>-394562.43</v>
      </c>
      <c r="I515" s="14" t="n">
        <v>-280856.7500000002</v>
      </c>
      <c r="J515" s="14" t="n">
        <v>-278350.2800000001</v>
      </c>
      <c r="K515" s="14" t="n">
        <v>7.275957614183426e-12</v>
      </c>
      <c r="L515" s="8" t="b">
        <v>0</v>
      </c>
      <c r="M515" s="14" t="n">
        <v>0</v>
      </c>
      <c r="N515" s="19">
        <f>ROUND((J515-I515)-(K515+E515+H515),4)</f>
        <v/>
      </c>
    </row>
    <row r="516">
      <c r="A516" s="8" t="inlineStr">
        <is>
          <t>Сагын кызы Б.</t>
        </is>
      </c>
      <c r="B516" s="8" t="inlineStr">
        <is>
          <t>2026-01</t>
        </is>
      </c>
      <c r="C516" s="14" t="n">
        <v>-401511.74</v>
      </c>
      <c r="D516" s="14" t="n">
        <v>-363508.27</v>
      </c>
      <c r="E516" s="14" t="n">
        <v>38003.47000000002</v>
      </c>
      <c r="F516" s="14" t="n">
        <v>401511.74</v>
      </c>
      <c r="G516" s="14" t="n">
        <v>363508.27</v>
      </c>
      <c r="H516" s="14" t="n">
        <v>-38003.47000000002</v>
      </c>
      <c r="I516" s="14" t="n">
        <v>0</v>
      </c>
      <c r="J516" s="14" t="n">
        <v>-5.820766091346741e-11</v>
      </c>
      <c r="K516" s="14" t="n">
        <v>-5.820766091346741e-11</v>
      </c>
      <c r="L516" s="8" t="b">
        <v>0</v>
      </c>
      <c r="M516" s="14" t="n">
        <v>0</v>
      </c>
      <c r="N516" s="19">
        <f>ROUND((J516-I516)-(K516+E516+H516),4)</f>
        <v/>
      </c>
    </row>
    <row r="517">
      <c r="A517" s="8" t="inlineStr">
        <is>
          <t>Сагын кызы Б.</t>
        </is>
      </c>
      <c r="B517" s="8" t="inlineStr">
        <is>
          <t>2026-02</t>
        </is>
      </c>
      <c r="C517" s="14" t="n">
        <v>-363508.27</v>
      </c>
      <c r="D517" s="14" t="n">
        <v>-196564.26</v>
      </c>
      <c r="E517" s="14" t="n">
        <v>166944.01</v>
      </c>
      <c r="F517" s="14" t="n">
        <v>363508.27</v>
      </c>
      <c r="G517" s="14" t="n">
        <v>196564.26</v>
      </c>
      <c r="H517" s="14" t="n">
        <v>-166944.01</v>
      </c>
      <c r="I517" s="14" t="n">
        <v>0</v>
      </c>
      <c r="J517" s="14" t="n">
        <v>-2.91038304567337e-11</v>
      </c>
      <c r="K517" s="14" t="n">
        <v>0</v>
      </c>
      <c r="L517" s="8" t="b">
        <v>0</v>
      </c>
      <c r="M517" s="14" t="n">
        <v>0</v>
      </c>
      <c r="N517" s="19">
        <f>ROUND((J517-I517)-(K517+E517+H517),4)</f>
        <v/>
      </c>
    </row>
    <row r="518">
      <c r="A518" s="8" t="inlineStr">
        <is>
          <t>Сагын кызы Б.</t>
        </is>
      </c>
      <c r="B518" s="8" t="inlineStr">
        <is>
          <t>2026-03</t>
        </is>
      </c>
      <c r="C518" s="14" t="n">
        <v>-196564.26</v>
      </c>
      <c r="D518" s="14" t="n">
        <v>34960.05</v>
      </c>
      <c r="E518" s="14" t="n">
        <v>231524.31</v>
      </c>
      <c r="F518" s="14" t="n">
        <v>196564.26</v>
      </c>
      <c r="G518" s="14" t="n">
        <v>-34936.41999999998</v>
      </c>
      <c r="H518" s="14" t="n">
        <v>-231500.68</v>
      </c>
      <c r="I518" s="14" t="n">
        <v>0</v>
      </c>
      <c r="J518" s="14" t="n">
        <v>23.63000000001921</v>
      </c>
      <c r="K518" s="14" t="n">
        <v>1.455191522836685e-11</v>
      </c>
      <c r="L518" s="8" t="b">
        <v>0</v>
      </c>
      <c r="M518" s="14" t="n">
        <v>0</v>
      </c>
      <c r="N518" s="19">
        <f>ROUND((J518-I518)-(K518+E518+H518),4)</f>
        <v/>
      </c>
    </row>
    <row r="519">
      <c r="A519" s="8" t="inlineStr">
        <is>
          <t>Сагын кызы Б.</t>
        </is>
      </c>
      <c r="B519" s="8" t="inlineStr">
        <is>
          <t>2026-04</t>
        </is>
      </c>
      <c r="C519" s="14" t="n">
        <v>34960.05</v>
      </c>
      <c r="D519" s="14" t="n">
        <v>-783548.0699999999</v>
      </c>
      <c r="E519" s="14" t="n">
        <v>-818508.12</v>
      </c>
      <c r="F519" s="14" t="n">
        <v>-34936.42000000004</v>
      </c>
      <c r="G519" s="14" t="n">
        <v>783571.7</v>
      </c>
      <c r="H519" s="14" t="n">
        <v>818508.12</v>
      </c>
      <c r="I519" s="14" t="n">
        <v>23.629999999961</v>
      </c>
      <c r="J519" s="14" t="n">
        <v>23.63000000000466</v>
      </c>
      <c r="K519" s="14" t="n">
        <v>0</v>
      </c>
      <c r="L519" s="8" t="b">
        <v>0</v>
      </c>
      <c r="M519" s="14" t="n">
        <v>0</v>
      </c>
      <c r="N519" s="19">
        <f>ROUND((J519-I519)-(K519+E519+H519),4)</f>
        <v/>
      </c>
    </row>
    <row r="520">
      <c r="A520" s="8" t="inlineStr">
        <is>
          <t>Сагын кызы Б.</t>
        </is>
      </c>
      <c r="B520" s="8" t="inlineStr">
        <is>
          <t>2026-05</t>
        </is>
      </c>
      <c r="C520" s="14" t="n">
        <v>-783548.0699999999</v>
      </c>
      <c r="D520" s="14" t="n">
        <v>-823095.02</v>
      </c>
      <c r="E520" s="14" t="n">
        <v>-39546.95000000001</v>
      </c>
      <c r="F520" s="14" t="n">
        <v>783571.6999999998</v>
      </c>
      <c r="G520" s="14" t="n">
        <v>822940.9699999999</v>
      </c>
      <c r="H520" s="14" t="n">
        <v>39369.27000000002</v>
      </c>
      <c r="I520" s="14" t="n">
        <v>23.62999999988824</v>
      </c>
      <c r="J520" s="14" t="n">
        <v>-154.050000000163</v>
      </c>
      <c r="K520" s="14" t="n">
        <v>0</v>
      </c>
      <c r="L520" s="8" t="b">
        <v>0</v>
      </c>
      <c r="M520" s="14" t="n">
        <v>0</v>
      </c>
      <c r="N520" s="19">
        <f>ROUND((J520-I520)-(K520+E520+H520),4)</f>
        <v/>
      </c>
    </row>
    <row r="521">
      <c r="A521" s="8" t="inlineStr">
        <is>
          <t>Сагын кызы Б.</t>
        </is>
      </c>
      <c r="B521" s="8" t="inlineStr">
        <is>
          <t>2026-06</t>
        </is>
      </c>
      <c r="C521" s="14" t="n">
        <v>-823095.02</v>
      </c>
      <c r="D521" s="14" t="n">
        <v>-361999.09</v>
      </c>
      <c r="E521" s="14" t="n">
        <v>461095.93</v>
      </c>
      <c r="F521" s="14" t="n">
        <v>822940.97</v>
      </c>
      <c r="G521" s="14" t="n">
        <v>362982.66</v>
      </c>
      <c r="H521" s="14" t="n">
        <v>-459958.31</v>
      </c>
      <c r="I521" s="14" t="n">
        <v>-154.0500000000466</v>
      </c>
      <c r="J521" s="14" t="n">
        <v>983.5699999999488</v>
      </c>
      <c r="K521" s="14" t="n">
        <v>0</v>
      </c>
      <c r="L521" s="8" t="b">
        <v>0</v>
      </c>
      <c r="M521" s="14" t="n">
        <v>0</v>
      </c>
      <c r="N521" s="19">
        <f>ROUND((J521-I521)-(K521+E521+H521),4)</f>
        <v/>
      </c>
    </row>
    <row r="522">
      <c r="A522" s="8" t="inlineStr">
        <is>
          <t>Сагын кызы Б.</t>
        </is>
      </c>
      <c r="B522" s="8" t="inlineStr">
        <is>
          <t>2026-07</t>
        </is>
      </c>
      <c r="C522" s="14" t="n">
        <v>-361999.09</v>
      </c>
      <c r="D522" s="14" t="n">
        <v>-419297.25</v>
      </c>
      <c r="E522" s="14" t="n">
        <v>-57298.16</v>
      </c>
      <c r="F522" s="14" t="n">
        <v>362982.66</v>
      </c>
      <c r="G522" s="14" t="n">
        <v>415798.91</v>
      </c>
      <c r="H522" s="14" t="n">
        <v>52816.24999999997</v>
      </c>
      <c r="I522" s="14" t="n">
        <v>983.570000000007</v>
      </c>
      <c r="J522" s="14" t="n">
        <v>-3498.339999999967</v>
      </c>
      <c r="K522" s="14" t="n">
        <v>0</v>
      </c>
      <c r="L522" s="8" t="b">
        <v>0</v>
      </c>
      <c r="M522" s="14" t="n">
        <v>0</v>
      </c>
      <c r="N522" s="19">
        <f>ROUND((J522-I522)-(K522+E522+H522),4)</f>
        <v/>
      </c>
    </row>
    <row r="523">
      <c r="A523" s="8" t="inlineStr">
        <is>
          <t>Салам Авиакасса</t>
        </is>
      </c>
      <c r="B523" s="8" t="inlineStr">
        <is>
          <t>2026-01</t>
        </is>
      </c>
      <c r="C523" s="14" t="n">
        <v>0</v>
      </c>
      <c r="D523" s="14" t="n">
        <v>276442.84</v>
      </c>
      <c r="E523" s="14" t="n">
        <v>276442.84</v>
      </c>
      <c r="F523" s="14" t="n">
        <v>0</v>
      </c>
      <c r="G523" s="14" t="n">
        <v>-276442.84</v>
      </c>
      <c r="H523" s="14" t="n">
        <v>-276442.84</v>
      </c>
      <c r="I523" s="14" t="n">
        <v>0</v>
      </c>
      <c r="J523" s="14" t="n">
        <v>5.820766091346741e-11</v>
      </c>
      <c r="K523" s="14" t="n">
        <v>5.820766091346741e-11</v>
      </c>
      <c r="L523" s="8" t="b">
        <v>0</v>
      </c>
      <c r="M523" s="14" t="n">
        <v>0</v>
      </c>
      <c r="N523" s="19">
        <f>ROUND((J523-I523)-(K523+E523+H523),4)</f>
        <v/>
      </c>
    </row>
    <row r="524">
      <c r="A524" s="8" t="inlineStr">
        <is>
          <t>Салам Авиакасса</t>
        </is>
      </c>
      <c r="B524" s="8" t="inlineStr">
        <is>
          <t>2026-02</t>
        </is>
      </c>
      <c r="C524" s="14" t="n">
        <v>276442.84</v>
      </c>
      <c r="D524" s="14" t="n">
        <v>-179314</v>
      </c>
      <c r="E524" s="14" t="n">
        <v>-455756.84</v>
      </c>
      <c r="F524" s="14" t="n">
        <v>-276442.8400000001</v>
      </c>
      <c r="G524" s="14" t="n">
        <v>354861.09</v>
      </c>
      <c r="H524" s="14" t="n">
        <v>631303.9300000001</v>
      </c>
      <c r="I524" s="14" t="n">
        <v>-5.820766091346741e-11</v>
      </c>
      <c r="J524" s="14" t="n">
        <v>175547.09</v>
      </c>
      <c r="K524" s="14" t="n">
        <v>0</v>
      </c>
      <c r="L524" s="8" t="b">
        <v>0</v>
      </c>
      <c r="M524" s="14" t="n">
        <v>0</v>
      </c>
      <c r="N524" s="19">
        <f>ROUND((J524-I524)-(K524+E524+H524),4)</f>
        <v/>
      </c>
    </row>
    <row r="525">
      <c r="A525" s="8" t="inlineStr">
        <is>
          <t>Салам Авиакасса</t>
        </is>
      </c>
      <c r="B525" s="8" t="inlineStr">
        <is>
          <t>2026-03</t>
        </is>
      </c>
      <c r="C525" s="14" t="n">
        <v>-179314</v>
      </c>
      <c r="D525" s="14" t="n">
        <v>-130555.33</v>
      </c>
      <c r="E525" s="14" t="n">
        <v>48758.66999999998</v>
      </c>
      <c r="F525" s="14" t="n">
        <v>354861.0900000001</v>
      </c>
      <c r="G525" s="14" t="n">
        <v>117716.7400000002</v>
      </c>
      <c r="H525" s="14" t="n">
        <v>-237144.35</v>
      </c>
      <c r="I525" s="14" t="n">
        <v>175547.0900000001</v>
      </c>
      <c r="J525" s="14" t="n">
        <v>-12838.58999999982</v>
      </c>
      <c r="K525" s="14" t="n">
        <v>1.455191522836685e-11</v>
      </c>
      <c r="L525" s="8" t="b">
        <v>0</v>
      </c>
      <c r="M525" s="14" t="n">
        <v>0</v>
      </c>
      <c r="N525" s="19">
        <f>ROUND((J525-I525)-(K525+E525+H525),4)</f>
        <v/>
      </c>
    </row>
    <row r="526">
      <c r="A526" s="8" t="inlineStr">
        <is>
          <t>Салам Авиакасса</t>
        </is>
      </c>
      <c r="B526" s="8" t="inlineStr">
        <is>
          <t>2026-04</t>
        </is>
      </c>
      <c r="C526" s="14" t="n">
        <v>-130555.33</v>
      </c>
      <c r="D526" s="14" t="n">
        <v>-306081.83</v>
      </c>
      <c r="E526" s="14" t="n">
        <v>-175526.5</v>
      </c>
      <c r="F526" s="14" t="n">
        <v>117716.7400000003</v>
      </c>
      <c r="G526" s="14" t="n">
        <v>293179.4000000003</v>
      </c>
      <c r="H526" s="14" t="n">
        <v>175462.66</v>
      </c>
      <c r="I526" s="14" t="n">
        <v>-12838.58999999975</v>
      </c>
      <c r="J526" s="14" t="n">
        <v>-12902.42999999976</v>
      </c>
      <c r="K526" s="14" t="n">
        <v>0</v>
      </c>
      <c r="L526" s="8" t="b">
        <v>0</v>
      </c>
      <c r="M526" s="14" t="n">
        <v>0</v>
      </c>
      <c r="N526" s="19">
        <f>ROUND((J526-I526)-(K526+E526+H526),4)</f>
        <v/>
      </c>
    </row>
    <row r="527">
      <c r="A527" s="8" t="inlineStr">
        <is>
          <t>Салам Авиакасса</t>
        </is>
      </c>
      <c r="B527" s="8" t="inlineStr">
        <is>
          <t>2026-05</t>
        </is>
      </c>
      <c r="C527" s="14" t="n">
        <v>-306081.83</v>
      </c>
      <c r="D527" s="14" t="n">
        <v>-683197.3</v>
      </c>
      <c r="E527" s="14" t="n">
        <v>-377115.47</v>
      </c>
      <c r="F527" s="14" t="n">
        <v>293179.4000000003</v>
      </c>
      <c r="G527" s="14" t="n">
        <v>366051.1500000002</v>
      </c>
      <c r="H527" s="14" t="n">
        <v>72871.74999999997</v>
      </c>
      <c r="I527" s="14" t="n">
        <v>-12902.42999999976</v>
      </c>
      <c r="J527" s="14" t="n">
        <v>-317146.1499999998</v>
      </c>
      <c r="K527" s="14" t="n">
        <v>0</v>
      </c>
      <c r="L527" s="8" t="b">
        <v>0</v>
      </c>
      <c r="M527" s="14" t="n">
        <v>0</v>
      </c>
      <c r="N527" s="19">
        <f>ROUND((J527-I527)-(K527+E527+H527),4)</f>
        <v/>
      </c>
    </row>
    <row r="528">
      <c r="A528" s="8" t="inlineStr">
        <is>
          <t>Салам Авиакасса</t>
        </is>
      </c>
      <c r="B528" s="8" t="inlineStr">
        <is>
          <t>2026-06</t>
        </is>
      </c>
      <c r="C528" s="14" t="n">
        <v>-683197.3</v>
      </c>
      <c r="D528" s="14" t="n">
        <v>-942826.26</v>
      </c>
      <c r="E528" s="14" t="n">
        <v>-259628.96</v>
      </c>
      <c r="F528" s="14" t="n">
        <v>366051.1500000001</v>
      </c>
      <c r="G528" s="14" t="n">
        <v>706680.3800000001</v>
      </c>
      <c r="H528" s="14" t="n">
        <v>340629.23</v>
      </c>
      <c r="I528" s="14" t="n">
        <v>-317146.1499999999</v>
      </c>
      <c r="J528" s="14" t="n">
        <v>-236145.8799999999</v>
      </c>
      <c r="K528" s="14" t="n">
        <v>0</v>
      </c>
      <c r="L528" s="8" t="b">
        <v>0</v>
      </c>
      <c r="M528" s="14" t="n">
        <v>0</v>
      </c>
      <c r="N528" s="19">
        <f>ROUND((J528-I528)-(K528+E528+H528),4)</f>
        <v/>
      </c>
    </row>
    <row r="529">
      <c r="A529" s="8" t="inlineStr">
        <is>
          <t>Салам Авиакасса</t>
        </is>
      </c>
      <c r="B529" s="8" t="inlineStr">
        <is>
          <t>2026-07</t>
        </is>
      </c>
      <c r="C529" s="14" t="n">
        <v>-942826.26</v>
      </c>
      <c r="D529" s="14" t="n">
        <v>-583294.41</v>
      </c>
      <c r="E529" s="14" t="n">
        <v>359531.85</v>
      </c>
      <c r="F529" s="14" t="n">
        <v>706680.3800000004</v>
      </c>
      <c r="G529" s="14" t="n">
        <v>480311.6500000004</v>
      </c>
      <c r="H529" s="14" t="n">
        <v>-226368.73</v>
      </c>
      <c r="I529" s="14" t="n">
        <v>-236145.8799999997</v>
      </c>
      <c r="J529" s="14" t="n">
        <v>-102982.7599999996</v>
      </c>
      <c r="K529" s="14" t="n">
        <v>0</v>
      </c>
      <c r="L529" s="8" t="b">
        <v>0</v>
      </c>
      <c r="M529" s="14" t="n">
        <v>0</v>
      </c>
      <c r="N529" s="19">
        <f>ROUND((J529-I529)-(K529+E529+H529),4)</f>
        <v/>
      </c>
    </row>
    <row r="530">
      <c r="A530" s="8" t="inlineStr">
        <is>
          <t>Салам Экспресс</t>
        </is>
      </c>
      <c r="B530" s="8" t="inlineStr">
        <is>
          <t>2026-01</t>
        </is>
      </c>
      <c r="C530" s="14" t="n">
        <v>0</v>
      </c>
      <c r="D530" s="14" t="n">
        <v>58060.87</v>
      </c>
      <c r="E530" s="14" t="n">
        <v>58060.87000000002</v>
      </c>
      <c r="F530" s="14" t="n">
        <v>2800828.5</v>
      </c>
      <c r="G530" s="14" t="n">
        <v>2742767.63</v>
      </c>
      <c r="H530" s="14" t="n">
        <v>-58060.87000000005</v>
      </c>
      <c r="I530" s="14" t="n">
        <v>2800828.5</v>
      </c>
      <c r="J530" s="14" t="n">
        <v>2800828.5</v>
      </c>
      <c r="K530" s="14" t="n">
        <v>-2.182787284255028e-11</v>
      </c>
      <c r="L530" s="8" t="b">
        <v>0</v>
      </c>
      <c r="M530" s="14" t="n">
        <v>0</v>
      </c>
      <c r="N530" s="19">
        <f>ROUND((J530-I530)-(K530+E530+H530),4)</f>
        <v/>
      </c>
    </row>
    <row r="531">
      <c r="A531" s="8" t="inlineStr">
        <is>
          <t>Салам Экспресс</t>
        </is>
      </c>
      <c r="B531" s="8" t="inlineStr">
        <is>
          <t>2026-02</t>
        </is>
      </c>
      <c r="C531" s="14" t="n">
        <v>58060.87</v>
      </c>
      <c r="D531" s="14" t="n">
        <v>-437303.98</v>
      </c>
      <c r="E531" s="14" t="n">
        <v>-495364.85</v>
      </c>
      <c r="F531" s="14" t="n">
        <v>2742767.63</v>
      </c>
      <c r="G531" s="14" t="n">
        <v>3438432.48</v>
      </c>
      <c r="H531" s="14" t="n">
        <v>695664.85</v>
      </c>
      <c r="I531" s="14" t="n">
        <v>2800828.5</v>
      </c>
      <c r="J531" s="14" t="n">
        <v>3001128.5</v>
      </c>
      <c r="K531" s="14" t="n">
        <v>5.820766091346741e-11</v>
      </c>
      <c r="L531" s="8" t="b">
        <v>0</v>
      </c>
      <c r="M531" s="14" t="n">
        <v>0</v>
      </c>
      <c r="N531" s="19">
        <f>ROUND((J531-I531)-(K531+E531+H531),4)</f>
        <v/>
      </c>
    </row>
    <row r="532">
      <c r="A532" s="8" t="inlineStr">
        <is>
          <t>Салам Экспресс</t>
        </is>
      </c>
      <c r="B532" s="8" t="inlineStr">
        <is>
          <t>2026-03</t>
        </is>
      </c>
      <c r="C532" s="14" t="n">
        <v>-437303.98</v>
      </c>
      <c r="D532" s="14" t="n">
        <v>-363894.99</v>
      </c>
      <c r="E532" s="14" t="n">
        <v>73408.98999999999</v>
      </c>
      <c r="F532" s="14" t="n">
        <v>3438432.48</v>
      </c>
      <c r="G532" s="14" t="n">
        <v>3365023.49</v>
      </c>
      <c r="H532" s="14" t="n">
        <v>-73408.98999999999</v>
      </c>
      <c r="I532" s="14" t="n">
        <v>3001128.5</v>
      </c>
      <c r="J532" s="14" t="n">
        <v>3001128.5</v>
      </c>
      <c r="K532" s="14" t="n">
        <v>0</v>
      </c>
      <c r="L532" s="8" t="b">
        <v>0</v>
      </c>
      <c r="M532" s="14" t="n">
        <v>0</v>
      </c>
      <c r="N532" s="19">
        <f>ROUND((J532-I532)-(K532+E532+H532),4)</f>
        <v/>
      </c>
    </row>
    <row r="533">
      <c r="A533" s="8" t="inlineStr">
        <is>
          <t>Салам Экспресс</t>
        </is>
      </c>
      <c r="B533" s="8" t="inlineStr">
        <is>
          <t>2026-04</t>
        </is>
      </c>
      <c r="C533" s="14" t="n">
        <v>-363894.99</v>
      </c>
      <c r="D533" s="14" t="n">
        <v>-350621.17</v>
      </c>
      <c r="E533" s="14" t="n">
        <v>13273.81999999997</v>
      </c>
      <c r="F533" s="14" t="n">
        <v>3365023.49</v>
      </c>
      <c r="G533" s="14" t="n">
        <v>3351749.67</v>
      </c>
      <c r="H533" s="14" t="n">
        <v>-13273.81999999999</v>
      </c>
      <c r="I533" s="14" t="n">
        <v>3001128.5</v>
      </c>
      <c r="J533" s="14" t="n">
        <v>3001128.5</v>
      </c>
      <c r="K533" s="14" t="n">
        <v>5.820766091346741e-11</v>
      </c>
      <c r="L533" s="8" t="b">
        <v>0</v>
      </c>
      <c r="M533" s="14" t="n">
        <v>0</v>
      </c>
      <c r="N533" s="19">
        <f>ROUND((J533-I533)-(K533+E533+H533),4)</f>
        <v/>
      </c>
    </row>
    <row r="534">
      <c r="A534" s="8" t="inlineStr">
        <is>
          <t>Салам Экспресс</t>
        </is>
      </c>
      <c r="B534" s="8" t="inlineStr">
        <is>
          <t>2026-05</t>
        </is>
      </c>
      <c r="C534" s="14" t="n">
        <v>-350621.17</v>
      </c>
      <c r="D534" s="14" t="n">
        <v>-381502.06</v>
      </c>
      <c r="E534" s="14" t="n">
        <v>-30880.89</v>
      </c>
      <c r="F534" s="14" t="n">
        <v>3351749.67</v>
      </c>
      <c r="G534" s="14" t="n">
        <v>3180065.65</v>
      </c>
      <c r="H534" s="14" t="n">
        <v>-171684.02</v>
      </c>
      <c r="I534" s="14" t="n">
        <v>3001128.5</v>
      </c>
      <c r="J534" s="14" t="n">
        <v>2798563.59</v>
      </c>
      <c r="K534" s="14" t="n">
        <v>0</v>
      </c>
      <c r="L534" s="8" t="b">
        <v>0</v>
      </c>
      <c r="M534" s="14" t="n">
        <v>0</v>
      </c>
      <c r="N534" s="19">
        <f>ROUND((J534-I534)-(K534+E534+H534),4)</f>
        <v/>
      </c>
    </row>
    <row r="535">
      <c r="A535" s="8" t="inlineStr">
        <is>
          <t>Салам Экспресс</t>
        </is>
      </c>
      <c r="B535" s="8" t="inlineStr">
        <is>
          <t>2026-06</t>
        </is>
      </c>
      <c r="C535" s="14" t="n">
        <v>-381502.06</v>
      </c>
      <c r="D535" s="14" t="n">
        <v>214478.56</v>
      </c>
      <c r="E535" s="14" t="n">
        <v>595980.62</v>
      </c>
      <c r="F535" s="14" t="n">
        <v>3180065.65</v>
      </c>
      <c r="G535" s="14" t="n">
        <v>2552695.21</v>
      </c>
      <c r="H535" s="14" t="n">
        <v>-627370.4399999999</v>
      </c>
      <c r="I535" s="14" t="n">
        <v>2798563.59</v>
      </c>
      <c r="J535" s="14" t="n">
        <v>2767173.77</v>
      </c>
      <c r="K535" s="14" t="n">
        <v>0</v>
      </c>
      <c r="L535" s="8" t="b">
        <v>0</v>
      </c>
      <c r="M535" s="14" t="n">
        <v>0</v>
      </c>
      <c r="N535" s="19">
        <f>ROUND((J535-I535)-(K535+E535+H535),4)</f>
        <v/>
      </c>
    </row>
    <row r="536">
      <c r="A536" s="8" t="inlineStr">
        <is>
          <t>Салам Экспресс</t>
        </is>
      </c>
      <c r="B536" s="8" t="inlineStr">
        <is>
          <t>2026-07</t>
        </is>
      </c>
      <c r="C536" s="14" t="n">
        <v>214478.56</v>
      </c>
      <c r="D536" s="14" t="n">
        <v>348543.06</v>
      </c>
      <c r="E536" s="14" t="n">
        <v>134064.5</v>
      </c>
      <c r="F536" s="14" t="n">
        <v>2552695.21</v>
      </c>
      <c r="G536" s="14" t="n">
        <v>2418561.01</v>
      </c>
      <c r="H536" s="14" t="n">
        <v>-134134.2</v>
      </c>
      <c r="I536" s="14" t="n">
        <v>2767173.77</v>
      </c>
      <c r="J536" s="14" t="n">
        <v>2767104.07</v>
      </c>
      <c r="K536" s="14" t="n">
        <v>-5.820766091346741e-11</v>
      </c>
      <c r="L536" s="8" t="b">
        <v>0</v>
      </c>
      <c r="M536" s="14" t="n">
        <v>0</v>
      </c>
      <c r="N536" s="19">
        <f>ROUND((J536-I536)-(K536+E536+H536),4)</f>
        <v/>
      </c>
    </row>
    <row r="537">
      <c r="A537" s="8" t="inlineStr">
        <is>
          <t>Сатар уулу Санжар</t>
        </is>
      </c>
      <c r="B537" s="8" t="inlineStr">
        <is>
          <t>2026-01</t>
        </is>
      </c>
      <c r="C537" s="14" t="n">
        <v>-414933.16</v>
      </c>
      <c r="D537" s="14" t="n">
        <v>601378.24</v>
      </c>
      <c r="E537" s="14" t="n">
        <v>1016311.4</v>
      </c>
      <c r="F537" s="14" t="n">
        <v>3688157.53</v>
      </c>
      <c r="G537" s="14" t="n">
        <v>2504689.98</v>
      </c>
      <c r="H537" s="14" t="n">
        <v>-1183467.55</v>
      </c>
      <c r="I537" s="14" t="n">
        <v>3273224.37</v>
      </c>
      <c r="J537" s="14" t="n">
        <v>3106068.220000001</v>
      </c>
      <c r="K537" s="14" t="n">
        <v>0</v>
      </c>
      <c r="L537" s="8" t="b">
        <v>0</v>
      </c>
      <c r="M537" s="14" t="n">
        <v>0</v>
      </c>
      <c r="N537" s="19">
        <f>ROUND((J537-I537)-(K537+E537+H537),4)</f>
        <v/>
      </c>
    </row>
    <row r="538">
      <c r="A538" s="8" t="inlineStr">
        <is>
          <t>Сатар уулу Санжар</t>
        </is>
      </c>
      <c r="B538" s="8" t="inlineStr">
        <is>
          <t>2026-02</t>
        </is>
      </c>
      <c r="C538" s="14" t="n">
        <v>601378.24</v>
      </c>
      <c r="D538" s="14" t="n">
        <v>-756072</v>
      </c>
      <c r="E538" s="14" t="n">
        <v>-1357450.24</v>
      </c>
      <c r="F538" s="14" t="n">
        <v>2504689.98</v>
      </c>
      <c r="G538" s="14" t="n">
        <v>3758299.92</v>
      </c>
      <c r="H538" s="14" t="n">
        <v>1253609.94</v>
      </c>
      <c r="I538" s="14" t="n">
        <v>3106068.220000001</v>
      </c>
      <c r="J538" s="14" t="n">
        <v>3002227.92</v>
      </c>
      <c r="K538" s="14" t="n">
        <v>0</v>
      </c>
      <c r="L538" s="8" t="b">
        <v>0</v>
      </c>
      <c r="M538" s="14" t="n">
        <v>0</v>
      </c>
      <c r="N538" s="19">
        <f>ROUND((J538-I538)-(K538+E538+H538),4)</f>
        <v/>
      </c>
    </row>
    <row r="539">
      <c r="A539" s="8" t="inlineStr">
        <is>
          <t>Сатар уулу Санжар</t>
        </is>
      </c>
      <c r="B539" s="8" t="inlineStr">
        <is>
          <t>2026-03</t>
        </is>
      </c>
      <c r="C539" s="14" t="n">
        <v>-756072</v>
      </c>
      <c r="D539" s="14" t="n">
        <v>202649.34</v>
      </c>
      <c r="E539" s="14" t="n">
        <v>958721.3400000001</v>
      </c>
      <c r="F539" s="14" t="n">
        <v>3758299.92</v>
      </c>
      <c r="G539" s="14" t="n">
        <v>2102079.27</v>
      </c>
      <c r="H539" s="14" t="n">
        <v>-1656220.65</v>
      </c>
      <c r="I539" s="14" t="n">
        <v>3002227.92</v>
      </c>
      <c r="J539" s="14" t="n">
        <v>2304728.61</v>
      </c>
      <c r="K539" s="14" t="n">
        <v>-8.731149137020111e-11</v>
      </c>
      <c r="L539" s="8" t="b">
        <v>0</v>
      </c>
      <c r="M539" s="14" t="n">
        <v>0</v>
      </c>
      <c r="N539" s="19">
        <f>ROUND((J539-I539)-(K539+E539+H539),4)</f>
        <v/>
      </c>
    </row>
    <row r="540">
      <c r="A540" s="8" t="inlineStr">
        <is>
          <t>Сатар уулу Санжар</t>
        </is>
      </c>
      <c r="B540" s="8" t="inlineStr">
        <is>
          <t>2026-05</t>
        </is>
      </c>
      <c r="C540" s="14" t="n">
        <v>-1110441.94</v>
      </c>
      <c r="D540" s="14" t="n">
        <v>-1806698.56</v>
      </c>
      <c r="E540" s="14" t="n">
        <v>-696256.6200000001</v>
      </c>
      <c r="F540" s="14" t="n">
        <v>2878792.36</v>
      </c>
      <c r="G540" s="14" t="n">
        <v>3338196.1</v>
      </c>
      <c r="H540" s="14" t="n">
        <v>459403.7400000001</v>
      </c>
      <c r="I540" s="14" t="n">
        <v>1768350.42</v>
      </c>
      <c r="J540" s="14" t="n">
        <v>1531497.54</v>
      </c>
      <c r="K540" s="14" t="n">
        <v>0</v>
      </c>
      <c r="L540" s="8" t="b">
        <v>0</v>
      </c>
      <c r="M540" s="14" t="n">
        <v>-1313091.28</v>
      </c>
      <c r="N540" s="19">
        <f>ROUND((J540-I540)-(K540+E540+H540),4)</f>
        <v/>
      </c>
    </row>
    <row r="541">
      <c r="A541" s="8" t="inlineStr">
        <is>
          <t>Сатар уулу Санжар</t>
        </is>
      </c>
      <c r="B541" s="8" t="inlineStr">
        <is>
          <t>2026-07</t>
        </is>
      </c>
      <c r="C541" s="14" t="n">
        <v>-2490873.42</v>
      </c>
      <c r="D541" s="14" t="n">
        <v>-342854.9</v>
      </c>
      <c r="E541" s="14" t="n">
        <v>2148018.52</v>
      </c>
      <c r="F541" s="14" t="n">
        <v>3675077.240000001</v>
      </c>
      <c r="G541" s="14" t="n">
        <v>1361862.870000001</v>
      </c>
      <c r="H541" s="14" t="n">
        <v>-2313214.37</v>
      </c>
      <c r="I541" s="14" t="n">
        <v>1184203.820000001</v>
      </c>
      <c r="J541" s="14" t="n">
        <v>1019007.970000001</v>
      </c>
      <c r="K541" s="14" t="n">
        <v>-1.164153218269348e-10</v>
      </c>
      <c r="L541" s="8" t="b">
        <v>0</v>
      </c>
      <c r="M541" s="14" t="n">
        <v>-684174.8599999999</v>
      </c>
      <c r="N541" s="19">
        <f>ROUND((J541-I541)-(K541+E541+H541),4)</f>
        <v/>
      </c>
    </row>
    <row r="542">
      <c r="A542" s="8" t="inlineStr">
        <is>
          <t>Сатарова А. О.</t>
        </is>
      </c>
      <c r="B542" s="8" t="inlineStr">
        <is>
          <t>2026-01</t>
        </is>
      </c>
      <c r="C542" s="14" t="n">
        <v>0</v>
      </c>
      <c r="D542" s="14" t="n">
        <v>-231699.33</v>
      </c>
      <c r="E542" s="14" t="n">
        <v>-231699.33</v>
      </c>
      <c r="F542" s="14" t="n">
        <v>0</v>
      </c>
      <c r="G542" s="14" t="n">
        <v>231699.33</v>
      </c>
      <c r="H542" s="14" t="n">
        <v>231699.33</v>
      </c>
      <c r="I542" s="14" t="n">
        <v>0</v>
      </c>
      <c r="J542" s="14" t="n">
        <v>-2.91038304567337e-11</v>
      </c>
      <c r="K542" s="14" t="n">
        <v>2.91038304567337e-11</v>
      </c>
      <c r="L542" s="8" t="b">
        <v>0</v>
      </c>
      <c r="M542" s="14" t="n">
        <v>0</v>
      </c>
      <c r="N542" s="19">
        <f>ROUND((J542-I542)-(K542+E542+H542),4)</f>
        <v/>
      </c>
    </row>
    <row r="543">
      <c r="A543" s="8" t="inlineStr">
        <is>
          <t>Сатарова А. О.</t>
        </is>
      </c>
      <c r="B543" s="8" t="inlineStr">
        <is>
          <t>2026-02</t>
        </is>
      </c>
      <c r="C543" s="14" t="n">
        <v>-231699.33</v>
      </c>
      <c r="D543" s="14" t="n">
        <v>-378513.44</v>
      </c>
      <c r="E543" s="14" t="n">
        <v>-146814.11</v>
      </c>
      <c r="F543" s="14" t="n">
        <v>231699.33</v>
      </c>
      <c r="G543" s="14" t="n">
        <v>378513.4399999999</v>
      </c>
      <c r="H543" s="14" t="n">
        <v>146814.11</v>
      </c>
      <c r="I543" s="14" t="n">
        <v>0</v>
      </c>
      <c r="J543" s="14" t="n">
        <v>-5.820766091346741e-11</v>
      </c>
      <c r="K543" s="14" t="n">
        <v>-5.820766091346741e-11</v>
      </c>
      <c r="L543" s="8" t="b">
        <v>0</v>
      </c>
      <c r="M543" s="14" t="n">
        <v>0</v>
      </c>
      <c r="N543" s="19">
        <f>ROUND((J543-I543)-(K543+E543+H543),4)</f>
        <v/>
      </c>
    </row>
    <row r="544">
      <c r="A544" s="8" t="inlineStr">
        <is>
          <t>Сатарова А. О.</t>
        </is>
      </c>
      <c r="B544" s="8" t="inlineStr">
        <is>
          <t>2026-03</t>
        </is>
      </c>
      <c r="C544" s="14" t="n">
        <v>-378513.44</v>
      </c>
      <c r="D544" s="14" t="n">
        <v>-13921.05</v>
      </c>
      <c r="E544" s="14" t="n">
        <v>364592.39</v>
      </c>
      <c r="F544" s="14" t="n">
        <v>378513.44</v>
      </c>
      <c r="G544" s="14" t="n">
        <v>110721.99</v>
      </c>
      <c r="H544" s="14" t="n">
        <v>-267791.45</v>
      </c>
      <c r="I544" s="14" t="n">
        <v>0</v>
      </c>
      <c r="J544" s="14" t="n">
        <v>96800.93999999999</v>
      </c>
      <c r="K544" s="14" t="n">
        <v>-1.091393642127514e-11</v>
      </c>
      <c r="L544" s="8" t="b">
        <v>0</v>
      </c>
      <c r="M544" s="14" t="n">
        <v>0</v>
      </c>
      <c r="N544" s="19">
        <f>ROUND((J544-I544)-(K544+E544+H544),4)</f>
        <v/>
      </c>
    </row>
    <row r="545">
      <c r="A545" s="8" t="inlineStr">
        <is>
          <t>Сатарова А. О.</t>
        </is>
      </c>
      <c r="B545" s="8" t="inlineStr">
        <is>
          <t>2026-04</t>
        </is>
      </c>
      <c r="C545" s="14" t="n">
        <v>-13921.05</v>
      </c>
      <c r="D545" s="14" t="n">
        <v>-307131.53</v>
      </c>
      <c r="E545" s="14" t="n">
        <v>-293210.48</v>
      </c>
      <c r="F545" s="14" t="n">
        <v>110721.99</v>
      </c>
      <c r="G545" s="14" t="n">
        <v>403931.67</v>
      </c>
      <c r="H545" s="14" t="n">
        <v>293209.6800000001</v>
      </c>
      <c r="I545" s="14" t="n">
        <v>96800.93999999999</v>
      </c>
      <c r="J545" s="14" t="n">
        <v>96800.14000000001</v>
      </c>
      <c r="K545" s="14" t="n">
        <v>-5.820766091346741e-11</v>
      </c>
      <c r="L545" s="8" t="b">
        <v>0</v>
      </c>
      <c r="M545" s="14" t="n">
        <v>0</v>
      </c>
      <c r="N545" s="19">
        <f>ROUND((J545-I545)-(K545+E545+H545),4)</f>
        <v/>
      </c>
    </row>
    <row r="546">
      <c r="A546" s="8" t="inlineStr">
        <is>
          <t>Сатарова А. О.</t>
        </is>
      </c>
      <c r="B546" s="8" t="inlineStr">
        <is>
          <t>2026-05</t>
        </is>
      </c>
      <c r="C546" s="14" t="n">
        <v>-307131.53</v>
      </c>
      <c r="D546" s="14" t="n">
        <v>-278658.01</v>
      </c>
      <c r="E546" s="14" t="n">
        <v>28473.51999999999</v>
      </c>
      <c r="F546" s="14" t="n">
        <v>403931.6699999999</v>
      </c>
      <c r="G546" s="14" t="n">
        <v>375458.15</v>
      </c>
      <c r="H546" s="14" t="n">
        <v>-28473.51999999995</v>
      </c>
      <c r="I546" s="14" t="n">
        <v>96800.1399999999</v>
      </c>
      <c r="J546" s="14" t="n">
        <v>96800.13999999996</v>
      </c>
      <c r="K546" s="14" t="n">
        <v>0</v>
      </c>
      <c r="L546" s="8" t="b">
        <v>0</v>
      </c>
      <c r="M546" s="14" t="n">
        <v>0</v>
      </c>
      <c r="N546" s="19">
        <f>ROUND((J546-I546)-(K546+E546+H546),4)</f>
        <v/>
      </c>
    </row>
    <row r="547">
      <c r="A547" s="8" t="inlineStr">
        <is>
          <t>Сатарова А. О.</t>
        </is>
      </c>
      <c r="B547" s="8" t="inlineStr">
        <is>
          <t>2026-06</t>
        </is>
      </c>
      <c r="C547" s="14" t="n">
        <v>-278658.01</v>
      </c>
      <c r="D547" s="14" t="n">
        <v>-304920.95</v>
      </c>
      <c r="E547" s="14" t="n">
        <v>-26262.93999999999</v>
      </c>
      <c r="F547" s="14" t="n">
        <v>375458.1499999999</v>
      </c>
      <c r="G547" s="14" t="n">
        <v>419906.4099999999</v>
      </c>
      <c r="H547" s="14" t="n">
        <v>44448.25999999999</v>
      </c>
      <c r="I547" s="14" t="n">
        <v>96800.1399999999</v>
      </c>
      <c r="J547" s="14" t="n">
        <v>114985.4599999999</v>
      </c>
      <c r="K547" s="14" t="n">
        <v>0</v>
      </c>
      <c r="L547" s="8" t="b">
        <v>0</v>
      </c>
      <c r="M547" s="14" t="n">
        <v>0</v>
      </c>
      <c r="N547" s="19">
        <f>ROUND((J547-I547)-(K547+E547+H547),4)</f>
        <v/>
      </c>
    </row>
    <row r="548">
      <c r="A548" s="8" t="inlineStr">
        <is>
          <t>Сатарова А. О.</t>
        </is>
      </c>
      <c r="B548" s="8" t="inlineStr">
        <is>
          <t>2026-07</t>
        </is>
      </c>
      <c r="C548" s="14" t="n">
        <v>-304920.95</v>
      </c>
      <c r="D548" s="14" t="n">
        <v>175140.49</v>
      </c>
      <c r="E548" s="14" t="n">
        <v>480061.44</v>
      </c>
      <c r="F548" s="14" t="n">
        <v>419906.41</v>
      </c>
      <c r="G548" s="14" t="n">
        <v>-60085.54999999999</v>
      </c>
      <c r="H548" s="14" t="n">
        <v>-479991.96</v>
      </c>
      <c r="I548" s="14" t="n">
        <v>114985.46</v>
      </c>
      <c r="J548" s="14" t="n">
        <v>115054.94</v>
      </c>
      <c r="K548" s="14" t="n">
        <v>0</v>
      </c>
      <c r="L548" s="8" t="b">
        <v>0</v>
      </c>
      <c r="M548" s="14" t="n">
        <v>0</v>
      </c>
      <c r="N548" s="19">
        <f>ROUND((J548-I548)-(K548+E548+H548),4)</f>
        <v/>
      </c>
    </row>
    <row r="549">
      <c r="A549" s="8" t="inlineStr">
        <is>
          <t>Сатарова Жылдыз Жумабековна</t>
        </is>
      </c>
      <c r="B549" s="8" t="inlineStr">
        <is>
          <t>2026-01</t>
        </is>
      </c>
      <c r="C549" s="14" t="n">
        <v>343689.3</v>
      </c>
      <c r="D549" s="14" t="n">
        <v>649160.13</v>
      </c>
      <c r="E549" s="14" t="n">
        <v>305470.83</v>
      </c>
      <c r="F549" s="14" t="n">
        <v>-343689.3</v>
      </c>
      <c r="G549" s="14" t="n">
        <v>-649160.13</v>
      </c>
      <c r="H549" s="14" t="n">
        <v>-305470.83</v>
      </c>
      <c r="I549" s="14" t="n">
        <v>0</v>
      </c>
      <c r="J549" s="14" t="n">
        <v>0</v>
      </c>
      <c r="K549" s="14" t="n">
        <v>0</v>
      </c>
      <c r="L549" s="8" t="b">
        <v>0</v>
      </c>
      <c r="M549" s="14" t="n">
        <v>0</v>
      </c>
      <c r="N549" s="19">
        <f>ROUND((J549-I549)-(K549+E549+H549),4)</f>
        <v/>
      </c>
    </row>
    <row r="550">
      <c r="A550" s="8" t="inlineStr">
        <is>
          <t>Сатарова Жылдыз Жумабековна</t>
        </is>
      </c>
      <c r="B550" s="8" t="inlineStr">
        <is>
          <t>2026-02</t>
        </is>
      </c>
      <c r="C550" s="14" t="n">
        <v>649160.13</v>
      </c>
      <c r="D550" s="14" t="n">
        <v>456947.85</v>
      </c>
      <c r="E550" s="14" t="n">
        <v>-192212.28</v>
      </c>
      <c r="F550" s="14" t="n">
        <v>-649160.1299999999</v>
      </c>
      <c r="G550" s="14" t="n">
        <v>-456947.8499999999</v>
      </c>
      <c r="H550" s="14" t="n">
        <v>192212.28</v>
      </c>
      <c r="I550" s="14" t="n">
        <v>1.164153218269348e-10</v>
      </c>
      <c r="J550" s="14" t="n">
        <v>5.820766091346741e-11</v>
      </c>
      <c r="K550" s="14" t="n">
        <v>0</v>
      </c>
      <c r="L550" s="8" t="b">
        <v>0</v>
      </c>
      <c r="M550" s="14" t="n">
        <v>0</v>
      </c>
      <c r="N550" s="19">
        <f>ROUND((J550-I550)-(K550+E550+H550),4)</f>
        <v/>
      </c>
    </row>
    <row r="551">
      <c r="A551" s="8" t="inlineStr">
        <is>
          <t>Сатарова Жылдыз Жумабековна</t>
        </is>
      </c>
      <c r="B551" s="8" t="inlineStr">
        <is>
          <t>2026-03</t>
        </is>
      </c>
      <c r="C551" s="14" t="n">
        <v>456947.85</v>
      </c>
      <c r="D551" s="14" t="n">
        <v>726574.96</v>
      </c>
      <c r="E551" s="14" t="n">
        <v>269627.11</v>
      </c>
      <c r="F551" s="14" t="n">
        <v>-456947.85</v>
      </c>
      <c r="G551" s="14" t="n">
        <v>-726454.36</v>
      </c>
      <c r="H551" s="14" t="n">
        <v>-269506.51</v>
      </c>
      <c r="I551" s="14" t="n">
        <v>0</v>
      </c>
      <c r="J551" s="14" t="n">
        <v>120.5999999999767</v>
      </c>
      <c r="K551" s="14" t="n">
        <v>0</v>
      </c>
      <c r="L551" s="8" t="b">
        <v>0</v>
      </c>
      <c r="M551" s="14" t="n">
        <v>0</v>
      </c>
      <c r="N551" s="19">
        <f>ROUND((J551-I551)-(K551+E551+H551),4)</f>
        <v/>
      </c>
    </row>
    <row r="552">
      <c r="A552" s="8" t="inlineStr">
        <is>
          <t>Сатарова Жылдыз Жумабековна</t>
        </is>
      </c>
      <c r="B552" s="8" t="inlineStr">
        <is>
          <t>2026-04</t>
        </is>
      </c>
      <c r="C552" s="14" t="n">
        <v>726574.96</v>
      </c>
      <c r="D552" s="14" t="n">
        <v>888395.09</v>
      </c>
      <c r="E552" s="14" t="n">
        <v>161820.13</v>
      </c>
      <c r="F552" s="14" t="n">
        <v>-726454.3599999998</v>
      </c>
      <c r="G552" s="14" t="n">
        <v>-954756.4899999998</v>
      </c>
      <c r="H552" s="14" t="n">
        <v>-228302.13</v>
      </c>
      <c r="I552" s="14" t="n">
        <v>120.6000000002095</v>
      </c>
      <c r="J552" s="14" t="n">
        <v>-66361.39999999979</v>
      </c>
      <c r="K552" s="14" t="n">
        <v>0</v>
      </c>
      <c r="L552" s="8" t="b">
        <v>0</v>
      </c>
      <c r="M552" s="14" t="n">
        <v>0</v>
      </c>
      <c r="N552" s="19">
        <f>ROUND((J552-I552)-(K552+E552+H552),4)</f>
        <v/>
      </c>
    </row>
    <row r="553">
      <c r="A553" s="8" t="inlineStr">
        <is>
          <t>Сатарова Жылдыз Жумабековна</t>
        </is>
      </c>
      <c r="B553" s="8" t="inlineStr">
        <is>
          <t>2026-05</t>
        </is>
      </c>
      <c r="C553" s="14" t="n">
        <v>888395.09</v>
      </c>
      <c r="D553" s="14" t="n">
        <v>690557.89</v>
      </c>
      <c r="E553" s="14" t="n">
        <v>-197837.2</v>
      </c>
      <c r="F553" s="14" t="n">
        <v>-954756.4899999999</v>
      </c>
      <c r="G553" s="14" t="n">
        <v>-790280.6199999999</v>
      </c>
      <c r="H553" s="14" t="n">
        <v>164475.87</v>
      </c>
      <c r="I553" s="14" t="n">
        <v>-66361.39999999991</v>
      </c>
      <c r="J553" s="14" t="n">
        <v>-99722.72999999986</v>
      </c>
      <c r="K553" s="14" t="n">
        <v>0</v>
      </c>
      <c r="L553" s="8" t="b">
        <v>0</v>
      </c>
      <c r="M553" s="14" t="n">
        <v>0</v>
      </c>
      <c r="N553" s="19">
        <f>ROUND((J553-I553)-(K553+E553+H553),4)</f>
        <v/>
      </c>
    </row>
    <row r="554">
      <c r="A554" s="8" t="inlineStr">
        <is>
          <t>Сатарова Жылдыз Жумабековна</t>
        </is>
      </c>
      <c r="B554" s="8" t="inlineStr">
        <is>
          <t>2026-06</t>
        </is>
      </c>
      <c r="C554" s="14" t="n">
        <v>690557.89</v>
      </c>
      <c r="D554" s="14" t="n">
        <v>417821</v>
      </c>
      <c r="E554" s="14" t="n">
        <v>-272736.89</v>
      </c>
      <c r="F554" s="14" t="n">
        <v>-790280.6200000001</v>
      </c>
      <c r="G554" s="14" t="n">
        <v>-517543.7300000001</v>
      </c>
      <c r="H554" s="14" t="n">
        <v>272736.89</v>
      </c>
      <c r="I554" s="14" t="n">
        <v>-99722.7300000001</v>
      </c>
      <c r="J554" s="14" t="n">
        <v>-99722.7300000001</v>
      </c>
      <c r="K554" s="14" t="n">
        <v>0</v>
      </c>
      <c r="L554" s="8" t="b">
        <v>0</v>
      </c>
      <c r="M554" s="14" t="n">
        <v>0</v>
      </c>
      <c r="N554" s="19">
        <f>ROUND((J554-I554)-(K554+E554+H554),4)</f>
        <v/>
      </c>
    </row>
    <row r="555">
      <c r="A555" s="8" t="inlineStr">
        <is>
          <t>Сатарова Жылдыз Жумабековна</t>
        </is>
      </c>
      <c r="B555" s="8" t="inlineStr">
        <is>
          <t>2026-07</t>
        </is>
      </c>
      <c r="C555" s="14" t="n">
        <v>417821</v>
      </c>
      <c r="D555" s="14" t="n">
        <v>391048.92</v>
      </c>
      <c r="E555" s="14" t="n">
        <v>-26772.08000000005</v>
      </c>
      <c r="F555" s="14" t="n">
        <v>-517543.7299999999</v>
      </c>
      <c r="G555" s="14" t="n">
        <v>-490771.6499999999</v>
      </c>
      <c r="H555" s="14" t="n">
        <v>26772.07999999999</v>
      </c>
      <c r="I555" s="14" t="n">
        <v>-99722.72999999986</v>
      </c>
      <c r="J555" s="14" t="n">
        <v>-99722.72999999992</v>
      </c>
      <c r="K555" s="14" t="n">
        <v>5.820766091346741e-11</v>
      </c>
      <c r="L555" s="8" t="b">
        <v>0</v>
      </c>
      <c r="M555" s="14" t="n">
        <v>0</v>
      </c>
      <c r="N555" s="19">
        <f>ROUND((J555-I555)-(K555+E555+H555),4)</f>
        <v/>
      </c>
    </row>
    <row r="556">
      <c r="A556" s="8" t="inlineStr">
        <is>
          <t>Сыдыков С. У.</t>
        </is>
      </c>
      <c r="B556" s="8" t="inlineStr">
        <is>
          <t>2026-01</t>
        </is>
      </c>
      <c r="C556" s="14" t="n">
        <v>448214.7</v>
      </c>
      <c r="D556" s="14" t="n">
        <v>-201712.04</v>
      </c>
      <c r="E556" s="14" t="n">
        <v>-649926.74</v>
      </c>
      <c r="F556" s="14" t="n">
        <v>-448214.7</v>
      </c>
      <c r="G556" s="14" t="n">
        <v>238296.44</v>
      </c>
      <c r="H556" s="14" t="n">
        <v>686511.14</v>
      </c>
      <c r="I556" s="14" t="n">
        <v>0</v>
      </c>
      <c r="J556" s="14" t="n">
        <v>36584.39999999999</v>
      </c>
      <c r="K556" s="14" t="n">
        <v>-2.91038304567337e-11</v>
      </c>
      <c r="L556" s="8" t="b">
        <v>0</v>
      </c>
      <c r="M556" s="14" t="n">
        <v>0</v>
      </c>
      <c r="N556" s="19">
        <f>ROUND((J556-I556)-(K556+E556+H556),4)</f>
        <v/>
      </c>
    </row>
    <row r="557">
      <c r="A557" s="8" t="inlineStr">
        <is>
          <t>Сыдыков С. У.</t>
        </is>
      </c>
      <c r="B557" s="8" t="inlineStr">
        <is>
          <t>2026-02</t>
        </is>
      </c>
      <c r="C557" s="14" t="n">
        <v>-201712.04</v>
      </c>
      <c r="D557" s="14" t="n">
        <v>-38069.15</v>
      </c>
      <c r="E557" s="14" t="n">
        <v>163642.89</v>
      </c>
      <c r="F557" s="14" t="n">
        <v>238296.4399999999</v>
      </c>
      <c r="G557" s="14" t="n">
        <v>35305.54999999993</v>
      </c>
      <c r="H557" s="14" t="n">
        <v>-202990.89</v>
      </c>
      <c r="I557" s="14" t="n">
        <v>36584.39999999991</v>
      </c>
      <c r="J557" s="14" t="n">
        <v>-2763.600000000071</v>
      </c>
      <c r="K557" s="14" t="n">
        <v>-7.275957614183426e-12</v>
      </c>
      <c r="L557" s="8" t="b">
        <v>0</v>
      </c>
      <c r="M557" s="14" t="n">
        <v>0</v>
      </c>
      <c r="N557" s="19">
        <f>ROUND((J557-I557)-(K557+E557+H557),4)</f>
        <v/>
      </c>
    </row>
    <row r="558">
      <c r="A558" s="8" t="inlineStr">
        <is>
          <t>Сыдыков С. У.</t>
        </is>
      </c>
      <c r="B558" s="8" t="inlineStr">
        <is>
          <t>2026-03</t>
        </is>
      </c>
      <c r="C558" s="14" t="n">
        <v>-38069.15</v>
      </c>
      <c r="D558" s="14" t="n">
        <v>-54682.1</v>
      </c>
      <c r="E558" s="14" t="n">
        <v>-16612.95</v>
      </c>
      <c r="F558" s="14" t="n">
        <v>35305.54999999994</v>
      </c>
      <c r="G558" s="14" t="n">
        <v>51918.49999999994</v>
      </c>
      <c r="H558" s="14" t="n">
        <v>16612.95</v>
      </c>
      <c r="I558" s="14" t="n">
        <v>-2763.600000000057</v>
      </c>
      <c r="J558" s="14" t="n">
        <v>-2763.600000000057</v>
      </c>
      <c r="K558" s="14" t="n">
        <v>0</v>
      </c>
      <c r="L558" s="8" t="b">
        <v>0</v>
      </c>
      <c r="M558" s="14" t="n">
        <v>0</v>
      </c>
      <c r="N558" s="19">
        <f>ROUND((J558-I558)-(K558+E558+H558),4)</f>
        <v/>
      </c>
    </row>
    <row r="559">
      <c r="A559" s="8" t="inlineStr">
        <is>
          <t>Сыдыков С. У.</t>
        </is>
      </c>
      <c r="B559" s="8" t="inlineStr">
        <is>
          <t>2026-04</t>
        </is>
      </c>
      <c r="C559" s="14" t="n">
        <v>-54682.1</v>
      </c>
      <c r="D559" s="14" t="n">
        <v>-196892.15</v>
      </c>
      <c r="E559" s="14" t="n">
        <v>-142210.05</v>
      </c>
      <c r="F559" s="14" t="n">
        <v>51918.49999999991</v>
      </c>
      <c r="G559" s="14" t="n">
        <v>194128.5499999999</v>
      </c>
      <c r="H559" s="14" t="n">
        <v>142210.05</v>
      </c>
      <c r="I559" s="14" t="n">
        <v>-2763.600000000086</v>
      </c>
      <c r="J559" s="14" t="n">
        <v>-2763.600000000122</v>
      </c>
      <c r="K559" s="14" t="n">
        <v>0</v>
      </c>
      <c r="L559" s="8" t="b">
        <v>0</v>
      </c>
      <c r="M559" s="14" t="n">
        <v>0</v>
      </c>
      <c r="N559" s="19">
        <f>ROUND((J559-I559)-(K559+E559+H559),4)</f>
        <v/>
      </c>
    </row>
    <row r="560">
      <c r="A560" s="8" t="inlineStr">
        <is>
          <t>Сыдыков С. У.</t>
        </is>
      </c>
      <c r="B560" s="8" t="inlineStr">
        <is>
          <t>2026-06</t>
        </is>
      </c>
      <c r="C560" s="14" t="n">
        <v>-260024.08</v>
      </c>
      <c r="D560" s="14" t="n">
        <v>-536062.91</v>
      </c>
      <c r="E560" s="14" t="n">
        <v>-276038.83</v>
      </c>
      <c r="F560" s="14" t="n">
        <v>257260.4800000001</v>
      </c>
      <c r="G560" s="14" t="n">
        <v>533299.3100000001</v>
      </c>
      <c r="H560" s="14" t="n">
        <v>276038.83</v>
      </c>
      <c r="I560" s="14" t="n">
        <v>-2763.599999999889</v>
      </c>
      <c r="J560" s="14" t="n">
        <v>-2763.599999999977</v>
      </c>
      <c r="K560" s="14" t="n">
        <v>0</v>
      </c>
      <c r="L560" s="8" t="b">
        <v>0</v>
      </c>
      <c r="M560" s="14" t="n">
        <v>-63131.92999999999</v>
      </c>
      <c r="N560" s="19">
        <f>ROUND((J560-I560)-(K560+E560+H560),4)</f>
        <v/>
      </c>
    </row>
    <row r="561">
      <c r="A561" s="8" t="inlineStr">
        <is>
          <t>Сыдыков С. У.</t>
        </is>
      </c>
      <c r="B561" s="8" t="inlineStr">
        <is>
          <t>2026-07</t>
        </is>
      </c>
      <c r="C561" s="14" t="n">
        <v>-536062.91</v>
      </c>
      <c r="D561" s="14" t="n">
        <v>-9212.690000000001</v>
      </c>
      <c r="E561" s="14" t="n">
        <v>526850.22</v>
      </c>
      <c r="F561" s="14" t="n">
        <v>533299.3100000001</v>
      </c>
      <c r="G561" s="14" t="n">
        <v>4649.090000000026</v>
      </c>
      <c r="H561" s="14" t="n">
        <v>-528650.22</v>
      </c>
      <c r="I561" s="14" t="n">
        <v>-2763.599999999977</v>
      </c>
      <c r="J561" s="14" t="n">
        <v>-4563.599999999975</v>
      </c>
      <c r="K561" s="14" t="n">
        <v>6.002665031701326e-11</v>
      </c>
      <c r="L561" s="8" t="b">
        <v>0</v>
      </c>
      <c r="M561" s="14" t="n">
        <v>0</v>
      </c>
      <c r="N561" s="19">
        <f>ROUND((J561-I561)-(K561+E561+H561),4)</f>
        <v/>
      </c>
    </row>
    <row r="562">
      <c r="A562" s="8" t="inlineStr">
        <is>
          <t>ТАЛАС ВОЯЖ</t>
        </is>
      </c>
      <c r="B562" s="8" t="inlineStr">
        <is>
          <t>2026-01</t>
        </is>
      </c>
      <c r="C562" s="14" t="n">
        <v>-157768.27</v>
      </c>
      <c r="D562" s="14" t="n">
        <v>-420175.83</v>
      </c>
      <c r="E562" s="14" t="n">
        <v>-262407.56</v>
      </c>
      <c r="F562" s="14" t="n">
        <v>-161172.73</v>
      </c>
      <c r="G562" s="14" t="n">
        <v>103934.83</v>
      </c>
      <c r="H562" s="14" t="n">
        <v>265107.56</v>
      </c>
      <c r="I562" s="14" t="n">
        <v>-318941</v>
      </c>
      <c r="J562" s="14" t="n">
        <v>-316241</v>
      </c>
      <c r="K562" s="14" t="n">
        <v>-5.820766091346741e-11</v>
      </c>
      <c r="L562" s="8" t="b">
        <v>0</v>
      </c>
      <c r="M562" s="14" t="n">
        <v>0</v>
      </c>
      <c r="N562" s="19">
        <f>ROUND((J562-I562)-(K562+E562+H562),4)</f>
        <v/>
      </c>
    </row>
    <row r="563">
      <c r="A563" s="8" t="inlineStr">
        <is>
          <t>ТАЛАС ВОЯЖ</t>
        </is>
      </c>
      <c r="B563" s="8" t="inlineStr">
        <is>
          <t>2026-02</t>
        </is>
      </c>
      <c r="C563" s="14" t="n">
        <v>-420175.83</v>
      </c>
      <c r="D563" s="14" t="n">
        <v>-382115.63</v>
      </c>
      <c r="E563" s="14" t="n">
        <v>38060.2</v>
      </c>
      <c r="F563" s="14" t="n">
        <v>103934.83</v>
      </c>
      <c r="G563" s="14" t="n">
        <v>65874.63</v>
      </c>
      <c r="H563" s="14" t="n">
        <v>-38060.20000000001</v>
      </c>
      <c r="I563" s="14" t="n">
        <v>-316241</v>
      </c>
      <c r="J563" s="14" t="n">
        <v>-316241</v>
      </c>
      <c r="K563" s="14" t="n">
        <v>0</v>
      </c>
      <c r="L563" s="8" t="b">
        <v>0</v>
      </c>
      <c r="M563" s="14" t="n">
        <v>0</v>
      </c>
      <c r="N563" s="19">
        <f>ROUND((J563-I563)-(K563+E563+H563),4)</f>
        <v/>
      </c>
    </row>
    <row r="564">
      <c r="A564" s="8" t="inlineStr">
        <is>
          <t>ТАЛАС ВОЯЖ</t>
        </is>
      </c>
      <c r="B564" s="8" t="inlineStr">
        <is>
          <t>2026-03</t>
        </is>
      </c>
      <c r="C564" s="14" t="n">
        <v>-382115.63</v>
      </c>
      <c r="D564" s="14" t="n">
        <v>-121205.58</v>
      </c>
      <c r="E564" s="14" t="n">
        <v>260910.05</v>
      </c>
      <c r="F564" s="14" t="n">
        <v>65874.63</v>
      </c>
      <c r="G564" s="14" t="n">
        <v>-196943.62</v>
      </c>
      <c r="H564" s="14" t="n">
        <v>-262818.25</v>
      </c>
      <c r="I564" s="14" t="n">
        <v>-316241</v>
      </c>
      <c r="J564" s="14" t="n">
        <v>-318149.2</v>
      </c>
      <c r="K564" s="14" t="n">
        <v>-1.455191522836685e-11</v>
      </c>
      <c r="L564" s="8" t="b">
        <v>0</v>
      </c>
      <c r="M564" s="14" t="n">
        <v>0</v>
      </c>
      <c r="N564" s="19">
        <f>ROUND((J564-I564)-(K564+E564+H564),4)</f>
        <v/>
      </c>
    </row>
    <row r="565">
      <c r="A565" s="8" t="inlineStr">
        <is>
          <t>ТАЛАС ВОЯЖ</t>
        </is>
      </c>
      <c r="B565" s="8" t="inlineStr">
        <is>
          <t>2026-04</t>
        </is>
      </c>
      <c r="C565" s="14" t="n">
        <v>-121205.58</v>
      </c>
      <c r="D565" s="14" t="n">
        <v>-266496.63</v>
      </c>
      <c r="E565" s="14" t="n">
        <v>-145291.05</v>
      </c>
      <c r="F565" s="14" t="n">
        <v>-196943.6200000001</v>
      </c>
      <c r="G565" s="14" t="n">
        <v>-67213.21000000004</v>
      </c>
      <c r="H565" s="14" t="n">
        <v>129730.41</v>
      </c>
      <c r="I565" s="14" t="n">
        <v>-318149.2000000001</v>
      </c>
      <c r="J565" s="14" t="n">
        <v>-333709.84</v>
      </c>
      <c r="K565" s="14" t="n">
        <v>0</v>
      </c>
      <c r="L565" s="8" t="b">
        <v>0</v>
      </c>
      <c r="M565" s="14" t="n">
        <v>0</v>
      </c>
      <c r="N565" s="19">
        <f>ROUND((J565-I565)-(K565+E565+H565),4)</f>
        <v/>
      </c>
    </row>
    <row r="566">
      <c r="A566" s="8" t="inlineStr">
        <is>
          <t>ТАЛАС ВОЯЖ</t>
        </is>
      </c>
      <c r="B566" s="8" t="inlineStr">
        <is>
          <t>2026-05</t>
        </is>
      </c>
      <c r="C566" s="14" t="n">
        <v>-238996.63</v>
      </c>
      <c r="D566" s="14" t="n">
        <v>-164429.28</v>
      </c>
      <c r="E566" s="14" t="n">
        <v>74567.34999999998</v>
      </c>
      <c r="F566" s="14" t="n">
        <v>-67213.21000000002</v>
      </c>
      <c r="G566" s="14" t="n">
        <v>-127380.5600000001</v>
      </c>
      <c r="H566" s="14" t="n">
        <v>-60167.35000000003</v>
      </c>
      <c r="I566" s="14" t="n">
        <v>-306209.84</v>
      </c>
      <c r="J566" s="14" t="n">
        <v>-291809.8400000001</v>
      </c>
      <c r="K566" s="14" t="n">
        <v>2.91038304567337e-11</v>
      </c>
      <c r="L566" s="8" t="b">
        <v>1</v>
      </c>
      <c r="M566" s="14" t="n">
        <v>27500</v>
      </c>
      <c r="N566" s="19">
        <f>ROUND((J566-I566)-(K566+E566+H566),4)</f>
        <v/>
      </c>
    </row>
    <row r="567">
      <c r="A567" s="8" t="inlineStr">
        <is>
          <t>ТАЛАС ВОЯЖ</t>
        </is>
      </c>
      <c r="B567" s="8" t="inlineStr">
        <is>
          <t>2026-06</t>
        </is>
      </c>
      <c r="C567" s="14" t="n">
        <v>-164429.28</v>
      </c>
      <c r="D567" s="14" t="n">
        <v>-17662.57</v>
      </c>
      <c r="E567" s="14" t="n">
        <v>146766.71</v>
      </c>
      <c r="F567" s="14" t="n">
        <v>-127380.56</v>
      </c>
      <c r="G567" s="14" t="n">
        <v>-274147.27</v>
      </c>
      <c r="H567" s="14" t="n">
        <v>-146766.71</v>
      </c>
      <c r="I567" s="14" t="n">
        <v>-291809.84</v>
      </c>
      <c r="J567" s="14" t="n">
        <v>-291809.84</v>
      </c>
      <c r="K567" s="14" t="n">
        <v>7.275957614183426e-12</v>
      </c>
      <c r="L567" s="8" t="b">
        <v>0</v>
      </c>
      <c r="M567" s="14" t="n">
        <v>0</v>
      </c>
      <c r="N567" s="19">
        <f>ROUND((J567-I567)-(K567+E567+H567),4)</f>
        <v/>
      </c>
    </row>
    <row r="568">
      <c r="A568" s="8" t="inlineStr">
        <is>
          <t>ТАЛАС ВОЯЖ</t>
        </is>
      </c>
      <c r="B568" s="8" t="inlineStr">
        <is>
          <t>2026-07</t>
        </is>
      </c>
      <c r="C568" s="14" t="n">
        <v>-17662.57</v>
      </c>
      <c r="D568" s="14" t="n">
        <v>-23307.02</v>
      </c>
      <c r="E568" s="14" t="n">
        <v>-5644.449999999993</v>
      </c>
      <c r="F568" s="14" t="n">
        <v>-274147.2700000001</v>
      </c>
      <c r="G568" s="14" t="n">
        <v>-268502.8200000001</v>
      </c>
      <c r="H568" s="14" t="n">
        <v>5644.450000000015</v>
      </c>
      <c r="I568" s="14" t="n">
        <v>-291809.8400000001</v>
      </c>
      <c r="J568" s="14" t="n">
        <v>-291809.8400000001</v>
      </c>
      <c r="K568" s="14" t="n">
        <v>-7.275957614183426e-12</v>
      </c>
      <c r="L568" s="8" t="b">
        <v>0</v>
      </c>
      <c r="M568" s="14" t="n">
        <v>0</v>
      </c>
      <c r="N568" s="19">
        <f>ROUND((J568-I568)-(K568+E568+H568),4)</f>
        <v/>
      </c>
    </row>
    <row r="569">
      <c r="A569" s="8" t="inlineStr">
        <is>
          <t>ТАЛАС ЛАЙН</t>
        </is>
      </c>
      <c r="B569" s="8" t="inlineStr">
        <is>
          <t>2026-01</t>
        </is>
      </c>
      <c r="C569" s="14" t="n">
        <v>291980.13</v>
      </c>
      <c r="D569" s="14" t="n">
        <v>915535.6</v>
      </c>
      <c r="E569" s="14" t="n">
        <v>623555.47</v>
      </c>
      <c r="F569" s="14" t="n">
        <v>-291980.13</v>
      </c>
      <c r="G569" s="14" t="n">
        <v>-1139535.6</v>
      </c>
      <c r="H569" s="14" t="n">
        <v>-847555.4700000001</v>
      </c>
      <c r="I569" s="14" t="n">
        <v>0</v>
      </c>
      <c r="J569" s="14" t="n">
        <v>-224000.0000000001</v>
      </c>
      <c r="K569" s="14" t="n">
        <v>0</v>
      </c>
      <c r="L569" s="8" t="b">
        <v>0</v>
      </c>
      <c r="M569" s="14" t="n">
        <v>0</v>
      </c>
      <c r="N569" s="19">
        <f>ROUND((J569-I569)-(K569+E569+H569),4)</f>
        <v/>
      </c>
    </row>
    <row r="570">
      <c r="A570" s="8" t="inlineStr">
        <is>
          <t>ТАЛАС ЛАЙН</t>
        </is>
      </c>
      <c r="B570" s="8" t="inlineStr">
        <is>
          <t>2026-02</t>
        </is>
      </c>
      <c r="C570" s="14" t="n">
        <v>915535.6</v>
      </c>
      <c r="D570" s="14" t="n">
        <v>19034.48</v>
      </c>
      <c r="E570" s="14" t="n">
        <v>-896501.12</v>
      </c>
      <c r="F570" s="14" t="n">
        <v>-1139535.6</v>
      </c>
      <c r="G570" s="14" t="n">
        <v>-247531.0400000001</v>
      </c>
      <c r="H570" s="14" t="n">
        <v>892004.5600000001</v>
      </c>
      <c r="I570" s="14" t="n">
        <v>-224000.0000000001</v>
      </c>
      <c r="J570" s="14" t="n">
        <v>-228496.5600000001</v>
      </c>
      <c r="K570" s="14" t="n">
        <v>1.818989403545856e-11</v>
      </c>
      <c r="L570" s="8" t="b">
        <v>0</v>
      </c>
      <c r="M570" s="14" t="n">
        <v>0</v>
      </c>
      <c r="N570" s="19">
        <f>ROUND((J570-I570)-(K570+E570+H570),4)</f>
        <v/>
      </c>
    </row>
    <row r="571">
      <c r="A571" s="8" t="inlineStr">
        <is>
          <t>ТАЛАС ЛАЙН</t>
        </is>
      </c>
      <c r="B571" s="8" t="inlineStr">
        <is>
          <t>2026-03</t>
        </is>
      </c>
      <c r="C571" s="14" t="n">
        <v>19034.48</v>
      </c>
      <c r="D571" s="14" t="n">
        <v>10591.61</v>
      </c>
      <c r="E571" s="14" t="n">
        <v>-8442.869999999995</v>
      </c>
      <c r="F571" s="14" t="n">
        <v>-247531.0399999999</v>
      </c>
      <c r="G571" s="14" t="n">
        <v>-294319.1699999999</v>
      </c>
      <c r="H571" s="14" t="n">
        <v>-46788.13000000003</v>
      </c>
      <c r="I571" s="14" t="n">
        <v>-228496.5599999999</v>
      </c>
      <c r="J571" s="14" t="n">
        <v>-283727.5599999999</v>
      </c>
      <c r="K571" s="14" t="n">
        <v>-3.637978807091713e-12</v>
      </c>
      <c r="L571" s="8" t="b">
        <v>0</v>
      </c>
      <c r="M571" s="14" t="n">
        <v>0</v>
      </c>
      <c r="N571" s="19">
        <f>ROUND((J571-I571)-(K571+E571+H571),4)</f>
        <v/>
      </c>
    </row>
    <row r="572">
      <c r="A572" s="8" t="inlineStr">
        <is>
          <t>ТАЛАС ЛАЙН</t>
        </is>
      </c>
      <c r="B572" s="8" t="inlineStr">
        <is>
          <t>2026-04</t>
        </is>
      </c>
      <c r="C572" s="14" t="n">
        <v>10591.61</v>
      </c>
      <c r="D572" s="14" t="n">
        <v>-628665.33</v>
      </c>
      <c r="E572" s="14" t="n">
        <v>-639256.9399999999</v>
      </c>
      <c r="F572" s="14" t="n">
        <v>-294319.17</v>
      </c>
      <c r="G572" s="14" t="n">
        <v>-112105.65</v>
      </c>
      <c r="H572" s="14" t="n">
        <v>182213.52</v>
      </c>
      <c r="I572" s="14" t="n">
        <v>-283727.56</v>
      </c>
      <c r="J572" s="14" t="n">
        <v>-740770.98</v>
      </c>
      <c r="K572" s="14" t="n">
        <v>0</v>
      </c>
      <c r="L572" s="8" t="b">
        <v>0</v>
      </c>
      <c r="M572" s="14" t="n">
        <v>0</v>
      </c>
      <c r="N572" s="19">
        <f>ROUND((J572-I572)-(K572+E572+H572),4)</f>
        <v/>
      </c>
    </row>
    <row r="573">
      <c r="A573" s="8" t="inlineStr">
        <is>
          <t>ТАЛАС ЛАЙН</t>
        </is>
      </c>
      <c r="B573" s="8" t="inlineStr">
        <is>
          <t>2026-05</t>
        </is>
      </c>
      <c r="C573" s="14" t="n">
        <v>-628665.33</v>
      </c>
      <c r="D573" s="14" t="n">
        <v>-992947.7</v>
      </c>
      <c r="E573" s="14" t="n">
        <v>-364282.37</v>
      </c>
      <c r="F573" s="14" t="n">
        <v>-112105.6499999999</v>
      </c>
      <c r="G573" s="14" t="n">
        <v>-81143.27999999994</v>
      </c>
      <c r="H573" s="14" t="n">
        <v>30962.36999999995</v>
      </c>
      <c r="I573" s="14" t="n">
        <v>-740770.9799999999</v>
      </c>
      <c r="J573" s="14" t="n">
        <v>-1074090.98</v>
      </c>
      <c r="K573" s="14" t="n">
        <v>0</v>
      </c>
      <c r="L573" s="8" t="b">
        <v>0</v>
      </c>
      <c r="M573" s="14" t="n">
        <v>0</v>
      </c>
      <c r="N573" s="19">
        <f>ROUND((J573-I573)-(K573+E573+H573),4)</f>
        <v/>
      </c>
    </row>
    <row r="574">
      <c r="A574" s="8" t="inlineStr">
        <is>
          <t>ТАЛАС ЛАЙН</t>
        </is>
      </c>
      <c r="B574" s="8" t="inlineStr">
        <is>
          <t>2026-06</t>
        </is>
      </c>
      <c r="C574" s="14" t="n">
        <v>-992947.7</v>
      </c>
      <c r="D574" s="14" t="n">
        <v>-1486941.15</v>
      </c>
      <c r="E574" s="14" t="n">
        <v>-493993.45</v>
      </c>
      <c r="F574" s="14" t="n">
        <v>-81143.27999999974</v>
      </c>
      <c r="G574" s="14" t="n">
        <v>15330.69000000024</v>
      </c>
      <c r="H574" s="14" t="n">
        <v>96473.96999999997</v>
      </c>
      <c r="I574" s="14" t="n">
        <v>-1074090.98</v>
      </c>
      <c r="J574" s="14" t="n">
        <v>-1471610.46</v>
      </c>
      <c r="K574" s="14" t="n">
        <v>0</v>
      </c>
      <c r="L574" s="8" t="b">
        <v>0</v>
      </c>
      <c r="M574" s="14" t="n">
        <v>0</v>
      </c>
      <c r="N574" s="19">
        <f>ROUND((J574-I574)-(K574+E574+H574),4)</f>
        <v/>
      </c>
    </row>
    <row r="575">
      <c r="A575" s="8" t="inlineStr">
        <is>
          <t>ТАЛАС ЛАЙН</t>
        </is>
      </c>
      <c r="B575" s="8" t="inlineStr">
        <is>
          <t>2026-07</t>
        </is>
      </c>
      <c r="C575" s="14" t="n">
        <v>-1486941.15</v>
      </c>
      <c r="D575" s="14" t="n">
        <v>-694563.66</v>
      </c>
      <c r="E575" s="14" t="n">
        <v>792377.49</v>
      </c>
      <c r="F575" s="14" t="n">
        <v>15330.69000000006</v>
      </c>
      <c r="G575" s="14" t="n">
        <v>-857949.67</v>
      </c>
      <c r="H575" s="14" t="n">
        <v>-873280.3600000001</v>
      </c>
      <c r="I575" s="14" t="n">
        <v>-1471610.46</v>
      </c>
      <c r="J575" s="14" t="n">
        <v>-1552513.33</v>
      </c>
      <c r="K575" s="14" t="n">
        <v>-1.164153218269348e-10</v>
      </c>
      <c r="L575" s="8" t="b">
        <v>0</v>
      </c>
      <c r="M575" s="14" t="n">
        <v>0</v>
      </c>
      <c r="N575" s="19">
        <f>ROUND((J575-I575)-(K575+E575+H575),4)</f>
        <v/>
      </c>
    </row>
    <row r="576">
      <c r="A576" s="8" t="inlineStr">
        <is>
          <t>ТАЛАС ЭЙР</t>
        </is>
      </c>
      <c r="B576" s="8" t="inlineStr">
        <is>
          <t>2026-01</t>
        </is>
      </c>
      <c r="C576" s="14" t="n">
        <v>-304263.31</v>
      </c>
      <c r="D576" s="14" t="n">
        <v>-661385.41</v>
      </c>
      <c r="E576" s="14" t="n">
        <v>-357122.1</v>
      </c>
      <c r="F576" s="14" t="n">
        <v>304263.3099999999</v>
      </c>
      <c r="G576" s="14" t="n">
        <v>661385.4099999999</v>
      </c>
      <c r="H576" s="14" t="n">
        <v>357122.1</v>
      </c>
      <c r="I576" s="14" t="n">
        <v>-5.820766091346741e-11</v>
      </c>
      <c r="J576" s="14" t="n">
        <v>-1.164153218269348e-10</v>
      </c>
      <c r="K576" s="14" t="n">
        <v>-1.164153218269348e-10</v>
      </c>
      <c r="L576" s="8" t="b">
        <v>0</v>
      </c>
      <c r="M576" s="14" t="n">
        <v>0</v>
      </c>
      <c r="N576" s="19">
        <f>ROUND((J576-I576)-(K576+E576+H576),4)</f>
        <v/>
      </c>
    </row>
    <row r="577">
      <c r="A577" s="8" t="inlineStr">
        <is>
          <t>ТАЛАС ЭЙР</t>
        </is>
      </c>
      <c r="B577" s="8" t="inlineStr">
        <is>
          <t>2026-02</t>
        </is>
      </c>
      <c r="C577" s="14" t="n">
        <v>-661385.41</v>
      </c>
      <c r="D577" s="14" t="n">
        <v>-901011.49</v>
      </c>
      <c r="E577" s="14" t="n">
        <v>-239626.08</v>
      </c>
      <c r="F577" s="14" t="n">
        <v>661385.4099999999</v>
      </c>
      <c r="G577" s="14" t="n">
        <v>901011.49</v>
      </c>
      <c r="H577" s="14" t="n">
        <v>239626.08</v>
      </c>
      <c r="I577" s="14" t="n">
        <v>-1.164153218269348e-10</v>
      </c>
      <c r="J577" s="14" t="n">
        <v>0</v>
      </c>
      <c r="K577" s="14" t="n">
        <v>0</v>
      </c>
      <c r="L577" s="8" t="b">
        <v>0</v>
      </c>
      <c r="M577" s="14" t="n">
        <v>0</v>
      </c>
      <c r="N577" s="19">
        <f>ROUND((J577-I577)-(K577+E577+H577),4)</f>
        <v/>
      </c>
    </row>
    <row r="578">
      <c r="A578" s="8" t="inlineStr">
        <is>
          <t>ТАЛАС ЭЙР</t>
        </is>
      </c>
      <c r="B578" s="8" t="inlineStr">
        <is>
          <t>2026-03</t>
        </is>
      </c>
      <c r="C578" s="14" t="n">
        <v>-901011.49</v>
      </c>
      <c r="D578" s="14" t="n">
        <v>-1779314.39</v>
      </c>
      <c r="E578" s="14" t="n">
        <v>-878302.9</v>
      </c>
      <c r="F578" s="14" t="n">
        <v>901011.4900000001</v>
      </c>
      <c r="G578" s="14" t="n">
        <v>1779314.39</v>
      </c>
      <c r="H578" s="14" t="n">
        <v>878302.9</v>
      </c>
      <c r="I578" s="14" t="n">
        <v>1.164153218269348e-10</v>
      </c>
      <c r="J578" s="14" t="n">
        <v>2.328306436538696e-10</v>
      </c>
      <c r="K578" s="14" t="n">
        <v>2.328306436538696e-10</v>
      </c>
      <c r="L578" s="8" t="b">
        <v>0</v>
      </c>
      <c r="M578" s="14" t="n">
        <v>0</v>
      </c>
      <c r="N578" s="19">
        <f>ROUND((J578-I578)-(K578+E578+H578),4)</f>
        <v/>
      </c>
    </row>
    <row r="579">
      <c r="A579" s="8" t="inlineStr">
        <is>
          <t>ТАЛАС ЭЙР</t>
        </is>
      </c>
      <c r="B579" s="8" t="inlineStr">
        <is>
          <t>2026-04</t>
        </is>
      </c>
      <c r="C579" s="14" t="n">
        <v>-1779314.39</v>
      </c>
      <c r="D579" s="14" t="n">
        <v>-1525531.79</v>
      </c>
      <c r="E579" s="14" t="n">
        <v>253782.6</v>
      </c>
      <c r="F579" s="14" t="n">
        <v>1779314.39</v>
      </c>
      <c r="G579" s="14" t="n">
        <v>1525531.79</v>
      </c>
      <c r="H579" s="14" t="n">
        <v>-253782.6</v>
      </c>
      <c r="I579" s="14" t="n">
        <v>-2.328306436538696e-10</v>
      </c>
      <c r="J579" s="14" t="n">
        <v>-4.656612873077393e-10</v>
      </c>
      <c r="K579" s="14" t="n">
        <v>-2.328306436538696e-10</v>
      </c>
      <c r="L579" s="8" t="b">
        <v>0</v>
      </c>
      <c r="M579" s="14" t="n">
        <v>0</v>
      </c>
      <c r="N579" s="19">
        <f>ROUND((J579-I579)-(K579+E579+H579),4)</f>
        <v/>
      </c>
    </row>
    <row r="580">
      <c r="A580" s="8" t="inlineStr">
        <is>
          <t>ТАЛАС ЭЙР</t>
        </is>
      </c>
      <c r="B580" s="8" t="inlineStr">
        <is>
          <t>2026-05</t>
        </is>
      </c>
      <c r="C580" s="14" t="n">
        <v>-1525531.79</v>
      </c>
      <c r="D580" s="14" t="n">
        <v>-1423740.01</v>
      </c>
      <c r="E580" s="14" t="n">
        <v>101791.78</v>
      </c>
      <c r="F580" s="14" t="n">
        <v>1525531.79</v>
      </c>
      <c r="G580" s="14" t="n">
        <v>1374104.83</v>
      </c>
      <c r="H580" s="14" t="n">
        <v>-151426.96</v>
      </c>
      <c r="I580" s="14" t="n">
        <v>0</v>
      </c>
      <c r="J580" s="14" t="n">
        <v>-49635.17999999993</v>
      </c>
      <c r="K580" s="14" t="n">
        <v>0</v>
      </c>
      <c r="L580" s="8" t="b">
        <v>0</v>
      </c>
      <c r="M580" s="14" t="n">
        <v>0</v>
      </c>
      <c r="N580" s="19">
        <f>ROUND((J580-I580)-(K580+E580+H580),4)</f>
        <v/>
      </c>
    </row>
    <row r="581">
      <c r="A581" s="8" t="inlineStr">
        <is>
          <t>ТАЛАС ЭЙР</t>
        </is>
      </c>
      <c r="B581" s="8" t="inlineStr">
        <is>
          <t>2026-06</t>
        </is>
      </c>
      <c r="C581" s="14" t="n">
        <v>-1423740.01</v>
      </c>
      <c r="D581" s="14" t="n">
        <v>-860021.8</v>
      </c>
      <c r="E581" s="14" t="n">
        <v>563718.21</v>
      </c>
      <c r="F581" s="14" t="n">
        <v>1374104.83</v>
      </c>
      <c r="G581" s="14" t="n">
        <v>751612.37</v>
      </c>
      <c r="H581" s="14" t="n">
        <v>-622492.46</v>
      </c>
      <c r="I581" s="14" t="n">
        <v>-49635.17999999993</v>
      </c>
      <c r="J581" s="14" t="n">
        <v>-108409.4300000001</v>
      </c>
      <c r="K581" s="14" t="n">
        <v>0</v>
      </c>
      <c r="L581" s="8" t="b">
        <v>0</v>
      </c>
      <c r="M581" s="14" t="n">
        <v>0</v>
      </c>
      <c r="N581" s="19">
        <f>ROUND((J581-I581)-(K581+E581+H581),4)</f>
        <v/>
      </c>
    </row>
    <row r="582">
      <c r="A582" s="8" t="inlineStr">
        <is>
          <t>ТАЛАС ЭЙР</t>
        </is>
      </c>
      <c r="B582" s="8" t="inlineStr">
        <is>
          <t>2026-07</t>
        </is>
      </c>
      <c r="C582" s="14" t="n">
        <v>-860021.8</v>
      </c>
      <c r="D582" s="14" t="n">
        <v>-931557.45</v>
      </c>
      <c r="E582" s="14" t="n">
        <v>-71535.64999999999</v>
      </c>
      <c r="F582" s="14" t="n">
        <v>751612.3699999999</v>
      </c>
      <c r="G582" s="14" t="n">
        <v>1028548.02</v>
      </c>
      <c r="H582" s="14" t="n">
        <v>276935.65</v>
      </c>
      <c r="I582" s="14" t="n">
        <v>-108409.4300000002</v>
      </c>
      <c r="J582" s="14" t="n">
        <v>96990.56999999983</v>
      </c>
      <c r="K582" s="14" t="n">
        <v>1.164153218269348e-10</v>
      </c>
      <c r="L582" s="8" t="b">
        <v>0</v>
      </c>
      <c r="M582" s="14" t="n">
        <v>0</v>
      </c>
      <c r="N582" s="19">
        <f>ROUND((J582-I582)-(K582+E582+H582),4)</f>
        <v/>
      </c>
    </row>
    <row r="583">
      <c r="A583" s="8" t="inlineStr">
        <is>
          <t>ТЯНЬ-ШАНЬ ЭКСПРЕСС</t>
        </is>
      </c>
      <c r="B583" s="8" t="inlineStr">
        <is>
          <t>2026-01</t>
        </is>
      </c>
      <c r="C583" s="14" t="n">
        <v>-894996.03</v>
      </c>
      <c r="D583" s="14" t="n">
        <v>-1141518.69</v>
      </c>
      <c r="E583" s="14" t="n">
        <v>-246522.66</v>
      </c>
      <c r="F583" s="14" t="n">
        <v>894996.0299999999</v>
      </c>
      <c r="G583" s="14" t="n">
        <v>1141518.69</v>
      </c>
      <c r="H583" s="14" t="n">
        <v>246522.66</v>
      </c>
      <c r="I583" s="14" t="n">
        <v>-1.164153218269348e-10</v>
      </c>
      <c r="J583" s="14" t="n">
        <v>0</v>
      </c>
      <c r="K583" s="14" t="n">
        <v>0</v>
      </c>
      <c r="L583" s="8" t="b">
        <v>0</v>
      </c>
      <c r="M583" s="14" t="n">
        <v>0</v>
      </c>
      <c r="N583" s="19">
        <f>ROUND((J583-I583)-(K583+E583+H583),4)</f>
        <v/>
      </c>
    </row>
    <row r="584">
      <c r="A584" s="8" t="inlineStr">
        <is>
          <t>ТЯНЬ-ШАНЬ ЭКСПРЕСС</t>
        </is>
      </c>
      <c r="B584" s="8" t="inlineStr">
        <is>
          <t>2026-02</t>
        </is>
      </c>
      <c r="C584" s="14" t="n">
        <v>-1141518.69</v>
      </c>
      <c r="D584" s="14" t="n">
        <v>-2069135.48</v>
      </c>
      <c r="E584" s="14" t="n">
        <v>-927616.79</v>
      </c>
      <c r="F584" s="14" t="n">
        <v>1141518.69</v>
      </c>
      <c r="G584" s="14" t="n">
        <v>2082252.48</v>
      </c>
      <c r="H584" s="14" t="n">
        <v>940733.79</v>
      </c>
      <c r="I584" s="14" t="n">
        <v>2.328306436538696e-10</v>
      </c>
      <c r="J584" s="14" t="n">
        <v>13117.00000000023</v>
      </c>
      <c r="K584" s="14" t="n">
        <v>0</v>
      </c>
      <c r="L584" s="8" t="b">
        <v>0</v>
      </c>
      <c r="M584" s="14" t="n">
        <v>0</v>
      </c>
      <c r="N584" s="19">
        <f>ROUND((J584-I584)-(K584+E584+H584),4)</f>
        <v/>
      </c>
    </row>
    <row r="585">
      <c r="A585" s="8" t="inlineStr">
        <is>
          <t>ТЯНЬ-ШАНЬ ЭКСПРЕСС</t>
        </is>
      </c>
      <c r="B585" s="8" t="inlineStr">
        <is>
          <t>2026-03</t>
        </is>
      </c>
      <c r="C585" s="14" t="n">
        <v>-2069135.48</v>
      </c>
      <c r="D585" s="14" t="n">
        <v>-2635675.74</v>
      </c>
      <c r="E585" s="14" t="n">
        <v>-566540.26</v>
      </c>
      <c r="F585" s="14" t="n">
        <v>2082252.479999999</v>
      </c>
      <c r="G585" s="14" t="n">
        <v>2292188.869999999</v>
      </c>
      <c r="H585" s="14" t="n">
        <v>209936.39</v>
      </c>
      <c r="I585" s="14" t="n">
        <v>13116.99999999907</v>
      </c>
      <c r="J585" s="14" t="n">
        <v>-343486.870000001</v>
      </c>
      <c r="K585" s="14" t="n">
        <v>0</v>
      </c>
      <c r="L585" s="8" t="b">
        <v>0</v>
      </c>
      <c r="M585" s="14" t="n">
        <v>0</v>
      </c>
      <c r="N585" s="19">
        <f>ROUND((J585-I585)-(K585+E585+H585),4)</f>
        <v/>
      </c>
    </row>
    <row r="586">
      <c r="A586" s="8" t="inlineStr">
        <is>
          <t>ТЯНЬ-ШАНЬ ЭКСПРЕСС</t>
        </is>
      </c>
      <c r="B586" s="8" t="inlineStr">
        <is>
          <t>2026-04</t>
        </is>
      </c>
      <c r="C586" s="14" t="n">
        <v>-2635675.74</v>
      </c>
      <c r="D586" s="14" t="n">
        <v>-2220489.26</v>
      </c>
      <c r="E586" s="14" t="n">
        <v>415186.48</v>
      </c>
      <c r="F586" s="14" t="n">
        <v>2292188.87</v>
      </c>
      <c r="G586" s="14" t="n">
        <v>1744114.15</v>
      </c>
      <c r="H586" s="14" t="n">
        <v>-548074.72</v>
      </c>
      <c r="I586" s="14" t="n">
        <v>-343486.8700000001</v>
      </c>
      <c r="J586" s="14" t="n">
        <v>-476375.1099999999</v>
      </c>
      <c r="K586" s="14" t="n">
        <v>4.656612873077393e-10</v>
      </c>
      <c r="L586" s="8" t="b">
        <v>0</v>
      </c>
      <c r="M586" s="14" t="n">
        <v>0</v>
      </c>
      <c r="N586" s="19">
        <f>ROUND((J586-I586)-(K586+E586+H586),4)</f>
        <v/>
      </c>
    </row>
    <row r="587">
      <c r="A587" s="8" t="inlineStr">
        <is>
          <t>ТЯНЬ-ШАНЬ ЭКСПРЕСС</t>
        </is>
      </c>
      <c r="B587" s="8" t="inlineStr">
        <is>
          <t>2026-05</t>
        </is>
      </c>
      <c r="C587" s="14" t="n">
        <v>-2220489.26</v>
      </c>
      <c r="D587" s="14" t="n">
        <v>-1956418.86</v>
      </c>
      <c r="E587" s="14" t="n">
        <v>264070.4</v>
      </c>
      <c r="F587" s="14" t="n">
        <v>1744114.15</v>
      </c>
      <c r="G587" s="14" t="n">
        <v>1469518.87</v>
      </c>
      <c r="H587" s="14" t="n">
        <v>-274595.28</v>
      </c>
      <c r="I587" s="14" t="n">
        <v>-476375.1099999999</v>
      </c>
      <c r="J587" s="14" t="n">
        <v>-486899.9900000002</v>
      </c>
      <c r="K587" s="14" t="n">
        <v>-2.328306436538696e-10</v>
      </c>
      <c r="L587" s="8" t="b">
        <v>0</v>
      </c>
      <c r="M587" s="14" t="n">
        <v>0</v>
      </c>
      <c r="N587" s="19">
        <f>ROUND((J587-I587)-(K587+E587+H587),4)</f>
        <v/>
      </c>
    </row>
    <row r="588">
      <c r="A588" s="8" t="inlineStr">
        <is>
          <t>ТЯНЬ-ШАНЬ ЭКСПРЕСС</t>
        </is>
      </c>
      <c r="B588" s="8" t="inlineStr">
        <is>
          <t>2026-06</t>
        </is>
      </c>
      <c r="C588" s="14" t="n">
        <v>-1956418.86</v>
      </c>
      <c r="D588" s="14" t="n">
        <v>-1418977.66</v>
      </c>
      <c r="E588" s="14" t="n">
        <v>537441.2</v>
      </c>
      <c r="F588" s="14" t="n">
        <v>1469518.87</v>
      </c>
      <c r="G588" s="14" t="n">
        <v>698692.2099999998</v>
      </c>
      <c r="H588" s="14" t="n">
        <v>-770826.66</v>
      </c>
      <c r="I588" s="14" t="n">
        <v>-486899.9900000002</v>
      </c>
      <c r="J588" s="14" t="n">
        <v>-720285.4500000001</v>
      </c>
      <c r="K588" s="14" t="n">
        <v>2.328306436538696e-10</v>
      </c>
      <c r="L588" s="8" t="b">
        <v>0</v>
      </c>
      <c r="M588" s="14" t="n">
        <v>0</v>
      </c>
      <c r="N588" s="19">
        <f>ROUND((J588-I588)-(K588+E588+H588),4)</f>
        <v/>
      </c>
    </row>
    <row r="589">
      <c r="A589" s="8" t="inlineStr">
        <is>
          <t>ТЯНЬ-ШАНЬ ЭКСПРЕСС</t>
        </is>
      </c>
      <c r="B589" s="8" t="inlineStr">
        <is>
          <t>2026-07</t>
        </is>
      </c>
      <c r="C589" s="14" t="n">
        <v>-1418977.66</v>
      </c>
      <c r="D589" s="14" t="n">
        <v>-1442704.17</v>
      </c>
      <c r="E589" s="14" t="n">
        <v>-23726.50999999997</v>
      </c>
      <c r="F589" s="14" t="n">
        <v>698692.2099999998</v>
      </c>
      <c r="G589" s="14" t="n">
        <v>808309.3399999999</v>
      </c>
      <c r="H589" s="14" t="n">
        <v>109617.13</v>
      </c>
      <c r="I589" s="14" t="n">
        <v>-720285.4500000001</v>
      </c>
      <c r="J589" s="14" t="n">
        <v>-634394.8300000001</v>
      </c>
      <c r="K589" s="14" t="n">
        <v>0</v>
      </c>
      <c r="L589" s="8" t="b">
        <v>0</v>
      </c>
      <c r="M589" s="14" t="n">
        <v>0</v>
      </c>
      <c r="N589" s="19">
        <f>ROUND((J589-I589)-(K589+E589+H589),4)</f>
        <v/>
      </c>
    </row>
    <row r="590">
      <c r="A590" s="8" t="inlineStr">
        <is>
          <t>Тянь-Шань Тур</t>
        </is>
      </c>
      <c r="B590" s="8" t="inlineStr">
        <is>
          <t>2026-01</t>
        </is>
      </c>
      <c r="C590" s="14" t="n">
        <v>230853.12</v>
      </c>
      <c r="D590" s="14" t="n">
        <v>-323084.79</v>
      </c>
      <c r="E590" s="14" t="n">
        <v>-553937.91</v>
      </c>
      <c r="F590" s="14" t="n">
        <v>-230853.12</v>
      </c>
      <c r="G590" s="14" t="n">
        <v>314084.79</v>
      </c>
      <c r="H590" s="14" t="n">
        <v>544937.91</v>
      </c>
      <c r="I590" s="14" t="n">
        <v>0</v>
      </c>
      <c r="J590" s="14" t="n">
        <v>-8999.999999999942</v>
      </c>
      <c r="K590" s="14" t="n">
        <v>5.820766091346741e-11</v>
      </c>
      <c r="L590" s="8" t="b">
        <v>0</v>
      </c>
      <c r="M590" s="14" t="n">
        <v>0</v>
      </c>
      <c r="N590" s="19">
        <f>ROUND((J590-I590)-(K590+E590+H590),4)</f>
        <v/>
      </c>
    </row>
    <row r="591">
      <c r="A591" s="8" t="inlineStr">
        <is>
          <t>Тянь-Шань Тур</t>
        </is>
      </c>
      <c r="B591" s="8" t="inlineStr">
        <is>
          <t>2026-02</t>
        </is>
      </c>
      <c r="C591" s="14" t="n">
        <v>-323084.79</v>
      </c>
      <c r="D591" s="14" t="n">
        <v>-81848.16</v>
      </c>
      <c r="E591" s="14" t="n">
        <v>241236.63</v>
      </c>
      <c r="F591" s="14" t="n">
        <v>314084.7900000001</v>
      </c>
      <c r="G591" s="14" t="n">
        <v>72218.16000000003</v>
      </c>
      <c r="H591" s="14" t="n">
        <v>-241866.6300000001</v>
      </c>
      <c r="I591" s="14" t="n">
        <v>-8999.999999999884</v>
      </c>
      <c r="J591" s="14" t="n">
        <v>-9629.999999999971</v>
      </c>
      <c r="K591" s="14" t="n">
        <v>-2.91038304567337e-11</v>
      </c>
      <c r="L591" s="8" t="b">
        <v>0</v>
      </c>
      <c r="M591" s="14" t="n">
        <v>0</v>
      </c>
      <c r="N591" s="19">
        <f>ROUND((J591-I591)-(K591+E591+H591),4)</f>
        <v/>
      </c>
    </row>
    <row r="592">
      <c r="A592" s="8" t="inlineStr">
        <is>
          <t>Тянь-Шань Тур</t>
        </is>
      </c>
      <c r="B592" s="8" t="inlineStr">
        <is>
          <t>2026-03</t>
        </is>
      </c>
      <c r="C592" s="14" t="n">
        <v>-81848.16</v>
      </c>
      <c r="D592" s="14" t="n">
        <v>-181558.58</v>
      </c>
      <c r="E592" s="14" t="n">
        <v>-99710.42</v>
      </c>
      <c r="F592" s="14" t="n">
        <v>72218.16000000012</v>
      </c>
      <c r="G592" s="14" t="n">
        <v>154874.6300000001</v>
      </c>
      <c r="H592" s="14" t="n">
        <v>82656.47</v>
      </c>
      <c r="I592" s="14" t="n">
        <v>-9629.999999999884</v>
      </c>
      <c r="J592" s="14" t="n">
        <v>-26683.94999999987</v>
      </c>
      <c r="K592" s="14" t="n">
        <v>2.91038304567337e-11</v>
      </c>
      <c r="L592" s="8" t="b">
        <v>0</v>
      </c>
      <c r="M592" s="14" t="n">
        <v>0</v>
      </c>
      <c r="N592" s="19">
        <f>ROUND((J592-I592)-(K592+E592+H592),4)</f>
        <v/>
      </c>
    </row>
    <row r="593">
      <c r="A593" s="8" t="inlineStr">
        <is>
          <t>Тянь-Шань Тур</t>
        </is>
      </c>
      <c r="B593" s="8" t="inlineStr">
        <is>
          <t>2026-06</t>
        </is>
      </c>
      <c r="C593" s="14" t="n">
        <v>-682561.67</v>
      </c>
      <c r="D593" s="14" t="n">
        <v>-222937.97</v>
      </c>
      <c r="E593" s="14" t="n">
        <v>459623.7</v>
      </c>
      <c r="F593" s="14" t="n">
        <v>655877.72</v>
      </c>
      <c r="G593" s="14" t="n">
        <v>196254.02</v>
      </c>
      <c r="H593" s="14" t="n">
        <v>-459623.7</v>
      </c>
      <c r="I593" s="14" t="n">
        <v>-26683.95000000007</v>
      </c>
      <c r="J593" s="14" t="n">
        <v>-26683.95000000004</v>
      </c>
      <c r="K593" s="14" t="n">
        <v>2.91038304567337e-11</v>
      </c>
      <c r="L593" s="8" t="b">
        <v>0</v>
      </c>
      <c r="M593" s="14" t="n">
        <v>-501003.0900000001</v>
      </c>
      <c r="N593" s="19">
        <f>ROUND((J593-I593)-(K593+E593+H593),4)</f>
        <v/>
      </c>
    </row>
    <row r="594">
      <c r="A594" s="8" t="inlineStr">
        <is>
          <t>Тянь-Шань Тур</t>
        </is>
      </c>
      <c r="B594" s="8" t="inlineStr">
        <is>
          <t>2026-07</t>
        </is>
      </c>
      <c r="C594" s="14" t="n">
        <v>-222937.97</v>
      </c>
      <c r="D594" s="14" t="n">
        <v>-330264.32</v>
      </c>
      <c r="E594" s="14" t="n">
        <v>-107326.35</v>
      </c>
      <c r="F594" s="14" t="n">
        <v>196254.02</v>
      </c>
      <c r="G594" s="14" t="n">
        <v>590138.3999999999</v>
      </c>
      <c r="H594" s="14" t="n">
        <v>393884.3799999999</v>
      </c>
      <c r="I594" s="14" t="n">
        <v>-26683.95000000004</v>
      </c>
      <c r="J594" s="14" t="n">
        <v>259874.0799999999</v>
      </c>
      <c r="K594" s="14" t="n">
        <v>-5.820766091346741e-11</v>
      </c>
      <c r="L594" s="8" t="b">
        <v>0</v>
      </c>
      <c r="M594" s="14" t="n">
        <v>0</v>
      </c>
      <c r="N594" s="19">
        <f>ROUND((J594-I594)-(K594+E594+H594),4)</f>
        <v/>
      </c>
    </row>
    <row r="595">
      <c r="A595" s="8" t="inlineStr">
        <is>
          <t>Урматов Эрлан Сагынович</t>
        </is>
      </c>
      <c r="B595" s="8" t="inlineStr">
        <is>
          <t>2026-01</t>
        </is>
      </c>
      <c r="C595" s="14" t="n">
        <v>0</v>
      </c>
      <c r="D595" s="14" t="n">
        <v>609009.15</v>
      </c>
      <c r="E595" s="14" t="n">
        <v>609009.15</v>
      </c>
      <c r="F595" s="14" t="n">
        <v>-8157.109999999986</v>
      </c>
      <c r="G595" s="14" t="n">
        <v>-617166.26</v>
      </c>
      <c r="H595" s="14" t="n">
        <v>-609009.15</v>
      </c>
      <c r="I595" s="14" t="n">
        <v>-8157.109999999986</v>
      </c>
      <c r="J595" s="14" t="n">
        <v>-8157.109999999986</v>
      </c>
      <c r="K595" s="14" t="n">
        <v>0</v>
      </c>
      <c r="L595" s="8" t="b">
        <v>0</v>
      </c>
      <c r="M595" s="14" t="n">
        <v>0</v>
      </c>
      <c r="N595" s="19">
        <f>ROUND((J595-I595)-(K595+E595+H595),4)</f>
        <v/>
      </c>
    </row>
    <row r="596">
      <c r="A596" s="8" t="inlineStr">
        <is>
          <t>Урматов Эрлан Сагынович</t>
        </is>
      </c>
      <c r="B596" s="8" t="inlineStr">
        <is>
          <t>2026-02</t>
        </is>
      </c>
      <c r="C596" s="14" t="n">
        <v>609009.15</v>
      </c>
      <c r="D596" s="14" t="n">
        <v>344093.13</v>
      </c>
      <c r="E596" s="14" t="n">
        <v>-264916.02</v>
      </c>
      <c r="F596" s="14" t="n">
        <v>-617166.26</v>
      </c>
      <c r="G596" s="14" t="n">
        <v>-352923.27</v>
      </c>
      <c r="H596" s="14" t="n">
        <v>264242.99</v>
      </c>
      <c r="I596" s="14" t="n">
        <v>-8157.109999999986</v>
      </c>
      <c r="J596" s="14" t="n">
        <v>-8830.139999999956</v>
      </c>
      <c r="K596" s="14" t="n">
        <v>0</v>
      </c>
      <c r="L596" s="8" t="b">
        <v>0</v>
      </c>
      <c r="M596" s="14" t="n">
        <v>0</v>
      </c>
      <c r="N596" s="19">
        <f>ROUND((J596-I596)-(K596+E596+H596),4)</f>
        <v/>
      </c>
    </row>
    <row r="597">
      <c r="A597" s="8" t="inlineStr">
        <is>
          <t>Урматов Эрлан Сагынович</t>
        </is>
      </c>
      <c r="B597" s="8" t="inlineStr">
        <is>
          <t>2026-03</t>
        </is>
      </c>
      <c r="C597" s="14" t="n">
        <v>344093.13</v>
      </c>
      <c r="D597" s="14" t="n">
        <v>290088.73</v>
      </c>
      <c r="E597" s="14" t="n">
        <v>-54004.39999999999</v>
      </c>
      <c r="F597" s="14" t="n">
        <v>-352923.2699999999</v>
      </c>
      <c r="G597" s="14" t="n">
        <v>-286322.99</v>
      </c>
      <c r="H597" s="14" t="n">
        <v>66600.27999999994</v>
      </c>
      <c r="I597" s="14" t="n">
        <v>-8830.139999999898</v>
      </c>
      <c r="J597" s="14" t="n">
        <v>3765.739999999991</v>
      </c>
      <c r="K597" s="14" t="n">
        <v>0</v>
      </c>
      <c r="L597" s="8" t="b">
        <v>0</v>
      </c>
      <c r="M597" s="14" t="n">
        <v>0</v>
      </c>
      <c r="N597" s="19">
        <f>ROUND((J597-I597)-(K597+E597+H597),4)</f>
        <v/>
      </c>
    </row>
    <row r="598">
      <c r="A598" s="8" t="inlineStr">
        <is>
          <t>Урматов Эрлан Сагынович</t>
        </is>
      </c>
      <c r="B598" s="8" t="inlineStr">
        <is>
          <t>2026-04</t>
        </is>
      </c>
      <c r="C598" s="14" t="n">
        <v>290088.73</v>
      </c>
      <c r="D598" s="14" t="n">
        <v>283464.89</v>
      </c>
      <c r="E598" s="14" t="n">
        <v>-6623.840000000007</v>
      </c>
      <c r="F598" s="14" t="n">
        <v>-286322.99</v>
      </c>
      <c r="G598" s="14" t="n">
        <v>-464699.15</v>
      </c>
      <c r="H598" s="14" t="n">
        <v>-178376.16</v>
      </c>
      <c r="I598" s="14" t="n">
        <v>3765.739999999991</v>
      </c>
      <c r="J598" s="14" t="n">
        <v>-181234.26</v>
      </c>
      <c r="K598" s="14" t="n">
        <v>5.820766091346741e-11</v>
      </c>
      <c r="L598" s="8" t="b">
        <v>0</v>
      </c>
      <c r="M598" s="14" t="n">
        <v>0</v>
      </c>
      <c r="N598" s="19">
        <f>ROUND((J598-I598)-(K598+E598+H598),4)</f>
        <v/>
      </c>
    </row>
    <row r="599">
      <c r="A599" s="8" t="inlineStr">
        <is>
          <t>Урматов Эрлан Сагынович</t>
        </is>
      </c>
      <c r="B599" s="8" t="inlineStr">
        <is>
          <t>2026-05</t>
        </is>
      </c>
      <c r="C599" s="14" t="n">
        <v>283464.89</v>
      </c>
      <c r="D599" s="14" t="n">
        <v>408249.29</v>
      </c>
      <c r="E599" s="14" t="n">
        <v>124784.4</v>
      </c>
      <c r="F599" s="14" t="n">
        <v>-464699.1499999998</v>
      </c>
      <c r="G599" s="14" t="n">
        <v>-589483.5499999998</v>
      </c>
      <c r="H599" s="14" t="n">
        <v>-124784.4</v>
      </c>
      <c r="I599" s="14" t="n">
        <v>-181234.2599999998</v>
      </c>
      <c r="J599" s="14" t="n">
        <v>-181234.2599999998</v>
      </c>
      <c r="K599" s="14" t="n">
        <v>-5.820766091346741e-11</v>
      </c>
      <c r="L599" s="8" t="b">
        <v>0</v>
      </c>
      <c r="M599" s="14" t="n">
        <v>0</v>
      </c>
      <c r="N599" s="19">
        <f>ROUND((J599-I599)-(K599+E599+H599),4)</f>
        <v/>
      </c>
    </row>
    <row r="600">
      <c r="A600" s="8" t="inlineStr">
        <is>
          <t>Урматов Эрлан Сагынович</t>
        </is>
      </c>
      <c r="B600" s="8" t="inlineStr">
        <is>
          <t>2026-06</t>
        </is>
      </c>
      <c r="C600" s="14" t="n">
        <v>408249.29</v>
      </c>
      <c r="D600" s="14" t="n">
        <v>-197208.16</v>
      </c>
      <c r="E600" s="14" t="n">
        <v>-605457.45</v>
      </c>
      <c r="F600" s="14" t="n">
        <v>-589483.5499999999</v>
      </c>
      <c r="G600" s="14" t="n">
        <v>-343102.3999999999</v>
      </c>
      <c r="H600" s="14" t="n">
        <v>246381.15</v>
      </c>
      <c r="I600" s="14" t="n">
        <v>-181234.26</v>
      </c>
      <c r="J600" s="14" t="n">
        <v>-540310.5599999999</v>
      </c>
      <c r="K600" s="14" t="n">
        <v>-2.91038304567337e-11</v>
      </c>
      <c r="L600" s="8" t="b">
        <v>0</v>
      </c>
      <c r="M600" s="14" t="n">
        <v>0</v>
      </c>
      <c r="N600" s="19">
        <f>ROUND((J600-I600)-(K600+E600+H600),4)</f>
        <v/>
      </c>
    </row>
    <row r="601">
      <c r="A601" s="8" t="inlineStr">
        <is>
          <t>Урматов Эрлан Сагынович</t>
        </is>
      </c>
      <c r="B601" s="8" t="inlineStr">
        <is>
          <t>2026-07</t>
        </is>
      </c>
      <c r="C601" s="14" t="n">
        <v>-197208.16</v>
      </c>
      <c r="D601" s="14" t="n">
        <v>-415384.01</v>
      </c>
      <c r="E601" s="14" t="n">
        <v>-218175.85</v>
      </c>
      <c r="F601" s="14" t="n">
        <v>-343102.3999999999</v>
      </c>
      <c r="G601" s="14" t="n">
        <v>-159553.8299999999</v>
      </c>
      <c r="H601" s="14" t="n">
        <v>183548.5699999999</v>
      </c>
      <c r="I601" s="14" t="n">
        <v>-540310.5599999999</v>
      </c>
      <c r="J601" s="14" t="n">
        <v>-574937.84</v>
      </c>
      <c r="K601" s="14" t="n">
        <v>0</v>
      </c>
      <c r="L601" s="8" t="b">
        <v>0</v>
      </c>
      <c r="M601" s="14" t="n">
        <v>0</v>
      </c>
      <c r="N601" s="19">
        <f>ROUND((J601-I601)-(K601+E601+H601),4)</f>
        <v/>
      </c>
    </row>
    <row r="602">
      <c r="A602" s="8" t="inlineStr">
        <is>
          <t>Урматова Айпери Нурбековна</t>
        </is>
      </c>
      <c r="B602" s="8" t="inlineStr">
        <is>
          <t>2026-01</t>
        </is>
      </c>
      <c r="C602" s="14" t="n">
        <v>0</v>
      </c>
      <c r="D602" s="14" t="n">
        <v>-397575.72</v>
      </c>
      <c r="E602" s="14" t="n">
        <v>-397575.72</v>
      </c>
      <c r="F602" s="14" t="n">
        <v>0</v>
      </c>
      <c r="G602" s="14" t="n">
        <v>286109.3799999999</v>
      </c>
      <c r="H602" s="14" t="n">
        <v>286109.3799999999</v>
      </c>
      <c r="I602" s="14" t="n">
        <v>0</v>
      </c>
      <c r="J602" s="14" t="n">
        <v>-111466.34</v>
      </c>
      <c r="K602" s="14" t="n">
        <v>5.820766091346741e-11</v>
      </c>
      <c r="L602" s="8" t="b">
        <v>0</v>
      </c>
      <c r="M602" s="14" t="n">
        <v>0</v>
      </c>
      <c r="N602" s="19">
        <f>ROUND((J602-I602)-(K602+E602+H602),4)</f>
        <v/>
      </c>
    </row>
    <row r="603">
      <c r="A603" s="8" t="inlineStr">
        <is>
          <t>Урматова Айпери Нурбековна</t>
        </is>
      </c>
      <c r="B603" s="8" t="inlineStr">
        <is>
          <t>2026-02</t>
        </is>
      </c>
      <c r="C603" s="14" t="n">
        <v>-397575.72</v>
      </c>
      <c r="D603" s="14" t="n">
        <v>67598.21000000001</v>
      </c>
      <c r="E603" s="14" t="n">
        <v>465173.93</v>
      </c>
      <c r="F603" s="14" t="n">
        <v>286109.38</v>
      </c>
      <c r="G603" s="14" t="n">
        <v>-179064.55</v>
      </c>
      <c r="H603" s="14" t="n">
        <v>-465173.93</v>
      </c>
      <c r="I603" s="14" t="n">
        <v>-111466.34</v>
      </c>
      <c r="J603" s="14" t="n">
        <v>-111466.34</v>
      </c>
      <c r="K603" s="14" t="n">
        <v>-1.455191522836685e-11</v>
      </c>
      <c r="L603" s="8" t="b">
        <v>0</v>
      </c>
      <c r="M603" s="14" t="n">
        <v>0</v>
      </c>
      <c r="N603" s="19">
        <f>ROUND((J603-I603)-(K603+E603+H603),4)</f>
        <v/>
      </c>
    </row>
    <row r="604">
      <c r="A604" s="8" t="inlineStr">
        <is>
          <t>Урматова Айпери Нурбековна</t>
        </is>
      </c>
      <c r="B604" s="8" t="inlineStr">
        <is>
          <t>2026-03</t>
        </is>
      </c>
      <c r="C604" s="14" t="n">
        <v>67598.21000000001</v>
      </c>
      <c r="D604" s="14" t="n">
        <v>-261964.19</v>
      </c>
      <c r="E604" s="14" t="n">
        <v>-329562.4</v>
      </c>
      <c r="F604" s="14" t="n">
        <v>-179064.5499999998</v>
      </c>
      <c r="G604" s="14" t="n">
        <v>205113.0900000001</v>
      </c>
      <c r="H604" s="14" t="n">
        <v>384177.6399999999</v>
      </c>
      <c r="I604" s="14" t="n">
        <v>-111466.3399999998</v>
      </c>
      <c r="J604" s="14" t="n">
        <v>-56851.09999999989</v>
      </c>
      <c r="K604" s="14" t="n">
        <v>-5.820766091346741e-11</v>
      </c>
      <c r="L604" s="8" t="b">
        <v>0</v>
      </c>
      <c r="M604" s="14" t="n">
        <v>0</v>
      </c>
      <c r="N604" s="19">
        <f>ROUND((J604-I604)-(K604+E604+H604),4)</f>
        <v/>
      </c>
    </row>
    <row r="605">
      <c r="A605" s="8" t="inlineStr">
        <is>
          <t>Урматова Айпери Нурбековна</t>
        </is>
      </c>
      <c r="B605" s="8" t="inlineStr">
        <is>
          <t>2026-04</t>
        </is>
      </c>
      <c r="C605" s="14" t="n">
        <v>-261964.19</v>
      </c>
      <c r="D605" s="14" t="n">
        <v>-927131.59</v>
      </c>
      <c r="E605" s="14" t="n">
        <v>-665167.4</v>
      </c>
      <c r="F605" s="14" t="n">
        <v>205113.0900000001</v>
      </c>
      <c r="G605" s="14" t="n">
        <v>399780.49</v>
      </c>
      <c r="H605" s="14" t="n">
        <v>194667.4</v>
      </c>
      <c r="I605" s="14" t="n">
        <v>-56851.09999999995</v>
      </c>
      <c r="J605" s="14" t="n">
        <v>-527351.0999999999</v>
      </c>
      <c r="K605" s="14" t="n">
        <v>1.164153218269348e-10</v>
      </c>
      <c r="L605" s="8" t="b">
        <v>0</v>
      </c>
      <c r="M605" s="14" t="n">
        <v>0</v>
      </c>
      <c r="N605" s="19">
        <f>ROUND((J605-I605)-(K605+E605+H605),4)</f>
        <v/>
      </c>
    </row>
    <row r="606">
      <c r="A606" s="8" t="inlineStr">
        <is>
          <t>Урматова Айпери Нурбековна</t>
        </is>
      </c>
      <c r="B606" s="8" t="inlineStr">
        <is>
          <t>2026-05</t>
        </is>
      </c>
      <c r="C606" s="14" t="n">
        <v>-927131.59</v>
      </c>
      <c r="D606" s="14" t="n">
        <v>-883166.85</v>
      </c>
      <c r="E606" s="14" t="n">
        <v>43964.73999999999</v>
      </c>
      <c r="F606" s="14" t="n">
        <v>399780.49</v>
      </c>
      <c r="G606" s="14" t="n">
        <v>357077.35</v>
      </c>
      <c r="H606" s="14" t="n">
        <v>-42703.13999999996</v>
      </c>
      <c r="I606" s="14" t="n">
        <v>-527351.1</v>
      </c>
      <c r="J606" s="14" t="n">
        <v>-526089.5</v>
      </c>
      <c r="K606" s="14" t="n">
        <v>0</v>
      </c>
      <c r="L606" s="8" t="b">
        <v>0</v>
      </c>
      <c r="M606" s="14" t="n">
        <v>0</v>
      </c>
      <c r="N606" s="19">
        <f>ROUND((J606-I606)-(K606+E606+H606),4)</f>
        <v/>
      </c>
    </row>
    <row r="607">
      <c r="A607" s="8" t="inlineStr">
        <is>
          <t>Урматова Айпери Нурбековна</t>
        </is>
      </c>
      <c r="B607" s="8" t="inlineStr">
        <is>
          <t>2026-06</t>
        </is>
      </c>
      <c r="C607" s="14" t="n">
        <v>-883166.85</v>
      </c>
      <c r="D607" s="14" t="n">
        <v>-400983.57</v>
      </c>
      <c r="E607" s="14" t="n">
        <v>482183.28</v>
      </c>
      <c r="F607" s="14" t="n">
        <v>357077.3500000001</v>
      </c>
      <c r="G607" s="14" t="n">
        <v>-125105.9299999999</v>
      </c>
      <c r="H607" s="14" t="n">
        <v>-482183.28</v>
      </c>
      <c r="I607" s="14" t="n">
        <v>-526089.4999999999</v>
      </c>
      <c r="J607" s="14" t="n">
        <v>-526089.4999999999</v>
      </c>
      <c r="K607" s="14" t="n">
        <v>-5.820766091346741e-11</v>
      </c>
      <c r="L607" s="8" t="b">
        <v>0</v>
      </c>
      <c r="M607" s="14" t="n">
        <v>0</v>
      </c>
      <c r="N607" s="19">
        <f>ROUND((J607-I607)-(K607+E607+H607),4)</f>
        <v/>
      </c>
    </row>
    <row r="608">
      <c r="A608" s="8" t="inlineStr">
        <is>
          <t>Урматова Айпери Нурбековна</t>
        </is>
      </c>
      <c r="B608" s="8" t="inlineStr">
        <is>
          <t>2026-07</t>
        </is>
      </c>
      <c r="C608" s="14" t="n">
        <v>-400983.57</v>
      </c>
      <c r="D608" s="14" t="n">
        <v>-359457.59</v>
      </c>
      <c r="E608" s="14" t="n">
        <v>41525.98000000003</v>
      </c>
      <c r="F608" s="14" t="n">
        <v>-125105.9299999999</v>
      </c>
      <c r="G608" s="14" t="n">
        <v>-166261.5099999999</v>
      </c>
      <c r="H608" s="14" t="n">
        <v>-41155.58000000002</v>
      </c>
      <c r="I608" s="14" t="n">
        <v>-526089.4999999999</v>
      </c>
      <c r="J608" s="14" t="n">
        <v>-525719.0999999999</v>
      </c>
      <c r="K608" s="14" t="n">
        <v>-5.820766091346741e-11</v>
      </c>
      <c r="L608" s="8" t="b">
        <v>0</v>
      </c>
      <c r="M608" s="14" t="n">
        <v>0</v>
      </c>
      <c r="N608" s="19">
        <f>ROUND((J608-I608)-(K608+E608+H608),4)</f>
        <v/>
      </c>
    </row>
    <row r="609">
      <c r="A609" s="8" t="inlineStr">
        <is>
          <t>ЧОЛПОН ТУР</t>
        </is>
      </c>
      <c r="B609" s="8" t="inlineStr">
        <is>
          <t>2026-01</t>
        </is>
      </c>
      <c r="C609" s="14" t="n">
        <v>675634.37</v>
      </c>
      <c r="D609" s="14" t="n">
        <v>534751.53</v>
      </c>
      <c r="E609" s="14" t="n">
        <v>-140882.84</v>
      </c>
      <c r="F609" s="14" t="n">
        <v>-1080224.21</v>
      </c>
      <c r="G609" s="14" t="n">
        <v>-1426041.37</v>
      </c>
      <c r="H609" s="14" t="n">
        <v>-345817.16</v>
      </c>
      <c r="I609" s="14" t="n">
        <v>-404589.84</v>
      </c>
      <c r="J609" s="14" t="n">
        <v>-891289.8399999999</v>
      </c>
      <c r="K609" s="14" t="n">
        <v>0</v>
      </c>
      <c r="L609" s="8" t="b">
        <v>0</v>
      </c>
      <c r="M609" s="14" t="n">
        <v>0</v>
      </c>
      <c r="N609" s="19">
        <f>ROUND((J609-I609)-(K609+E609+H609),4)</f>
        <v/>
      </c>
    </row>
    <row r="610">
      <c r="A610" s="8" t="inlineStr">
        <is>
          <t>ЧОЛПОН ТУР</t>
        </is>
      </c>
      <c r="B610" s="8" t="inlineStr">
        <is>
          <t>2026-02</t>
        </is>
      </c>
      <c r="C610" s="14" t="n">
        <v>534751.53</v>
      </c>
      <c r="D610" s="14" t="n">
        <v>1042363.9</v>
      </c>
      <c r="E610" s="14" t="n">
        <v>507612.37</v>
      </c>
      <c r="F610" s="14" t="n">
        <v>-1426041.37</v>
      </c>
      <c r="G610" s="14" t="n">
        <v>-1902788.13</v>
      </c>
      <c r="H610" s="14" t="n">
        <v>-476746.7600000001</v>
      </c>
      <c r="I610" s="14" t="n">
        <v>-891289.8399999999</v>
      </c>
      <c r="J610" s="14" t="n">
        <v>-860424.2299999999</v>
      </c>
      <c r="K610" s="14" t="n">
        <v>0</v>
      </c>
      <c r="L610" s="8" t="b">
        <v>0</v>
      </c>
      <c r="M610" s="14" t="n">
        <v>0</v>
      </c>
      <c r="N610" s="19">
        <f>ROUND((J610-I610)-(K610+E610+H610),4)</f>
        <v/>
      </c>
    </row>
    <row r="611">
      <c r="A611" s="8" t="inlineStr">
        <is>
          <t>ЧОЛПОН ТУР</t>
        </is>
      </c>
      <c r="B611" s="8" t="inlineStr">
        <is>
          <t>2026-05</t>
        </is>
      </c>
      <c r="C611" s="14" t="n">
        <v>884320.47</v>
      </c>
      <c r="D611" s="14" t="n">
        <v>1064788.29</v>
      </c>
      <c r="E611" s="14" t="n">
        <v>180467.82</v>
      </c>
      <c r="F611" s="14" t="n">
        <v>-2145420.99</v>
      </c>
      <c r="G611" s="14" t="n">
        <v>-2518954.22</v>
      </c>
      <c r="H611" s="14" t="n">
        <v>-373533.23</v>
      </c>
      <c r="I611" s="14" t="n">
        <v>-1261100.52</v>
      </c>
      <c r="J611" s="14" t="n">
        <v>-1454165.93</v>
      </c>
      <c r="K611" s="14" t="n">
        <v>0</v>
      </c>
      <c r="L611" s="8" t="b">
        <v>0</v>
      </c>
      <c r="M611" s="14" t="n">
        <v>-158043.4300000001</v>
      </c>
      <c r="N611" s="19">
        <f>ROUND((J611-I611)-(K611+E611+H611),4)</f>
        <v/>
      </c>
    </row>
    <row r="612">
      <c r="A612" s="8" t="inlineStr">
        <is>
          <t>ЧОЛПОН ТУР</t>
        </is>
      </c>
      <c r="B612" s="8" t="inlineStr">
        <is>
          <t>2026-06</t>
        </is>
      </c>
      <c r="C612" s="14" t="n">
        <v>1064788.29</v>
      </c>
      <c r="D612" s="14" t="n">
        <v>1492878.49</v>
      </c>
      <c r="E612" s="14" t="n">
        <v>428090.2</v>
      </c>
      <c r="F612" s="14" t="n">
        <v>-2518954.22</v>
      </c>
      <c r="G612" s="14" t="n">
        <v>-2947301.46</v>
      </c>
      <c r="H612" s="14" t="n">
        <v>-428347.24</v>
      </c>
      <c r="I612" s="14" t="n">
        <v>-1454165.93</v>
      </c>
      <c r="J612" s="14" t="n">
        <v>-1454422.97</v>
      </c>
      <c r="K612" s="14" t="n">
        <v>0</v>
      </c>
      <c r="L612" s="8" t="b">
        <v>0</v>
      </c>
      <c r="M612" s="14" t="n">
        <v>0</v>
      </c>
      <c r="N612" s="19">
        <f>ROUND((J612-I612)-(K612+E612+H612),4)</f>
        <v/>
      </c>
    </row>
    <row r="613">
      <c r="A613" s="8" t="inlineStr">
        <is>
          <t>ЧОЛПОН ТУР</t>
        </is>
      </c>
      <c r="B613" s="8" t="inlineStr">
        <is>
          <t>2026-07</t>
        </is>
      </c>
      <c r="C613" s="14" t="n">
        <v>1492878.49</v>
      </c>
      <c r="D613" s="14" t="n">
        <v>1062221.6</v>
      </c>
      <c r="E613" s="14" t="n">
        <v>-430656.89</v>
      </c>
      <c r="F613" s="14" t="n">
        <v>-2947301.459999999</v>
      </c>
      <c r="G613" s="14" t="n">
        <v>-2789360.68</v>
      </c>
      <c r="H613" s="14" t="n">
        <v>157940.7799999999</v>
      </c>
      <c r="I613" s="14" t="n">
        <v>-1454422.97</v>
      </c>
      <c r="J613" s="14" t="n">
        <v>-1727139.08</v>
      </c>
      <c r="K613" s="14" t="n">
        <v>0</v>
      </c>
      <c r="L613" s="8" t="b">
        <v>0</v>
      </c>
      <c r="M613" s="14" t="n">
        <v>0</v>
      </c>
      <c r="N613" s="19">
        <f>ROUND((J613-I613)-(K613+E613+H613),4)</f>
        <v/>
      </c>
    </row>
    <row r="614">
      <c r="A614" s="8" t="inlineStr">
        <is>
          <t>ЧОЛПОН ЭЙР</t>
        </is>
      </c>
      <c r="B614" s="8" t="inlineStr">
        <is>
          <t>2026-01</t>
        </is>
      </c>
      <c r="C614" s="14" t="n">
        <v>-801686.12</v>
      </c>
      <c r="D614" s="14" t="n">
        <v>-1089613.1</v>
      </c>
      <c r="E614" s="14" t="n">
        <v>-287926.98</v>
      </c>
      <c r="F614" s="14" t="n">
        <v>749266.04</v>
      </c>
      <c r="G614" s="14" t="n">
        <v>1037304.57</v>
      </c>
      <c r="H614" s="14" t="n">
        <v>288038.53</v>
      </c>
      <c r="I614" s="14" t="n">
        <v>-52420.07999999996</v>
      </c>
      <c r="J614" s="14" t="n">
        <v>-52308.53000000003</v>
      </c>
      <c r="K614" s="14" t="n">
        <v>0</v>
      </c>
      <c r="L614" s="8" t="b">
        <v>0</v>
      </c>
      <c r="M614" s="14" t="n">
        <v>0</v>
      </c>
      <c r="N614" s="19">
        <f>ROUND((J614-I614)-(K614+E614+H614),4)</f>
        <v/>
      </c>
    </row>
    <row r="615">
      <c r="A615" s="8" t="inlineStr">
        <is>
          <t>ЧОЛПОН ЭЙР</t>
        </is>
      </c>
      <c r="B615" s="8" t="inlineStr">
        <is>
          <t>2026-02</t>
        </is>
      </c>
      <c r="C615" s="14" t="n">
        <v>-1089613.1</v>
      </c>
      <c r="D615" s="14" t="n">
        <v>-1135195.18</v>
      </c>
      <c r="E615" s="14" t="n">
        <v>-45582.08000000002</v>
      </c>
      <c r="F615" s="14" t="n">
        <v>1037304.57</v>
      </c>
      <c r="G615" s="14" t="n">
        <v>1036617.45</v>
      </c>
      <c r="H615" s="14" t="n">
        <v>-687.1199999999953</v>
      </c>
      <c r="I615" s="14" t="n">
        <v>-52308.53000000014</v>
      </c>
      <c r="J615" s="14" t="n">
        <v>-98577.72999999998</v>
      </c>
      <c r="K615" s="14" t="n">
        <v>2.328306436538696e-10</v>
      </c>
      <c r="L615" s="8" t="b">
        <v>0</v>
      </c>
      <c r="M615" s="14" t="n">
        <v>0</v>
      </c>
      <c r="N615" s="19">
        <f>ROUND((J615-I615)-(K615+E615+H615),4)</f>
        <v/>
      </c>
    </row>
    <row r="616">
      <c r="A616" s="8" t="inlineStr">
        <is>
          <t>ЧОЛПОН ЭЙР</t>
        </is>
      </c>
      <c r="B616" s="8" t="inlineStr">
        <is>
          <t>2026-03</t>
        </is>
      </c>
      <c r="C616" s="14" t="n">
        <v>-1135195.18</v>
      </c>
      <c r="D616" s="14" t="n">
        <v>-1496328.28</v>
      </c>
      <c r="E616" s="14" t="n">
        <v>-361133.1</v>
      </c>
      <c r="F616" s="14" t="n">
        <v>1036617.45</v>
      </c>
      <c r="G616" s="14" t="n">
        <v>1388200.47</v>
      </c>
      <c r="H616" s="14" t="n">
        <v>351583.02</v>
      </c>
      <c r="I616" s="14" t="n">
        <v>-98577.72999999998</v>
      </c>
      <c r="J616" s="14" t="n">
        <v>-108127.8100000001</v>
      </c>
      <c r="K616" s="14" t="n">
        <v>0</v>
      </c>
      <c r="L616" s="8" t="b">
        <v>0</v>
      </c>
      <c r="M616" s="14" t="n">
        <v>0</v>
      </c>
      <c r="N616" s="19">
        <f>ROUND((J616-I616)-(K616+E616+H616),4)</f>
        <v/>
      </c>
    </row>
    <row r="617">
      <c r="A617" s="8" t="inlineStr">
        <is>
          <t>ЧОЛПОН ЭЙР</t>
        </is>
      </c>
      <c r="B617" s="8" t="inlineStr">
        <is>
          <t>2026-04</t>
        </is>
      </c>
      <c r="C617" s="14" t="n">
        <v>-1496328.28</v>
      </c>
      <c r="D617" s="14" t="n">
        <v>-1757226.2</v>
      </c>
      <c r="E617" s="14" t="n">
        <v>-260897.92</v>
      </c>
      <c r="F617" s="14" t="n">
        <v>1388200.47</v>
      </c>
      <c r="G617" s="14" t="n">
        <v>1318598.39</v>
      </c>
      <c r="H617" s="14" t="n">
        <v>-69602.07999999999</v>
      </c>
      <c r="I617" s="14" t="n">
        <v>-108127.8099999998</v>
      </c>
      <c r="J617" s="14" t="n">
        <v>-438627.8099999998</v>
      </c>
      <c r="K617" s="14" t="n">
        <v>0</v>
      </c>
      <c r="L617" s="8" t="b">
        <v>0</v>
      </c>
      <c r="M617" s="14" t="n">
        <v>0</v>
      </c>
      <c r="N617" s="19">
        <f>ROUND((J617-I617)-(K617+E617+H617),4)</f>
        <v/>
      </c>
    </row>
    <row r="618">
      <c r="A618" s="8" t="inlineStr">
        <is>
          <t>ЧОЛПОН ЭЙР</t>
        </is>
      </c>
      <c r="B618" s="8" t="inlineStr">
        <is>
          <t>2026-05</t>
        </is>
      </c>
      <c r="C618" s="14" t="n">
        <v>-1757226.2</v>
      </c>
      <c r="D618" s="14" t="n">
        <v>-1525671.64</v>
      </c>
      <c r="E618" s="14" t="n">
        <v>231554.56</v>
      </c>
      <c r="F618" s="14" t="n">
        <v>1318598.39</v>
      </c>
      <c r="G618" s="14" t="n">
        <v>1201548.25</v>
      </c>
      <c r="H618" s="14" t="n">
        <v>-117050.1399999999</v>
      </c>
      <c r="I618" s="14" t="n">
        <v>-438627.8100000001</v>
      </c>
      <c r="J618" s="14" t="n">
        <v>-324123.3899999999</v>
      </c>
      <c r="K618" s="14" t="n">
        <v>0</v>
      </c>
      <c r="L618" s="8" t="b">
        <v>0</v>
      </c>
      <c r="M618" s="14" t="n">
        <v>0</v>
      </c>
      <c r="N618" s="19">
        <f>ROUND((J618-I618)-(K618+E618+H618),4)</f>
        <v/>
      </c>
    </row>
    <row r="619">
      <c r="A619" s="8" t="inlineStr">
        <is>
          <t>ЧОЛПОН ЭЙР</t>
        </is>
      </c>
      <c r="B619" s="8" t="inlineStr">
        <is>
          <t>2026-06</t>
        </is>
      </c>
      <c r="C619" s="14" t="n">
        <v>-1525671.64</v>
      </c>
      <c r="D619" s="14" t="n">
        <v>-751719.29</v>
      </c>
      <c r="E619" s="14" t="n">
        <v>773952.35</v>
      </c>
      <c r="F619" s="14" t="n">
        <v>1201548.25</v>
      </c>
      <c r="G619" s="14" t="n">
        <v>411171.9</v>
      </c>
      <c r="H619" s="14" t="n">
        <v>-790376.35</v>
      </c>
      <c r="I619" s="14" t="n">
        <v>-324123.3899999999</v>
      </c>
      <c r="J619" s="14" t="n">
        <v>-340547.39</v>
      </c>
      <c r="K619" s="14" t="n">
        <v>-1.164153218269348e-10</v>
      </c>
      <c r="L619" s="8" t="b">
        <v>0</v>
      </c>
      <c r="M619" s="14" t="n">
        <v>0</v>
      </c>
      <c r="N619" s="19">
        <f>ROUND((J619-I619)-(K619+E619+H619),4)</f>
        <v/>
      </c>
    </row>
    <row r="620">
      <c r="A620" s="8" t="inlineStr">
        <is>
          <t>ЧОЛПОН ЭЙР</t>
        </is>
      </c>
      <c r="B620" s="8" t="inlineStr">
        <is>
          <t>2026-07</t>
        </is>
      </c>
      <c r="C620" s="14" t="n">
        <v>-1035028.28</v>
      </c>
      <c r="D620" s="14" t="n">
        <v>-927588.96</v>
      </c>
      <c r="E620" s="14" t="n">
        <v>107439.32</v>
      </c>
      <c r="F620" s="14" t="n">
        <v>411171.9000000001</v>
      </c>
      <c r="G620" s="14" t="n">
        <v>283889.4000000001</v>
      </c>
      <c r="H620" s="14" t="n">
        <v>-127282.5</v>
      </c>
      <c r="I620" s="14" t="n">
        <v>-623856.3799999999</v>
      </c>
      <c r="J620" s="14" t="n">
        <v>-643699.5599999998</v>
      </c>
      <c r="K620" s="14" t="n">
        <v>1.164153218269348e-10</v>
      </c>
      <c r="L620" s="8" t="b">
        <v>1</v>
      </c>
      <c r="M620" s="14" t="n">
        <v>-283308.99</v>
      </c>
      <c r="N620" s="19">
        <f>ROUND((J620-I620)-(K620+E620+H620),4)</f>
        <v/>
      </c>
    </row>
    <row r="621">
      <c r="A621" s="8" t="inlineStr">
        <is>
          <t>Чолпон Тревел</t>
        </is>
      </c>
      <c r="B621" s="8" t="inlineStr">
        <is>
          <t>2026-01</t>
        </is>
      </c>
      <c r="C621" s="14" t="n">
        <v>0</v>
      </c>
      <c r="D621" s="14" t="n">
        <v>102343.28</v>
      </c>
      <c r="E621" s="14" t="n">
        <v>102343.28</v>
      </c>
      <c r="F621" s="14" t="n">
        <v>0</v>
      </c>
      <c r="G621" s="14" t="n">
        <v>-102343.28</v>
      </c>
      <c r="H621" s="14" t="n">
        <v>-102343.28</v>
      </c>
      <c r="I621" s="14" t="n">
        <v>0</v>
      </c>
      <c r="J621" s="14" t="n">
        <v>0</v>
      </c>
      <c r="K621" s="14" t="n">
        <v>0</v>
      </c>
      <c r="L621" s="8" t="b">
        <v>0</v>
      </c>
      <c r="M621" s="14" t="n">
        <v>0</v>
      </c>
      <c r="N621" s="19">
        <f>ROUND((J621-I621)-(K621+E621+H621),4)</f>
        <v/>
      </c>
    </row>
    <row r="622">
      <c r="A622" s="8" t="inlineStr">
        <is>
          <t>Чолпон Тревел</t>
        </is>
      </c>
      <c r="B622" s="8" t="inlineStr">
        <is>
          <t>2026-02</t>
        </is>
      </c>
      <c r="C622" s="14" t="n">
        <v>102343.28</v>
      </c>
      <c r="D622" s="14" t="n">
        <v>-200965.58</v>
      </c>
      <c r="E622" s="14" t="n">
        <v>-303308.86</v>
      </c>
      <c r="F622" s="14" t="n">
        <v>-102343.28</v>
      </c>
      <c r="G622" s="14" t="n">
        <v>200965.58</v>
      </c>
      <c r="H622" s="14" t="n">
        <v>303308.86</v>
      </c>
      <c r="I622" s="14" t="n">
        <v>0</v>
      </c>
      <c r="J622" s="14" t="n">
        <v>0</v>
      </c>
      <c r="K622" s="14" t="n">
        <v>0</v>
      </c>
      <c r="L622" s="8" t="b">
        <v>0</v>
      </c>
      <c r="M622" s="14" t="n">
        <v>0</v>
      </c>
      <c r="N622" s="19">
        <f>ROUND((J622-I622)-(K622+E622+H622),4)</f>
        <v/>
      </c>
    </row>
    <row r="623">
      <c r="A623" s="8" t="inlineStr">
        <is>
          <t>Чолпон Тревел</t>
        </is>
      </c>
      <c r="B623" s="8" t="inlineStr">
        <is>
          <t>2026-03</t>
        </is>
      </c>
      <c r="C623" s="14" t="n">
        <v>-200965.58</v>
      </c>
      <c r="D623" s="14" t="n">
        <v>-432467.17</v>
      </c>
      <c r="E623" s="14" t="n">
        <v>-231501.59</v>
      </c>
      <c r="F623" s="14" t="n">
        <v>200965.5800000001</v>
      </c>
      <c r="G623" s="14" t="n">
        <v>432467.17</v>
      </c>
      <c r="H623" s="14" t="n">
        <v>231501.59</v>
      </c>
      <c r="I623" s="14" t="n">
        <v>8.731149137020111e-11</v>
      </c>
      <c r="J623" s="14" t="n">
        <v>5.820766091346741e-11</v>
      </c>
      <c r="K623" s="14" t="n">
        <v>0</v>
      </c>
      <c r="L623" s="8" t="b">
        <v>0</v>
      </c>
      <c r="M623" s="14" t="n">
        <v>0</v>
      </c>
      <c r="N623" s="19">
        <f>ROUND((J623-I623)-(K623+E623+H623),4)</f>
        <v/>
      </c>
    </row>
    <row r="624">
      <c r="A624" s="8" t="inlineStr">
        <is>
          <t>Чолпон Тревел</t>
        </is>
      </c>
      <c r="B624" s="8" t="inlineStr">
        <is>
          <t>2026-06</t>
        </is>
      </c>
      <c r="C624" s="14" t="n">
        <v>-505137.16</v>
      </c>
      <c r="D624" s="14" t="n">
        <v>-34185.7</v>
      </c>
      <c r="E624" s="14" t="n">
        <v>470951.46</v>
      </c>
      <c r="F624" s="14" t="n">
        <v>505312.0599999999</v>
      </c>
      <c r="G624" s="14" t="n">
        <v>-226039.4</v>
      </c>
      <c r="H624" s="14" t="n">
        <v>-731351.46</v>
      </c>
      <c r="I624" s="14" t="n">
        <v>174.8999999999651</v>
      </c>
      <c r="J624" s="14" t="n">
        <v>-260225.1</v>
      </c>
      <c r="K624" s="14" t="n">
        <v>-4.365574568510056e-11</v>
      </c>
      <c r="L624" s="8" t="b">
        <v>0</v>
      </c>
      <c r="M624" s="14" t="n">
        <v>-72669.98999999999</v>
      </c>
      <c r="N624" s="19">
        <f>ROUND((J624-I624)-(K624+E624+H624),4)</f>
        <v/>
      </c>
    </row>
    <row r="625">
      <c r="A625" s="8" t="inlineStr">
        <is>
          <t>Чолпон Тревел</t>
        </is>
      </c>
      <c r="B625" s="8" t="inlineStr">
        <is>
          <t>2026-07</t>
        </is>
      </c>
      <c r="C625" s="14" t="n">
        <v>-34185.7</v>
      </c>
      <c r="D625" s="14" t="n">
        <v>-48892.8</v>
      </c>
      <c r="E625" s="14" t="n">
        <v>-14707.1</v>
      </c>
      <c r="F625" s="14" t="n">
        <v>-226039.4</v>
      </c>
      <c r="G625" s="14" t="n">
        <v>-211332.3</v>
      </c>
      <c r="H625" s="14" t="n">
        <v>14707.09999999998</v>
      </c>
      <c r="I625" s="14" t="n">
        <v>-260225.1</v>
      </c>
      <c r="J625" s="14" t="n">
        <v>-260225.1</v>
      </c>
      <c r="K625" s="14" t="n">
        <v>0</v>
      </c>
      <c r="L625" s="8" t="b">
        <v>0</v>
      </c>
      <c r="M625" s="14" t="n">
        <v>0</v>
      </c>
      <c r="N625" s="19">
        <f>ROUND((J625-I625)-(K625+E625+H625),4)</f>
        <v/>
      </c>
    </row>
    <row r="626">
      <c r="A626" s="8" t="inlineStr">
        <is>
          <t>Чынар уулу Эмир</t>
        </is>
      </c>
      <c r="B626" s="8" t="inlineStr">
        <is>
          <t>2026-01</t>
        </is>
      </c>
      <c r="C626" s="14" t="n">
        <v>-275815.92</v>
      </c>
      <c r="D626" s="14" t="n">
        <v>-50955.04</v>
      </c>
      <c r="E626" s="14" t="n">
        <v>224860.88</v>
      </c>
      <c r="F626" s="14" t="n">
        <v>275815.92</v>
      </c>
      <c r="G626" s="14" t="n">
        <v>50955.04000000004</v>
      </c>
      <c r="H626" s="14" t="n">
        <v>-224860.88</v>
      </c>
      <c r="I626" s="14" t="n">
        <v>5.820766091346741e-11</v>
      </c>
      <c r="J626" s="14" t="n">
        <v>3.637978807091713e-11</v>
      </c>
      <c r="K626" s="14" t="n">
        <v>-2.182787284255028e-11</v>
      </c>
      <c r="L626" s="8" t="b">
        <v>0</v>
      </c>
      <c r="M626" s="14" t="n">
        <v>0</v>
      </c>
      <c r="N626" s="19">
        <f>ROUND((J626-I626)-(K626+E626+H626),4)</f>
        <v/>
      </c>
    </row>
    <row r="627">
      <c r="A627" s="8" t="inlineStr">
        <is>
          <t>Чынар уулу Эмир</t>
        </is>
      </c>
      <c r="B627" s="8" t="inlineStr">
        <is>
          <t>2026-04</t>
        </is>
      </c>
      <c r="C627" s="14" t="n">
        <v>-1242772.64</v>
      </c>
      <c r="D627" s="14" t="n">
        <v>-1160665.94</v>
      </c>
      <c r="E627" s="14" t="n">
        <v>82106.7</v>
      </c>
      <c r="F627" s="14" t="n">
        <v>878953.78</v>
      </c>
      <c r="G627" s="14" t="n">
        <v>796847.0800000001</v>
      </c>
      <c r="H627" s="14" t="n">
        <v>-82106.7</v>
      </c>
      <c r="I627" s="14" t="n">
        <v>-363818.8599999999</v>
      </c>
      <c r="J627" s="14" t="n">
        <v>-363818.8599999999</v>
      </c>
      <c r="K627" s="14" t="n">
        <v>0</v>
      </c>
      <c r="L627" s="8" t="b">
        <v>0</v>
      </c>
      <c r="M627" s="14" t="n">
        <v>-1191817.6</v>
      </c>
      <c r="N627" s="19">
        <f>ROUND((J627-I627)-(K627+E627+H627),4)</f>
        <v/>
      </c>
    </row>
    <row r="628">
      <c r="A628" s="8" t="inlineStr">
        <is>
          <t>Чынар уулу Эмир</t>
        </is>
      </c>
      <c r="B628" s="8" t="inlineStr">
        <is>
          <t>2026-05</t>
        </is>
      </c>
      <c r="C628" s="14" t="n">
        <v>-1155865.94</v>
      </c>
      <c r="D628" s="14" t="n">
        <v>-576025.51</v>
      </c>
      <c r="E628" s="14" t="n">
        <v>579840.4300000001</v>
      </c>
      <c r="F628" s="14" t="n">
        <v>796847.0800000001</v>
      </c>
      <c r="G628" s="14" t="n">
        <v>242541.0500000001</v>
      </c>
      <c r="H628" s="14" t="n">
        <v>-554306.03</v>
      </c>
      <c r="I628" s="14" t="n">
        <v>-359018.8599999999</v>
      </c>
      <c r="J628" s="14" t="n">
        <v>-333484.46</v>
      </c>
      <c r="K628" s="14" t="n">
        <v>-1.164153218269348e-10</v>
      </c>
      <c r="L628" s="8" t="b">
        <v>1</v>
      </c>
      <c r="M628" s="14" t="n">
        <v>4800</v>
      </c>
      <c r="N628" s="19">
        <f>ROUND((J628-I628)-(K628+E628+H628),4)</f>
        <v/>
      </c>
    </row>
    <row r="629">
      <c r="A629" s="8" t="inlineStr">
        <is>
          <t>Чынар уулу Эмир</t>
        </is>
      </c>
      <c r="B629" s="8" t="inlineStr">
        <is>
          <t>2026-06</t>
        </is>
      </c>
      <c r="C629" s="14" t="n">
        <v>-576025.51</v>
      </c>
      <c r="D629" s="14" t="n">
        <v>-184063</v>
      </c>
      <c r="E629" s="14" t="n">
        <v>391962.51</v>
      </c>
      <c r="F629" s="14" t="n">
        <v>242541.05</v>
      </c>
      <c r="G629" s="14" t="n">
        <v>-166563.04</v>
      </c>
      <c r="H629" s="14" t="n">
        <v>-409104.09</v>
      </c>
      <c r="I629" s="14" t="n">
        <v>-333484.46</v>
      </c>
      <c r="J629" s="14" t="n">
        <v>-350626.04</v>
      </c>
      <c r="K629" s="14" t="n">
        <v>0</v>
      </c>
      <c r="L629" s="8" t="b">
        <v>0</v>
      </c>
      <c r="M629" s="14" t="n">
        <v>0</v>
      </c>
      <c r="N629" s="19">
        <f>ROUND((J629-I629)-(K629+E629+H629),4)</f>
        <v/>
      </c>
    </row>
    <row r="630">
      <c r="A630" s="8" t="inlineStr">
        <is>
          <t>Чынар уулу Эмир</t>
        </is>
      </c>
      <c r="B630" s="8" t="inlineStr">
        <is>
          <t>2026-07</t>
        </is>
      </c>
      <c r="C630" s="14" t="n">
        <v>-184063</v>
      </c>
      <c r="D630" s="14" t="n">
        <v>-282656</v>
      </c>
      <c r="E630" s="14" t="n">
        <v>-98593</v>
      </c>
      <c r="F630" s="14" t="n">
        <v>-166563.0399999999</v>
      </c>
      <c r="G630" s="14" t="n">
        <v>-113128.0399999999</v>
      </c>
      <c r="H630" s="14" t="n">
        <v>53435</v>
      </c>
      <c r="I630" s="14" t="n">
        <v>-350626.0399999999</v>
      </c>
      <c r="J630" s="14" t="n">
        <v>-395784.0399999999</v>
      </c>
      <c r="K630" s="14" t="n">
        <v>0</v>
      </c>
      <c r="L630" s="8" t="b">
        <v>0</v>
      </c>
      <c r="M630" s="14" t="n">
        <v>0</v>
      </c>
      <c r="N630" s="19">
        <f>ROUND((J630-I630)-(K630+E630+H630),4)</f>
        <v/>
      </c>
    </row>
    <row r="631">
      <c r="A631" s="8" t="inlineStr">
        <is>
          <t>Чынарова Бурул Джолдошовна</t>
        </is>
      </c>
      <c r="B631" s="8" t="inlineStr">
        <is>
          <t>2026-01</t>
        </is>
      </c>
      <c r="C631" s="14" t="n">
        <v>0</v>
      </c>
      <c r="D631" s="14" t="n">
        <v>400416.19</v>
      </c>
      <c r="E631" s="14" t="n">
        <v>400416.19</v>
      </c>
      <c r="F631" s="14" t="n">
        <v>0</v>
      </c>
      <c r="G631" s="14" t="n">
        <v>-397444.64</v>
      </c>
      <c r="H631" s="14" t="n">
        <v>-397444.64</v>
      </c>
      <c r="I631" s="14" t="n">
        <v>0</v>
      </c>
      <c r="J631" s="14" t="n">
        <v>2971.549999999988</v>
      </c>
      <c r="K631" s="14" t="n">
        <v>0</v>
      </c>
      <c r="L631" s="8" t="b">
        <v>0</v>
      </c>
      <c r="M631" s="14" t="n">
        <v>0</v>
      </c>
      <c r="N631" s="19">
        <f>ROUND((J631-I631)-(K631+E631+H631),4)</f>
        <v/>
      </c>
    </row>
    <row r="632">
      <c r="A632" s="8" t="inlineStr">
        <is>
          <t>Чынарова Бурул Джолдошовна</t>
        </is>
      </c>
      <c r="B632" s="8" t="inlineStr">
        <is>
          <t>2026-02</t>
        </is>
      </c>
      <c r="C632" s="14" t="n">
        <v>400416.19</v>
      </c>
      <c r="D632" s="14" t="n">
        <v>-350370.96</v>
      </c>
      <c r="E632" s="14" t="n">
        <v>-750787.15</v>
      </c>
      <c r="F632" s="14" t="n">
        <v>-397444.6400000001</v>
      </c>
      <c r="G632" s="14" t="n">
        <v>353246.16</v>
      </c>
      <c r="H632" s="14" t="n">
        <v>750690.8</v>
      </c>
      <c r="I632" s="14" t="n">
        <v>2971.54999999993</v>
      </c>
      <c r="J632" s="14" t="n">
        <v>2875.199999999953</v>
      </c>
      <c r="K632" s="14" t="n">
        <v>0</v>
      </c>
      <c r="L632" s="8" t="b">
        <v>0</v>
      </c>
      <c r="M632" s="14" t="n">
        <v>0</v>
      </c>
      <c r="N632" s="19">
        <f>ROUND((J632-I632)-(K632+E632+H632),4)</f>
        <v/>
      </c>
    </row>
    <row r="633">
      <c r="A633" s="8" t="inlineStr">
        <is>
          <t>Чынарова Бурул Джолдошовна</t>
        </is>
      </c>
      <c r="B633" s="8" t="inlineStr">
        <is>
          <t>2026-03</t>
        </is>
      </c>
      <c r="C633" s="14" t="n">
        <v>-350370.96</v>
      </c>
      <c r="D633" s="14" t="n">
        <v>-697542.13</v>
      </c>
      <c r="E633" s="14" t="n">
        <v>-347171.17</v>
      </c>
      <c r="F633" s="14" t="n">
        <v>353246.1599999999</v>
      </c>
      <c r="G633" s="14" t="n">
        <v>581771.0299999999</v>
      </c>
      <c r="H633" s="14" t="n">
        <v>228524.87</v>
      </c>
      <c r="I633" s="14" t="n">
        <v>2875.199999999895</v>
      </c>
      <c r="J633" s="14" t="n">
        <v>-115771.1000000001</v>
      </c>
      <c r="K633" s="14" t="n">
        <v>1.164153218269348e-10</v>
      </c>
      <c r="L633" s="8" t="b">
        <v>0</v>
      </c>
      <c r="M633" s="14" t="n">
        <v>0</v>
      </c>
      <c r="N633" s="19">
        <f>ROUND((J633-I633)-(K633+E633+H633),4)</f>
        <v/>
      </c>
    </row>
    <row r="634">
      <c r="A634" s="8" t="inlineStr">
        <is>
          <t>Чынарова Бурул Джолдошовна</t>
        </is>
      </c>
      <c r="B634" s="8" t="inlineStr">
        <is>
          <t>2026-04</t>
        </is>
      </c>
      <c r="C634" s="14" t="n">
        <v>-697542.13</v>
      </c>
      <c r="D634" s="14" t="n">
        <v>-636123.85</v>
      </c>
      <c r="E634" s="14" t="n">
        <v>61418.27999999999</v>
      </c>
      <c r="F634" s="14" t="n">
        <v>581771.03</v>
      </c>
      <c r="G634" s="14" t="n">
        <v>520352.75</v>
      </c>
      <c r="H634" s="14" t="n">
        <v>-61418.28</v>
      </c>
      <c r="I634" s="14" t="n">
        <v>-115771.1</v>
      </c>
      <c r="J634" s="14" t="n">
        <v>-115771.1</v>
      </c>
      <c r="K634" s="14" t="n">
        <v>0</v>
      </c>
      <c r="L634" s="8" t="b">
        <v>0</v>
      </c>
      <c r="M634" s="14" t="n">
        <v>0</v>
      </c>
      <c r="N634" s="19">
        <f>ROUND((J634-I634)-(K634+E634+H634),4)</f>
        <v/>
      </c>
    </row>
    <row r="635">
      <c r="A635" s="8" t="inlineStr">
        <is>
          <t>Чынарова Бурул Джолдошовна</t>
        </is>
      </c>
      <c r="B635" s="8" t="inlineStr">
        <is>
          <t>2026-05</t>
        </is>
      </c>
      <c r="C635" s="14" t="n">
        <v>-636123.85</v>
      </c>
      <c r="D635" s="14" t="n">
        <v>-385742.43</v>
      </c>
      <c r="E635" s="14" t="n">
        <v>250381.42</v>
      </c>
      <c r="F635" s="14" t="n">
        <v>520352.7499999999</v>
      </c>
      <c r="G635" s="14" t="n">
        <v>147818.65</v>
      </c>
      <c r="H635" s="14" t="n">
        <v>-372534.1</v>
      </c>
      <c r="I635" s="14" t="n">
        <v>-115771.1</v>
      </c>
      <c r="J635" s="14" t="n">
        <v>-237923.78</v>
      </c>
      <c r="K635" s="14" t="n">
        <v>0</v>
      </c>
      <c r="L635" s="8" t="b">
        <v>0</v>
      </c>
      <c r="M635" s="14" t="n">
        <v>0</v>
      </c>
      <c r="N635" s="19">
        <f>ROUND((J635-I635)-(K635+E635+H635),4)</f>
        <v/>
      </c>
    </row>
    <row r="636">
      <c r="A636" s="8" t="inlineStr">
        <is>
          <t>Чынарова Бурул Джолдошовна</t>
        </is>
      </c>
      <c r="B636" s="8" t="inlineStr">
        <is>
          <t>2026-06</t>
        </is>
      </c>
      <c r="C636" s="14" t="n">
        <v>-385742.43</v>
      </c>
      <c r="D636" s="14" t="n">
        <v>-173006.38</v>
      </c>
      <c r="E636" s="14" t="n">
        <v>212736.05</v>
      </c>
      <c r="F636" s="14" t="n">
        <v>147818.6499999997</v>
      </c>
      <c r="G636" s="14" t="n">
        <v>-85491.42000000039</v>
      </c>
      <c r="H636" s="14" t="n">
        <v>-233310.0700000001</v>
      </c>
      <c r="I636" s="14" t="n">
        <v>-237923.7800000003</v>
      </c>
      <c r="J636" s="14" t="n">
        <v>-258497.8000000004</v>
      </c>
      <c r="K636" s="14" t="n">
        <v>0</v>
      </c>
      <c r="L636" s="8" t="b">
        <v>0</v>
      </c>
      <c r="M636" s="14" t="n">
        <v>0</v>
      </c>
      <c r="N636" s="19">
        <f>ROUND((J636-I636)-(K636+E636+H636),4)</f>
        <v/>
      </c>
    </row>
    <row r="637">
      <c r="A637" s="8" t="inlineStr">
        <is>
          <t>Чынарова Бурул Джолдошовна</t>
        </is>
      </c>
      <c r="B637" s="8" t="inlineStr">
        <is>
          <t>2026-07</t>
        </is>
      </c>
      <c r="C637" s="14" t="n">
        <v>-173006.38</v>
      </c>
      <c r="D637" s="14" t="n">
        <v>208940.87</v>
      </c>
      <c r="E637" s="14" t="n">
        <v>381947.25</v>
      </c>
      <c r="F637" s="14" t="n">
        <v>-85491.41999999993</v>
      </c>
      <c r="G637" s="14" t="n">
        <v>-460695.9499999998</v>
      </c>
      <c r="H637" s="14" t="n">
        <v>-375204.5299999999</v>
      </c>
      <c r="I637" s="14" t="n">
        <v>-258497.7999999999</v>
      </c>
      <c r="J637" s="14" t="n">
        <v>-251755.0799999998</v>
      </c>
      <c r="K637" s="14" t="n">
        <v>0</v>
      </c>
      <c r="L637" s="8" t="b">
        <v>0</v>
      </c>
      <c r="M637" s="14" t="n">
        <v>0</v>
      </c>
      <c r="N637" s="19">
        <f>ROUND((J637-I637)-(K637+E637+H637),4)</f>
        <v/>
      </c>
    </row>
    <row r="638">
      <c r="A638" s="8" t="inlineStr">
        <is>
          <t>ЫЙЫК ЭКСПРЕСС</t>
        </is>
      </c>
      <c r="B638" s="8" t="inlineStr">
        <is>
          <t>2026-01</t>
        </is>
      </c>
      <c r="C638" s="14" t="n">
        <v>0</v>
      </c>
      <c r="D638" s="14" t="n">
        <v>-940688.08</v>
      </c>
      <c r="E638" s="14" t="n">
        <v>-940688.08</v>
      </c>
      <c r="F638" s="14" t="n">
        <v>-386181.95</v>
      </c>
      <c r="G638" s="14" t="n">
        <v>788062.7900000003</v>
      </c>
      <c r="H638" s="14" t="n">
        <v>1174244.74</v>
      </c>
      <c r="I638" s="14" t="n">
        <v>-386181.95</v>
      </c>
      <c r="J638" s="14" t="n">
        <v>-152625.2899999997</v>
      </c>
      <c r="K638" s="14" t="n">
        <v>0</v>
      </c>
      <c r="L638" s="8" t="b">
        <v>0</v>
      </c>
      <c r="M638" s="14" t="n">
        <v>0</v>
      </c>
      <c r="N638" s="19">
        <f>ROUND((J638-I638)-(K638+E638+H638),4)</f>
        <v/>
      </c>
    </row>
    <row r="639">
      <c r="A639" s="8" t="inlineStr">
        <is>
          <t>ЫЙЫК ЭКСПРЕСС</t>
        </is>
      </c>
      <c r="B639" s="8" t="inlineStr">
        <is>
          <t>2026-02</t>
        </is>
      </c>
      <c r="C639" s="14" t="n">
        <v>-935888.08</v>
      </c>
      <c r="D639" s="14" t="n">
        <v>-470892.78</v>
      </c>
      <c r="E639" s="14" t="n">
        <v>464995.3</v>
      </c>
      <c r="F639" s="14" t="n">
        <v>788062.7900000003</v>
      </c>
      <c r="G639" s="14" t="n">
        <v>323067.4900000002</v>
      </c>
      <c r="H639" s="14" t="n">
        <v>-464995.3</v>
      </c>
      <c r="I639" s="14" t="n">
        <v>-147825.2899999997</v>
      </c>
      <c r="J639" s="14" t="n">
        <v>-147825.2899999999</v>
      </c>
      <c r="K639" s="14" t="n">
        <v>-5.820766091346741e-11</v>
      </c>
      <c r="L639" s="8" t="b">
        <v>1</v>
      </c>
      <c r="M639" s="14" t="n">
        <v>4800</v>
      </c>
      <c r="N639" s="19">
        <f>ROUND((J639-I639)-(K639+E639+H639),4)</f>
        <v/>
      </c>
    </row>
    <row r="640">
      <c r="A640" s="8" t="inlineStr">
        <is>
          <t>ЫЙЫК ЭКСПРЕСС</t>
        </is>
      </c>
      <c r="B640" s="8" t="inlineStr">
        <is>
          <t>2026-03</t>
        </is>
      </c>
      <c r="C640" s="14" t="n">
        <v>-470892.78</v>
      </c>
      <c r="D640" s="14" t="n">
        <v>-1047616.87</v>
      </c>
      <c r="E640" s="14" t="n">
        <v>-576724.0900000001</v>
      </c>
      <c r="F640" s="14" t="n">
        <v>323067.4899999995</v>
      </c>
      <c r="G640" s="14" t="n">
        <v>894432.8899999997</v>
      </c>
      <c r="H640" s="14" t="n">
        <v>571365.4000000001</v>
      </c>
      <c r="I640" s="14" t="n">
        <v>-147825.2900000005</v>
      </c>
      <c r="J640" s="14" t="n">
        <v>-153183.9800000003</v>
      </c>
      <c r="K640" s="14" t="n">
        <v>1.164153218269348e-10</v>
      </c>
      <c r="L640" s="8" t="b">
        <v>0</v>
      </c>
      <c r="M640" s="14" t="n">
        <v>0</v>
      </c>
      <c r="N640" s="19">
        <f>ROUND((J640-I640)-(K640+E640+H640),4)</f>
        <v/>
      </c>
    </row>
    <row r="641">
      <c r="A641" s="8" t="inlineStr">
        <is>
          <t>ЫЙЫК ЭКСПРЕСС</t>
        </is>
      </c>
      <c r="B641" s="8" t="inlineStr">
        <is>
          <t>2026-04</t>
        </is>
      </c>
      <c r="C641" s="14" t="n">
        <v>-1047616.87</v>
      </c>
      <c r="D641" s="14" t="n">
        <v>-1743760.55</v>
      </c>
      <c r="E641" s="14" t="n">
        <v>-696143.6800000001</v>
      </c>
      <c r="F641" s="14" t="n">
        <v>894432.8900000001</v>
      </c>
      <c r="G641" s="14" t="n">
        <v>1453203.57</v>
      </c>
      <c r="H641" s="14" t="n">
        <v>558770.6799999999</v>
      </c>
      <c r="I641" s="14" t="n">
        <v>-153183.9799999999</v>
      </c>
      <c r="J641" s="14" t="n">
        <v>-290556.98</v>
      </c>
      <c r="K641" s="14" t="n">
        <v>0</v>
      </c>
      <c r="L641" s="8" t="b">
        <v>0</v>
      </c>
      <c r="M641" s="14" t="n">
        <v>0</v>
      </c>
      <c r="N641" s="19">
        <f>ROUND((J641-I641)-(K641+E641+H641),4)</f>
        <v/>
      </c>
    </row>
    <row r="642">
      <c r="A642" s="8" t="inlineStr">
        <is>
          <t>ЫЙЫК ЭКСПРЕСС</t>
        </is>
      </c>
      <c r="B642" s="8" t="inlineStr">
        <is>
          <t>2026-05</t>
        </is>
      </c>
      <c r="C642" s="14" t="n">
        <v>-1743760.55</v>
      </c>
      <c r="D642" s="14" t="n">
        <v>-1190672.65</v>
      </c>
      <c r="E642" s="14" t="n">
        <v>553087.9</v>
      </c>
      <c r="F642" s="14" t="n">
        <v>1453203.57</v>
      </c>
      <c r="G642" s="14" t="n">
        <v>921687.2299999997</v>
      </c>
      <c r="H642" s="14" t="n">
        <v>-531516.3400000001</v>
      </c>
      <c r="I642" s="14" t="n">
        <v>-290556.9800000002</v>
      </c>
      <c r="J642" s="14" t="n">
        <v>-268985.4200000002</v>
      </c>
      <c r="K642" s="14" t="n">
        <v>0</v>
      </c>
      <c r="L642" s="8" t="b">
        <v>0</v>
      </c>
      <c r="M642" s="14" t="n">
        <v>0</v>
      </c>
      <c r="N642" s="19">
        <f>ROUND((J642-I642)-(K642+E642+H642),4)</f>
        <v/>
      </c>
    </row>
    <row r="643">
      <c r="A643" s="8" t="inlineStr">
        <is>
          <t>ЫЙЫК ЭКСПРЕСС</t>
        </is>
      </c>
      <c r="B643" s="8" t="inlineStr">
        <is>
          <t>2026-06</t>
        </is>
      </c>
      <c r="C643" s="14" t="n">
        <v>-1190672.65</v>
      </c>
      <c r="D643" s="14" t="n">
        <v>-1065785.55</v>
      </c>
      <c r="E643" s="14" t="n">
        <v>124887.1</v>
      </c>
      <c r="F643" s="14" t="n">
        <v>921687.2299999999</v>
      </c>
      <c r="G643" s="14" t="n">
        <v>599387.3699999999</v>
      </c>
      <c r="H643" s="14" t="n">
        <v>-322299.86</v>
      </c>
      <c r="I643" s="14" t="n">
        <v>-268985.42</v>
      </c>
      <c r="J643" s="14" t="n">
        <v>-466398.1800000002</v>
      </c>
      <c r="K643" s="14" t="n">
        <v>-2.328306436538696e-10</v>
      </c>
      <c r="L643" s="8" t="b">
        <v>0</v>
      </c>
      <c r="M643" s="14" t="n">
        <v>0</v>
      </c>
      <c r="N643" s="19">
        <f>ROUND((J643-I643)-(K643+E643+H643),4)</f>
        <v/>
      </c>
    </row>
    <row r="644">
      <c r="A644" s="8" t="inlineStr">
        <is>
          <t>ЫЙЫК ЭКСПРЕСС</t>
        </is>
      </c>
      <c r="B644" s="8" t="inlineStr">
        <is>
          <t>2026-07</t>
        </is>
      </c>
      <c r="C644" s="14" t="n">
        <v>-1065785.55</v>
      </c>
      <c r="D644" s="14" t="n">
        <v>-784767.3100000001</v>
      </c>
      <c r="E644" s="14" t="n">
        <v>281018.24</v>
      </c>
      <c r="F644" s="14" t="n">
        <v>599387.3700000001</v>
      </c>
      <c r="G644" s="14" t="n">
        <v>328369.1300000001</v>
      </c>
      <c r="H644" s="14" t="n">
        <v>-271018.24</v>
      </c>
      <c r="I644" s="14" t="n">
        <v>-466398.1799999999</v>
      </c>
      <c r="J644" s="14" t="n">
        <v>-456398.18</v>
      </c>
      <c r="K644" s="14" t="n">
        <v>0</v>
      </c>
      <c r="L644" s="8" t="b">
        <v>0</v>
      </c>
      <c r="M644" s="14" t="n">
        <v>0</v>
      </c>
      <c r="N644" s="19">
        <f>ROUND((J644-I644)-(K644+E644+H644),4)</f>
        <v/>
      </c>
    </row>
    <row r="645">
      <c r="A645" s="8" t="inlineStr">
        <is>
          <t>Ыйык Авиакасса</t>
        </is>
      </c>
      <c r="B645" s="8" t="inlineStr">
        <is>
          <t>2026-01</t>
        </is>
      </c>
      <c r="C645" s="14" t="n">
        <v>0</v>
      </c>
      <c r="D645" s="14" t="n">
        <v>-122646.12</v>
      </c>
      <c r="E645" s="14" t="n">
        <v>-122646.12</v>
      </c>
      <c r="F645" s="14" t="n">
        <v>0</v>
      </c>
      <c r="G645" s="14" t="n">
        <v>122646.12</v>
      </c>
      <c r="H645" s="14" t="n">
        <v>122646.12</v>
      </c>
      <c r="I645" s="14" t="n">
        <v>0</v>
      </c>
      <c r="J645" s="14" t="n">
        <v>0</v>
      </c>
      <c r="K645" s="14" t="n">
        <v>0</v>
      </c>
      <c r="L645" s="8" t="b">
        <v>0</v>
      </c>
      <c r="M645" s="14" t="n">
        <v>0</v>
      </c>
      <c r="N645" s="19">
        <f>ROUND((J645-I645)-(K645+E645+H645),4)</f>
        <v/>
      </c>
    </row>
    <row r="646">
      <c r="A646" s="8" t="inlineStr">
        <is>
          <t>Ыйык Авиакасса</t>
        </is>
      </c>
      <c r="B646" s="8" t="inlineStr">
        <is>
          <t>2026-02</t>
        </is>
      </c>
      <c r="C646" s="14" t="n">
        <v>-122646.12</v>
      </c>
      <c r="D646" s="14" t="n">
        <v>-318607.99</v>
      </c>
      <c r="E646" s="14" t="n">
        <v>-195961.87</v>
      </c>
      <c r="F646" s="14" t="n">
        <v>122646.12</v>
      </c>
      <c r="G646" s="14" t="n">
        <v>196107.99</v>
      </c>
      <c r="H646" s="14" t="n">
        <v>73461.87</v>
      </c>
      <c r="I646" s="14" t="n">
        <v>0</v>
      </c>
      <c r="J646" s="14" t="n">
        <v>-122500</v>
      </c>
      <c r="K646" s="14" t="n">
        <v>0</v>
      </c>
      <c r="L646" s="8" t="b">
        <v>0</v>
      </c>
      <c r="M646" s="14" t="n">
        <v>0</v>
      </c>
      <c r="N646" s="19">
        <f>ROUND((J646-I646)-(K646+E646+H646),4)</f>
        <v/>
      </c>
    </row>
    <row r="647">
      <c r="A647" s="8" t="inlineStr">
        <is>
          <t>Ыйык Авиакасса</t>
        </is>
      </c>
      <c r="B647" s="8" t="inlineStr">
        <is>
          <t>2026-03</t>
        </is>
      </c>
      <c r="C647" s="14" t="n">
        <v>-318607.99</v>
      </c>
      <c r="D647" s="14" t="n">
        <v>-549998.0600000001</v>
      </c>
      <c r="E647" s="14" t="n">
        <v>-231390.07</v>
      </c>
      <c r="F647" s="14" t="n">
        <v>196107.99</v>
      </c>
      <c r="G647" s="14" t="n">
        <v>10098.05999999999</v>
      </c>
      <c r="H647" s="14" t="n">
        <v>-186009.93</v>
      </c>
      <c r="I647" s="14" t="n">
        <v>-122500</v>
      </c>
      <c r="J647" s="14" t="n">
        <v>-539900.0000000001</v>
      </c>
      <c r="K647" s="14" t="n">
        <v>0</v>
      </c>
      <c r="L647" s="8" t="b">
        <v>0</v>
      </c>
      <c r="M647" s="14" t="n">
        <v>0</v>
      </c>
      <c r="N647" s="19">
        <f>ROUND((J647-I647)-(K647+E647+H647),4)</f>
        <v/>
      </c>
    </row>
    <row r="648">
      <c r="A648" s="8" t="inlineStr">
        <is>
          <t>Ыйык Авиакасса</t>
        </is>
      </c>
      <c r="B648" s="8" t="inlineStr">
        <is>
          <t>2026-04</t>
        </is>
      </c>
      <c r="C648" s="14" t="n">
        <v>-549998.0600000001</v>
      </c>
      <c r="D648" s="14" t="n">
        <v>-938449.28</v>
      </c>
      <c r="E648" s="14" t="n">
        <v>-388451.22</v>
      </c>
      <c r="F648" s="14" t="n">
        <v>10098.06</v>
      </c>
      <c r="G648" s="14" t="n">
        <v>398446.44</v>
      </c>
      <c r="H648" s="14" t="n">
        <v>388348.38</v>
      </c>
      <c r="I648" s="14" t="n">
        <v>-539900</v>
      </c>
      <c r="J648" s="14" t="n">
        <v>-540002.8400000001</v>
      </c>
      <c r="K648" s="14" t="n">
        <v>0</v>
      </c>
      <c r="L648" s="8" t="b">
        <v>0</v>
      </c>
      <c r="M648" s="14" t="n">
        <v>0</v>
      </c>
      <c r="N648" s="19">
        <f>ROUND((J648-I648)-(K648+E648+H648),4)</f>
        <v/>
      </c>
    </row>
    <row r="649">
      <c r="A649" s="8" t="inlineStr">
        <is>
          <t>Ыйык Авиакасса</t>
        </is>
      </c>
      <c r="B649" s="8" t="inlineStr">
        <is>
          <t>2026-05</t>
        </is>
      </c>
      <c r="C649" s="14" t="n">
        <v>-938449.28</v>
      </c>
      <c r="D649" s="14" t="n">
        <v>-671081.4300000001</v>
      </c>
      <c r="E649" s="14" t="n">
        <v>267367.85</v>
      </c>
      <c r="F649" s="14" t="n">
        <v>398446.44</v>
      </c>
      <c r="G649" s="14" t="n">
        <v>131078.59</v>
      </c>
      <c r="H649" s="14" t="n">
        <v>-267367.85</v>
      </c>
      <c r="I649" s="14" t="n">
        <v>-540002.8400000001</v>
      </c>
      <c r="J649" s="14" t="n">
        <v>-540002.8400000001</v>
      </c>
      <c r="K649" s="14" t="n">
        <v>0</v>
      </c>
      <c r="L649" s="8" t="b">
        <v>0</v>
      </c>
      <c r="M649" s="14" t="n">
        <v>0</v>
      </c>
      <c r="N649" s="19">
        <f>ROUND((J649-I649)-(K649+E649+H649),4)</f>
        <v/>
      </c>
    </row>
    <row r="650">
      <c r="A650" s="8" t="inlineStr">
        <is>
          <t>Ыйык Авиакасса</t>
        </is>
      </c>
      <c r="B650" s="8" t="inlineStr">
        <is>
          <t>2026-06</t>
        </is>
      </c>
      <c r="C650" s="14" t="n">
        <v>-598591.4300000001</v>
      </c>
      <c r="D650" s="14" t="n">
        <v>-219275.04</v>
      </c>
      <c r="E650" s="14" t="n">
        <v>379316.39</v>
      </c>
      <c r="F650" s="14" t="n">
        <v>131078.5900000001</v>
      </c>
      <c r="G650" s="14" t="n">
        <v>-76268.83999999994</v>
      </c>
      <c r="H650" s="14" t="n">
        <v>-207347.43</v>
      </c>
      <c r="I650" s="14" t="n">
        <v>-467512.84</v>
      </c>
      <c r="J650" s="14" t="n">
        <v>-295543.8799999999</v>
      </c>
      <c r="K650" s="14" t="n">
        <v>8.731149137020111e-11</v>
      </c>
      <c r="L650" s="8" t="b">
        <v>1</v>
      </c>
      <c r="M650" s="14" t="n">
        <v>72490</v>
      </c>
      <c r="N650" s="19">
        <f>ROUND((J650-I650)-(K650+E650+H650),4)</f>
        <v/>
      </c>
    </row>
    <row r="651">
      <c r="A651" s="8" t="inlineStr">
        <is>
          <t>Ыйык Авиакасса</t>
        </is>
      </c>
      <c r="B651" s="8" t="inlineStr">
        <is>
          <t>2026-07</t>
        </is>
      </c>
      <c r="C651" s="14" t="n">
        <v>-219275.04</v>
      </c>
      <c r="D651" s="14" t="n">
        <v>30768.82</v>
      </c>
      <c r="E651" s="14" t="n">
        <v>250043.86</v>
      </c>
      <c r="F651" s="14" t="n">
        <v>-76268.84000000003</v>
      </c>
      <c r="G651" s="14" t="n">
        <v>-283488.62</v>
      </c>
      <c r="H651" s="14" t="n">
        <v>-207219.78</v>
      </c>
      <c r="I651" s="14" t="n">
        <v>-295543.88</v>
      </c>
      <c r="J651" s="14" t="n">
        <v>-252719.8</v>
      </c>
      <c r="K651" s="14" t="n">
        <v>-7.275957614183426e-12</v>
      </c>
      <c r="L651" s="8" t="b">
        <v>0</v>
      </c>
      <c r="M651" s="14" t="n">
        <v>0</v>
      </c>
      <c r="N651" s="19">
        <f>ROUND((J651-I651)-(K651+E651+H651),4)</f>
        <v/>
      </c>
    </row>
    <row r="652">
      <c r="A652" s="8" t="inlineStr">
        <is>
          <t>Ыйык Тур</t>
        </is>
      </c>
      <c r="B652" s="8" t="inlineStr">
        <is>
          <t>2026-01</t>
        </is>
      </c>
      <c r="C652" s="14" t="n">
        <v>700561.83</v>
      </c>
      <c r="D652" s="14" t="n">
        <v>319120.29</v>
      </c>
      <c r="E652" s="14" t="n">
        <v>-381441.5399999999</v>
      </c>
      <c r="F652" s="14" t="n">
        <v>-682702.96</v>
      </c>
      <c r="G652" s="14" t="n">
        <v>228687.5800000002</v>
      </c>
      <c r="H652" s="14" t="n">
        <v>911390.5400000002</v>
      </c>
      <c r="I652" s="14" t="n">
        <v>17858.87</v>
      </c>
      <c r="J652" s="14" t="n">
        <v>547807.8700000001</v>
      </c>
      <c r="K652" s="14" t="n">
        <v>-5.820766091346741e-11</v>
      </c>
      <c r="L652" s="8" t="b">
        <v>0</v>
      </c>
      <c r="M652" s="14" t="n">
        <v>0</v>
      </c>
      <c r="N652" s="19">
        <f>ROUND((J652-I652)-(K652+E652+H652),4)</f>
        <v/>
      </c>
    </row>
    <row r="653">
      <c r="A653" s="8" t="inlineStr">
        <is>
          <t>Ыйык Тур</t>
        </is>
      </c>
      <c r="B653" s="8" t="inlineStr">
        <is>
          <t>2026-02</t>
        </is>
      </c>
      <c r="C653" s="14" t="n">
        <v>319120.29</v>
      </c>
      <c r="D653" s="14" t="n">
        <v>-912735.67</v>
      </c>
      <c r="E653" s="14" t="n">
        <v>-1231855.96</v>
      </c>
      <c r="F653" s="14" t="n">
        <v>228687.5800000004</v>
      </c>
      <c r="G653" s="14" t="n">
        <v>391512.0500000005</v>
      </c>
      <c r="H653" s="14" t="n">
        <v>162824.4700000001</v>
      </c>
      <c r="I653" s="14" t="n">
        <v>547807.8700000003</v>
      </c>
      <c r="J653" s="14" t="n">
        <v>-521223.6199999995</v>
      </c>
      <c r="K653" s="14" t="n">
        <v>-1.164153218269348e-10</v>
      </c>
      <c r="L653" s="8" t="b">
        <v>0</v>
      </c>
      <c r="M653" s="14" t="n">
        <v>0</v>
      </c>
      <c r="N653" s="19">
        <f>ROUND((J653-I653)-(K653+E653+H653),4)</f>
        <v/>
      </c>
    </row>
    <row r="654">
      <c r="A654" s="8" t="inlineStr">
        <is>
          <t>Ыйык Тур</t>
        </is>
      </c>
      <c r="B654" s="8" t="inlineStr">
        <is>
          <t>2026-03</t>
        </is>
      </c>
      <c r="C654" s="14" t="n">
        <v>-912735.67</v>
      </c>
      <c r="D654" s="14" t="n">
        <v>-856905.65</v>
      </c>
      <c r="E654" s="14" t="n">
        <v>55830.02000000002</v>
      </c>
      <c r="F654" s="14" t="n">
        <v>391512.0500000003</v>
      </c>
      <c r="G654" s="14" t="n">
        <v>251719.7800000003</v>
      </c>
      <c r="H654" s="14" t="n">
        <v>-139792.27</v>
      </c>
      <c r="I654" s="14" t="n">
        <v>-521223.6199999998</v>
      </c>
      <c r="J654" s="14" t="n">
        <v>-605185.8699999998</v>
      </c>
      <c r="K654" s="14" t="n">
        <v>0</v>
      </c>
      <c r="L654" s="8" t="b">
        <v>0</v>
      </c>
      <c r="M654" s="14" t="n">
        <v>0</v>
      </c>
      <c r="N654" s="19">
        <f>ROUND((J654-I654)-(K654+E654+H654),4)</f>
        <v/>
      </c>
    </row>
    <row r="655">
      <c r="A655" s="8" t="inlineStr">
        <is>
          <t>Ыйык Тур</t>
        </is>
      </c>
      <c r="B655" s="8" t="inlineStr">
        <is>
          <t>2026-04</t>
        </is>
      </c>
      <c r="C655" s="14" t="n">
        <v>-856905.65</v>
      </c>
      <c r="D655" s="14" t="n">
        <v>627154.23</v>
      </c>
      <c r="E655" s="14" t="n">
        <v>1484059.88</v>
      </c>
      <c r="F655" s="14" t="n">
        <v>251719.78</v>
      </c>
      <c r="G655" s="14" t="n">
        <v>-1160859.55</v>
      </c>
      <c r="H655" s="14" t="n">
        <v>-1412579.33</v>
      </c>
      <c r="I655" s="14" t="n">
        <v>-605185.87</v>
      </c>
      <c r="J655" s="14" t="n">
        <v>-533705.3199999998</v>
      </c>
      <c r="K655" s="14" t="n">
        <v>1.164153218269348e-10</v>
      </c>
      <c r="L655" s="8" t="b">
        <v>0</v>
      </c>
      <c r="M655" s="14" t="n">
        <v>0</v>
      </c>
      <c r="N655" s="19">
        <f>ROUND((J655-I655)-(K655+E655+H655),4)</f>
        <v/>
      </c>
    </row>
    <row r="656">
      <c r="A656" s="8" t="inlineStr">
        <is>
          <t>Ыйык Тур</t>
        </is>
      </c>
      <c r="B656" s="8" t="inlineStr">
        <is>
          <t>2026-05</t>
        </is>
      </c>
      <c r="C656" s="14" t="n">
        <v>627154.23</v>
      </c>
      <c r="D656" s="14" t="n">
        <v>731768</v>
      </c>
      <c r="E656" s="14" t="n">
        <v>104613.7699999999</v>
      </c>
      <c r="F656" s="14" t="n">
        <v>-1160859.549999999</v>
      </c>
      <c r="G656" s="14" t="n">
        <v>-1068959.569999999</v>
      </c>
      <c r="H656" s="14" t="n">
        <v>91899.98000000004</v>
      </c>
      <c r="I656" s="14" t="n">
        <v>-533705.3199999994</v>
      </c>
      <c r="J656" s="14" t="n">
        <v>-337191.5699999994</v>
      </c>
      <c r="K656" s="14" t="n">
        <v>1.164153218269348e-10</v>
      </c>
      <c r="L656" s="8" t="b">
        <v>0</v>
      </c>
      <c r="M656" s="14" t="n">
        <v>0</v>
      </c>
      <c r="N656" s="19">
        <f>ROUND((J656-I656)-(K656+E656+H656),4)</f>
        <v/>
      </c>
    </row>
    <row r="657">
      <c r="A657" s="8" t="inlineStr">
        <is>
          <t>Ыйык Тур</t>
        </is>
      </c>
      <c r="B657" s="8" t="inlineStr">
        <is>
          <t>2026-06</t>
        </is>
      </c>
      <c r="C657" s="14" t="n">
        <v>731768</v>
      </c>
      <c r="D657" s="14" t="n">
        <v>461412.82</v>
      </c>
      <c r="E657" s="14" t="n">
        <v>-270355.1799999999</v>
      </c>
      <c r="F657" s="14" t="n">
        <v>-1068959.57</v>
      </c>
      <c r="G657" s="14" t="n">
        <v>-1588037.98</v>
      </c>
      <c r="H657" s="14" t="n">
        <v>-519078.4100000001</v>
      </c>
      <c r="I657" s="14" t="n">
        <v>-337191.5699999996</v>
      </c>
      <c r="J657" s="14" t="n">
        <v>-1126625.16</v>
      </c>
      <c r="K657" s="14" t="n">
        <v>-5.820766091346741e-11</v>
      </c>
      <c r="L657" s="8" t="b">
        <v>0</v>
      </c>
      <c r="M657" s="14" t="n">
        <v>0</v>
      </c>
      <c r="N657" s="19">
        <f>ROUND((J657-I657)-(K657+E657+H657),4)</f>
        <v/>
      </c>
    </row>
    <row r="658">
      <c r="A658" s="8" t="inlineStr">
        <is>
          <t>Ыйык Тур</t>
        </is>
      </c>
      <c r="B658" s="8" t="inlineStr">
        <is>
          <t>2026-07</t>
        </is>
      </c>
      <c r="C658" s="14" t="n">
        <v>461412.82</v>
      </c>
      <c r="D658" s="14" t="n">
        <v>-84814.64</v>
      </c>
      <c r="E658" s="14" t="n">
        <v>-546227.46</v>
      </c>
      <c r="F658" s="14" t="n">
        <v>-1588037.98</v>
      </c>
      <c r="G658" s="14" t="n">
        <v>-1582746.7</v>
      </c>
      <c r="H658" s="14" t="n">
        <v>5291.280000000028</v>
      </c>
      <c r="I658" s="14" t="n">
        <v>-1126625.16</v>
      </c>
      <c r="J658" s="14" t="n">
        <v>-1667561.34</v>
      </c>
      <c r="K658" s="14" t="n">
        <v>-4.365574568510056e-11</v>
      </c>
      <c r="L658" s="8" t="b">
        <v>0</v>
      </c>
      <c r="M658" s="14" t="n">
        <v>0</v>
      </c>
      <c r="N658" s="19">
        <f>ROUND((J658-I658)-(K658+E658+H658),4)</f>
        <v/>
      </c>
    </row>
    <row r="659">
      <c r="A659" s="8" t="inlineStr">
        <is>
          <t>Эсенбек уулу Азамат</t>
        </is>
      </c>
      <c r="B659" s="8" t="inlineStr">
        <is>
          <t>2026-01</t>
        </is>
      </c>
      <c r="C659" s="14" t="n">
        <v>0</v>
      </c>
      <c r="D659" s="14" t="n">
        <v>-169386.56</v>
      </c>
      <c r="E659" s="14" t="n">
        <v>-169386.56</v>
      </c>
      <c r="F659" s="14" t="n">
        <v>0</v>
      </c>
      <c r="G659" s="14" t="n">
        <v>169386.56</v>
      </c>
      <c r="H659" s="14" t="n">
        <v>169386.56</v>
      </c>
      <c r="I659" s="14" t="n">
        <v>0</v>
      </c>
      <c r="J659" s="14" t="n">
        <v>0</v>
      </c>
      <c r="K659" s="14" t="n">
        <v>0</v>
      </c>
      <c r="L659" s="8" t="b">
        <v>0</v>
      </c>
      <c r="M659" s="14" t="n">
        <v>0</v>
      </c>
      <c r="N659" s="19">
        <f>ROUND((J659-I659)-(K659+E659+H659),4)</f>
        <v/>
      </c>
    </row>
    <row r="660">
      <c r="A660" s="8" t="inlineStr">
        <is>
          <t>Эсенбек уулу Азамат</t>
        </is>
      </c>
      <c r="B660" s="8" t="inlineStr">
        <is>
          <t>2026-02</t>
        </is>
      </c>
      <c r="C660" s="14" t="n">
        <v>-169386.56</v>
      </c>
      <c r="D660" s="14" t="n">
        <v>244493.31</v>
      </c>
      <c r="E660" s="14" t="n">
        <v>413879.87</v>
      </c>
      <c r="F660" s="14" t="n">
        <v>169386.56</v>
      </c>
      <c r="G660" s="14" t="n">
        <v>-244493.31</v>
      </c>
      <c r="H660" s="14" t="n">
        <v>-413879.87</v>
      </c>
      <c r="I660" s="14" t="n">
        <v>0</v>
      </c>
      <c r="J660" s="14" t="n">
        <v>0</v>
      </c>
      <c r="K660" s="14" t="n">
        <v>0</v>
      </c>
      <c r="L660" s="8" t="b">
        <v>0</v>
      </c>
      <c r="M660" s="14" t="n">
        <v>0</v>
      </c>
      <c r="N660" s="19">
        <f>ROUND((J660-I660)-(K660+E660+H660),4)</f>
        <v/>
      </c>
    </row>
    <row r="661">
      <c r="A661" s="8" t="inlineStr">
        <is>
          <t>Эсенбек уулу Азамат</t>
        </is>
      </c>
      <c r="B661" s="8" t="inlineStr">
        <is>
          <t>2026-03</t>
        </is>
      </c>
      <c r="C661" s="14" t="n">
        <v>244493.31</v>
      </c>
      <c r="D661" s="14" t="n">
        <v>-474692.58</v>
      </c>
      <c r="E661" s="14" t="n">
        <v>-719185.89</v>
      </c>
      <c r="F661" s="14" t="n">
        <v>-244493.3100000002</v>
      </c>
      <c r="G661" s="14" t="n">
        <v>474692.58</v>
      </c>
      <c r="H661" s="14" t="n">
        <v>719185.8900000001</v>
      </c>
      <c r="I661" s="14" t="n">
        <v>-1.746229827404022e-10</v>
      </c>
      <c r="J661" s="14" t="n">
        <v>-5.820766091346741e-11</v>
      </c>
      <c r="K661" s="14" t="n">
        <v>0</v>
      </c>
      <c r="L661" s="8" t="b">
        <v>0</v>
      </c>
      <c r="M661" s="14" t="n">
        <v>0</v>
      </c>
      <c r="N661" s="19">
        <f>ROUND((J661-I661)-(K661+E661+H661),4)</f>
        <v/>
      </c>
    </row>
    <row r="662">
      <c r="A662" s="8" t="inlineStr">
        <is>
          <t>Эсенбек уулу Азамат</t>
        </is>
      </c>
      <c r="B662" s="8" t="inlineStr">
        <is>
          <t>2026-04</t>
        </is>
      </c>
      <c r="C662" s="14" t="n">
        <v>-474692.58</v>
      </c>
      <c r="D662" s="14" t="n">
        <v>-641632.37</v>
      </c>
      <c r="E662" s="14" t="n">
        <v>-166939.79</v>
      </c>
      <c r="F662" s="14" t="n">
        <v>474692.5800000001</v>
      </c>
      <c r="G662" s="14" t="n">
        <v>599431.9500000001</v>
      </c>
      <c r="H662" s="14" t="n">
        <v>124739.37</v>
      </c>
      <c r="I662" s="14" t="n">
        <v>5.820766091346741e-11</v>
      </c>
      <c r="J662" s="14" t="n">
        <v>-42200.41999999993</v>
      </c>
      <c r="K662" s="14" t="n">
        <v>0</v>
      </c>
      <c r="L662" s="8" t="b">
        <v>0</v>
      </c>
      <c r="M662" s="14" t="n">
        <v>0</v>
      </c>
      <c r="N662" s="19">
        <f>ROUND((J662-I662)-(K662+E662+H662),4)</f>
        <v/>
      </c>
    </row>
    <row r="663">
      <c r="A663" s="8" t="inlineStr">
        <is>
          <t>Эсенбек уулу Азамат</t>
        </is>
      </c>
      <c r="B663" s="8" t="inlineStr">
        <is>
          <t>2026-05</t>
        </is>
      </c>
      <c r="C663" s="14" t="n">
        <v>-641632.37</v>
      </c>
      <c r="D663" s="14" t="n">
        <v>-788071.01</v>
      </c>
      <c r="E663" s="14" t="n">
        <v>-146438.64</v>
      </c>
      <c r="F663" s="14" t="n">
        <v>599431.9500000002</v>
      </c>
      <c r="G663" s="14" t="n">
        <v>720681.0300000001</v>
      </c>
      <c r="H663" s="14" t="n">
        <v>121249.08</v>
      </c>
      <c r="I663" s="14" t="n">
        <v>-42200.41999999981</v>
      </c>
      <c r="J663" s="14" t="n">
        <v>-67389.97999999986</v>
      </c>
      <c r="K663" s="14" t="n">
        <v>0</v>
      </c>
      <c r="L663" s="8" t="b">
        <v>0</v>
      </c>
      <c r="M663" s="14" t="n">
        <v>0</v>
      </c>
      <c r="N663" s="19">
        <f>ROUND((J663-I663)-(K663+E663+H663),4)</f>
        <v/>
      </c>
    </row>
    <row r="664">
      <c r="A664" s="8" t="inlineStr">
        <is>
          <t>Эсенбек уулу Азамат</t>
        </is>
      </c>
      <c r="B664" s="8" t="inlineStr">
        <is>
          <t>2026-06</t>
        </is>
      </c>
      <c r="C664" s="14" t="n">
        <v>-788071.01</v>
      </c>
      <c r="D664" s="14" t="n">
        <v>-294602.36</v>
      </c>
      <c r="E664" s="14" t="n">
        <v>493468.65</v>
      </c>
      <c r="F664" s="14" t="n">
        <v>720681.0300000001</v>
      </c>
      <c r="G664" s="14" t="n">
        <v>57712.38000000014</v>
      </c>
      <c r="H664" s="14" t="n">
        <v>-662968.65</v>
      </c>
      <c r="I664" s="14" t="n">
        <v>-67389.97999999986</v>
      </c>
      <c r="J664" s="14" t="n">
        <v>-236889.9799999999</v>
      </c>
      <c r="K664" s="14" t="n">
        <v>5.820766091346741e-11</v>
      </c>
      <c r="L664" s="8" t="b">
        <v>0</v>
      </c>
      <c r="M664" s="14" t="n">
        <v>0</v>
      </c>
      <c r="N664" s="19">
        <f>ROUND((J664-I664)-(K664+E664+H664),4)</f>
        <v/>
      </c>
    </row>
    <row r="665">
      <c r="A665" s="8" t="inlineStr">
        <is>
          <t>Эсенбек уулу Азамат</t>
        </is>
      </c>
      <c r="B665" s="8" t="inlineStr">
        <is>
          <t>2026-07</t>
        </is>
      </c>
      <c r="C665" s="14" t="n">
        <v>-294602.36</v>
      </c>
      <c r="D665" s="14" t="n">
        <v>-151329.08</v>
      </c>
      <c r="E665" s="14" t="n">
        <v>143273.28</v>
      </c>
      <c r="F665" s="14" t="n">
        <v>57712.38000000015</v>
      </c>
      <c r="G665" s="14" t="n">
        <v>-85560.89999999988</v>
      </c>
      <c r="H665" s="14" t="n">
        <v>-143273.28</v>
      </c>
      <c r="I665" s="14" t="n">
        <v>-236889.9799999998</v>
      </c>
      <c r="J665" s="14" t="n">
        <v>-236889.9799999999</v>
      </c>
      <c r="K665" s="14" t="n">
        <v>0</v>
      </c>
      <c r="L665" s="8" t="b">
        <v>0</v>
      </c>
      <c r="M665" s="14" t="n">
        <v>0</v>
      </c>
      <c r="N665" s="19">
        <f>ROUND((J665-I665)-(K665+E665+H665),4)</f>
        <v/>
      </c>
    </row>
    <row r="666">
      <c r="A666" s="8" t="inlineStr">
        <is>
          <t>Эсенбеков Кубат Элдияревич</t>
        </is>
      </c>
      <c r="B666" s="8" t="inlineStr">
        <is>
          <t>2026-01</t>
        </is>
      </c>
      <c r="C666" s="14" t="n">
        <v>853225.62</v>
      </c>
      <c r="D666" s="14" t="n">
        <v>987987.6800000001</v>
      </c>
      <c r="E666" s="14" t="n">
        <v>134762.06</v>
      </c>
      <c r="F666" s="14" t="n">
        <v>-853225.6199999999</v>
      </c>
      <c r="G666" s="14" t="n">
        <v>-1029711.68</v>
      </c>
      <c r="H666" s="14" t="n">
        <v>-176486.06</v>
      </c>
      <c r="I666" s="14" t="n">
        <v>1.164153218269348e-10</v>
      </c>
      <c r="J666" s="14" t="n">
        <v>-41723.99999999988</v>
      </c>
      <c r="K666" s="14" t="n">
        <v>0</v>
      </c>
      <c r="L666" s="8" t="b">
        <v>0</v>
      </c>
      <c r="M666" s="14" t="n">
        <v>0</v>
      </c>
      <c r="N666" s="19">
        <f>ROUND((J666-I666)-(K666+E666+H666),4)</f>
        <v/>
      </c>
    </row>
    <row r="667">
      <c r="A667" s="8" t="inlineStr">
        <is>
          <t>Эсенбеков Кубат Элдияревич</t>
        </is>
      </c>
      <c r="B667" s="8" t="inlineStr">
        <is>
          <t>2026-02</t>
        </is>
      </c>
      <c r="C667" s="14" t="n">
        <v>987987.6800000001</v>
      </c>
      <c r="D667" s="14" t="n">
        <v>481603.7</v>
      </c>
      <c r="E667" s="14" t="n">
        <v>-506383.98</v>
      </c>
      <c r="F667" s="14" t="n">
        <v>-1029711.68</v>
      </c>
      <c r="G667" s="14" t="n">
        <v>-903701.22</v>
      </c>
      <c r="H667" s="14" t="n">
        <v>126010.46</v>
      </c>
      <c r="I667" s="14" t="n">
        <v>-41723.99999999988</v>
      </c>
      <c r="J667" s="14" t="n">
        <v>-422097.52</v>
      </c>
      <c r="K667" s="14" t="n">
        <v>-5.820766091346741e-11</v>
      </c>
      <c r="L667" s="8" t="b">
        <v>0</v>
      </c>
      <c r="M667" s="14" t="n">
        <v>0</v>
      </c>
      <c r="N667" s="19">
        <f>ROUND((J667-I667)-(K667+E667+H667),4)</f>
        <v/>
      </c>
    </row>
    <row r="668">
      <c r="A668" s="8" t="inlineStr">
        <is>
          <t>Эсенбеков Кубат Элдияревич</t>
        </is>
      </c>
      <c r="B668" s="8" t="inlineStr">
        <is>
          <t>2026-03</t>
        </is>
      </c>
      <c r="C668" s="14" t="n">
        <v>481603.7</v>
      </c>
      <c r="D668" s="14" t="n">
        <v>830436.33</v>
      </c>
      <c r="E668" s="14" t="n">
        <v>348832.63</v>
      </c>
      <c r="F668" s="14" t="n">
        <v>-903701.22</v>
      </c>
      <c r="G668" s="14" t="n">
        <v>-1378019.19</v>
      </c>
      <c r="H668" s="14" t="n">
        <v>-474317.97</v>
      </c>
      <c r="I668" s="14" t="n">
        <v>-422097.52</v>
      </c>
      <c r="J668" s="14" t="n">
        <v>-547582.86</v>
      </c>
      <c r="K668" s="14" t="n">
        <v>-1.164153218269348e-10</v>
      </c>
      <c r="L668" s="8" t="b">
        <v>0</v>
      </c>
      <c r="M668" s="14" t="n">
        <v>0</v>
      </c>
      <c r="N668" s="19">
        <f>ROUND((J668-I668)-(K668+E668+H668),4)</f>
        <v/>
      </c>
    </row>
    <row r="669">
      <c r="A669" s="8" t="inlineStr">
        <is>
          <t>Эсенбеков Кубат Элдияревич</t>
        </is>
      </c>
      <c r="B669" s="8" t="inlineStr">
        <is>
          <t>2026-04</t>
        </is>
      </c>
      <c r="C669" s="14" t="n">
        <v>830436.33</v>
      </c>
      <c r="D669" s="14" t="n">
        <v>1141208.8</v>
      </c>
      <c r="E669" s="14" t="n">
        <v>310772.47</v>
      </c>
      <c r="F669" s="14" t="n">
        <v>-1378019.19</v>
      </c>
      <c r="G669" s="14" t="n">
        <v>-1700246.66</v>
      </c>
      <c r="H669" s="14" t="n">
        <v>-322227.47</v>
      </c>
      <c r="I669" s="14" t="n">
        <v>-547582.86</v>
      </c>
      <c r="J669" s="14" t="n">
        <v>-559037.8599999999</v>
      </c>
      <c r="K669" s="14" t="n">
        <v>0</v>
      </c>
      <c r="L669" s="8" t="b">
        <v>0</v>
      </c>
      <c r="M669" s="14" t="n">
        <v>0</v>
      </c>
      <c r="N669" s="19">
        <f>ROUND((J669-I669)-(K669+E669+H669),4)</f>
        <v/>
      </c>
    </row>
    <row r="670">
      <c r="A670" s="8" t="inlineStr">
        <is>
          <t>Эсенбеков Кубат Элдияревич</t>
        </is>
      </c>
      <c r="B670" s="8" t="inlineStr">
        <is>
          <t>2026-05</t>
        </is>
      </c>
      <c r="C670" s="14" t="n">
        <v>1141208.8</v>
      </c>
      <c r="D670" s="14" t="n">
        <v>1584967.49</v>
      </c>
      <c r="E670" s="14" t="n">
        <v>443758.6899999999</v>
      </c>
      <c r="F670" s="14" t="n">
        <v>-1700246.66</v>
      </c>
      <c r="G670" s="14" t="n">
        <v>-2161025.47</v>
      </c>
      <c r="H670" s="14" t="n">
        <v>-460778.81</v>
      </c>
      <c r="I670" s="14" t="n">
        <v>-559037.8599999996</v>
      </c>
      <c r="J670" s="14" t="n">
        <v>-576057.9799999997</v>
      </c>
      <c r="K670" s="14" t="n">
        <v>0</v>
      </c>
      <c r="L670" s="8" t="b">
        <v>0</v>
      </c>
      <c r="M670" s="14" t="n">
        <v>0</v>
      </c>
      <c r="N670" s="19">
        <f>ROUND((J670-I670)-(K670+E670+H670),4)</f>
        <v/>
      </c>
    </row>
    <row r="671">
      <c r="A671" s="8" t="inlineStr">
        <is>
          <t>Эсенбеков Кубат Элдияревич</t>
        </is>
      </c>
      <c r="B671" s="8" t="inlineStr">
        <is>
          <t>2026-06</t>
        </is>
      </c>
      <c r="C671" s="14" t="n">
        <v>1584967.49</v>
      </c>
      <c r="D671" s="14" t="n">
        <v>1551198.44</v>
      </c>
      <c r="E671" s="14" t="n">
        <v>-33769.04999999999</v>
      </c>
      <c r="F671" s="14" t="n">
        <v>-2161025.47</v>
      </c>
      <c r="G671" s="14" t="n">
        <v>-2301375.42</v>
      </c>
      <c r="H671" s="14" t="n">
        <v>-140349.95</v>
      </c>
      <c r="I671" s="14" t="n">
        <v>-576057.9799999997</v>
      </c>
      <c r="J671" s="14" t="n">
        <v>-750176.98</v>
      </c>
      <c r="K671" s="14" t="n">
        <v>0</v>
      </c>
      <c r="L671" s="8" t="b">
        <v>0</v>
      </c>
      <c r="M671" s="14" t="n">
        <v>0</v>
      </c>
      <c r="N671" s="19">
        <f>ROUND((J671-I671)-(K671+E671+H671),4)</f>
        <v/>
      </c>
    </row>
    <row r="672">
      <c r="A672" s="8" t="inlineStr">
        <is>
          <t>Эсенбеков Кубат Элдияревич</t>
        </is>
      </c>
      <c r="B672" s="8" t="inlineStr">
        <is>
          <t>2026-07</t>
        </is>
      </c>
      <c r="C672" s="14" t="n">
        <v>1551198.44</v>
      </c>
      <c r="D672" s="14" t="n">
        <v>888244.4300000001</v>
      </c>
      <c r="E672" s="14" t="n">
        <v>-662954.01</v>
      </c>
      <c r="F672" s="14" t="n">
        <v>-2301375.42</v>
      </c>
      <c r="G672" s="14" t="n">
        <v>-1638579.05</v>
      </c>
      <c r="H672" s="14" t="n">
        <v>662796.37</v>
      </c>
      <c r="I672" s="14" t="n">
        <v>-750176.9800000004</v>
      </c>
      <c r="J672" s="14" t="n">
        <v>-750334.6200000002</v>
      </c>
      <c r="K672" s="14" t="n">
        <v>1.164153218269348e-10</v>
      </c>
      <c r="L672" s="8" t="b">
        <v>0</v>
      </c>
      <c r="M672" s="14" t="n">
        <v>0</v>
      </c>
      <c r="N672" s="19">
        <f>ROUND((J672-I672)-(K672+E672+H672),4)</f>
        <v/>
      </c>
    </row>
    <row r="673">
      <c r="A673" s="8" t="inlineStr">
        <is>
          <t>Эсенбекова Айгуль Нурбекевна</t>
        </is>
      </c>
      <c r="B673" s="8" t="inlineStr">
        <is>
          <t>2026-01</t>
        </is>
      </c>
      <c r="C673" s="14" t="n">
        <v>0</v>
      </c>
      <c r="D673" s="14" t="n">
        <v>519210.73</v>
      </c>
      <c r="E673" s="14" t="n">
        <v>519210.73</v>
      </c>
      <c r="F673" s="14" t="n">
        <v>0</v>
      </c>
      <c r="G673" s="14" t="n">
        <v>-546299.39</v>
      </c>
      <c r="H673" s="14" t="n">
        <v>-546299.39</v>
      </c>
      <c r="I673" s="14" t="n">
        <v>0</v>
      </c>
      <c r="J673" s="14" t="n">
        <v>-27088.66000000003</v>
      </c>
      <c r="K673" s="14" t="n">
        <v>0</v>
      </c>
      <c r="L673" s="8" t="b">
        <v>0</v>
      </c>
      <c r="M673" s="14" t="n">
        <v>0</v>
      </c>
      <c r="N673" s="19">
        <f>ROUND((J673-I673)-(K673+E673+H673),4)</f>
        <v/>
      </c>
    </row>
    <row r="674">
      <c r="A674" s="8" t="inlineStr">
        <is>
          <t>Эсенбекова Айгуль Нурбекевна</t>
        </is>
      </c>
      <c r="B674" s="8" t="inlineStr">
        <is>
          <t>2026-02</t>
        </is>
      </c>
      <c r="C674" s="14" t="n">
        <v>519210.73</v>
      </c>
      <c r="D674" s="14" t="n">
        <v>268087.13</v>
      </c>
      <c r="E674" s="14" t="n">
        <v>-251123.6</v>
      </c>
      <c r="F674" s="14" t="n">
        <v>-546299.39</v>
      </c>
      <c r="G674" s="14" t="n">
        <v>-295175.79</v>
      </c>
      <c r="H674" s="14" t="n">
        <v>251123.6</v>
      </c>
      <c r="I674" s="14" t="n">
        <v>-27088.66000000003</v>
      </c>
      <c r="J674" s="14" t="n">
        <v>-27088.66000000003</v>
      </c>
      <c r="K674" s="14" t="n">
        <v>0</v>
      </c>
      <c r="L674" s="8" t="b">
        <v>0</v>
      </c>
      <c r="M674" s="14" t="n">
        <v>0</v>
      </c>
      <c r="N674" s="19">
        <f>ROUND((J674-I674)-(K674+E674+H674),4)</f>
        <v/>
      </c>
    </row>
    <row r="675">
      <c r="A675" s="8" t="inlineStr">
        <is>
          <t>Эсенбекова Айгуль Нурбекевна</t>
        </is>
      </c>
      <c r="B675" s="8" t="inlineStr">
        <is>
          <t>2026-03</t>
        </is>
      </c>
      <c r="C675" s="14" t="n">
        <v>268087.13</v>
      </c>
      <c r="D675" s="14" t="n">
        <v>38042.81</v>
      </c>
      <c r="E675" s="14" t="n">
        <v>-230044.32</v>
      </c>
      <c r="F675" s="14" t="n">
        <v>-295175.79</v>
      </c>
      <c r="G675" s="14" t="n">
        <v>-473631.47</v>
      </c>
      <c r="H675" s="14" t="n">
        <v>-178455.68</v>
      </c>
      <c r="I675" s="14" t="n">
        <v>-27088.65999999997</v>
      </c>
      <c r="J675" s="14" t="n">
        <v>-435588.66</v>
      </c>
      <c r="K675" s="14" t="n">
        <v>0</v>
      </c>
      <c r="L675" s="8" t="b">
        <v>0</v>
      </c>
      <c r="M675" s="14" t="n">
        <v>0</v>
      </c>
      <c r="N675" s="19">
        <f>ROUND((J675-I675)-(K675+E675+H675),4)</f>
        <v/>
      </c>
    </row>
    <row r="676">
      <c r="A676" s="8" t="inlineStr">
        <is>
          <t>Эсенбекова Айгуль Нурбекевна</t>
        </is>
      </c>
      <c r="B676" s="8" t="inlineStr">
        <is>
          <t>2026-04</t>
        </is>
      </c>
      <c r="C676" s="14" t="n">
        <v>38042.81</v>
      </c>
      <c r="D676" s="14" t="n">
        <v>168239.26</v>
      </c>
      <c r="E676" s="14" t="n">
        <v>130196.45</v>
      </c>
      <c r="F676" s="14" t="n">
        <v>-473631.4699999999</v>
      </c>
      <c r="G676" s="14" t="n">
        <v>-603827.9199999999</v>
      </c>
      <c r="H676" s="14" t="n">
        <v>-130196.45</v>
      </c>
      <c r="I676" s="14" t="n">
        <v>-435588.6599999999</v>
      </c>
      <c r="J676" s="14" t="n">
        <v>-435588.6599999999</v>
      </c>
      <c r="K676" s="14" t="n">
        <v>0</v>
      </c>
      <c r="L676" s="8" t="b">
        <v>0</v>
      </c>
      <c r="M676" s="14" t="n">
        <v>0</v>
      </c>
      <c r="N676" s="19">
        <f>ROUND((J676-I676)-(K676+E676+H676),4)</f>
        <v/>
      </c>
    </row>
    <row r="677">
      <c r="A677" s="8" t="inlineStr">
        <is>
          <t>Эсенбекова Айгуль Нурбекевна</t>
        </is>
      </c>
      <c r="B677" s="8" t="inlineStr">
        <is>
          <t>2026-05</t>
        </is>
      </c>
      <c r="C677" s="14" t="n">
        <v>168239.26</v>
      </c>
      <c r="D677" s="14" t="n">
        <v>-247517.98</v>
      </c>
      <c r="E677" s="14" t="n">
        <v>-415757.24</v>
      </c>
      <c r="F677" s="14" t="n">
        <v>-603827.9199999999</v>
      </c>
      <c r="G677" s="14" t="n">
        <v>-188070.68</v>
      </c>
      <c r="H677" s="14" t="n">
        <v>415757.2399999999</v>
      </c>
      <c r="I677" s="14" t="n">
        <v>-435588.6599999999</v>
      </c>
      <c r="J677" s="14" t="n">
        <v>-435588.66</v>
      </c>
      <c r="K677" s="14" t="n">
        <v>-2.91038304567337e-11</v>
      </c>
      <c r="L677" s="8" t="b">
        <v>0</v>
      </c>
      <c r="M677" s="14" t="n">
        <v>0</v>
      </c>
      <c r="N677" s="19">
        <f>ROUND((J677-I677)-(K677+E677+H677),4)</f>
        <v/>
      </c>
    </row>
    <row r="678">
      <c r="A678" s="8" t="inlineStr">
        <is>
          <t>Эсенбекова Айгуль Нурбекевна</t>
        </is>
      </c>
      <c r="B678" s="8" t="inlineStr">
        <is>
          <t>2026-06</t>
        </is>
      </c>
      <c r="C678" s="14" t="n">
        <v>-247517.98</v>
      </c>
      <c r="D678" s="14" t="n">
        <v>-10487.26</v>
      </c>
      <c r="E678" s="14" t="n">
        <v>237030.72</v>
      </c>
      <c r="F678" s="14" t="n">
        <v>-188070.68</v>
      </c>
      <c r="G678" s="14" t="n">
        <v>-435101.4</v>
      </c>
      <c r="H678" s="14" t="n">
        <v>-247030.72</v>
      </c>
      <c r="I678" s="14" t="n">
        <v>-435588.66</v>
      </c>
      <c r="J678" s="14" t="n">
        <v>-445588.66</v>
      </c>
      <c r="K678" s="14" t="n">
        <v>9.094947017729282e-12</v>
      </c>
      <c r="L678" s="8" t="b">
        <v>0</v>
      </c>
      <c r="M678" s="14" t="n">
        <v>0</v>
      </c>
      <c r="N678" s="19">
        <f>ROUND((J678-I678)-(K678+E678+H678),4)</f>
        <v/>
      </c>
    </row>
    <row r="679">
      <c r="A679" s="8" t="inlineStr">
        <is>
          <t>Эсенбекова Айгуль Нурбекевна</t>
        </is>
      </c>
      <c r="B679" s="8" t="inlineStr">
        <is>
          <t>2026-07</t>
        </is>
      </c>
      <c r="C679" s="14" t="n">
        <v>-10487.26</v>
      </c>
      <c r="D679" s="14" t="n">
        <v>-312903.7</v>
      </c>
      <c r="E679" s="14" t="n">
        <v>-302416.44</v>
      </c>
      <c r="F679" s="14" t="n">
        <v>-435101.4</v>
      </c>
      <c r="G679" s="14" t="n">
        <v>-135830.36</v>
      </c>
      <c r="H679" s="14" t="n">
        <v>299271.04</v>
      </c>
      <c r="I679" s="14" t="n">
        <v>-445588.66</v>
      </c>
      <c r="J679" s="14" t="n">
        <v>-448734.06</v>
      </c>
      <c r="K679" s="14" t="n">
        <v>0</v>
      </c>
      <c r="L679" s="8" t="b">
        <v>0</v>
      </c>
      <c r="M679" s="14" t="n">
        <v>0</v>
      </c>
      <c r="N679" s="19">
        <f>ROUND((J679-I679)-(K679+E679+H679),4)</f>
        <v/>
      </c>
    </row>
  </sheetData>
  <autoFilter ref="A3:M6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32" customWidth="1" min="4" max="4"/>
    <col width="11" customWidth="1" min="5" max="5"/>
    <col width="11" customWidth="1" min="6" max="6"/>
    <col width="20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15" customWidth="1" min="13" max="13"/>
    <col width="30" customWidth="1" min="14" max="14"/>
    <col width="28" customWidth="1" min="15" max="15"/>
    <col width="80" customWidth="1" min="16" max="16"/>
    <col width="46" customWidth="1" min="17" max="17"/>
  </cols>
  <sheetData>
    <row r="1">
      <c r="A1" s="1" t="inlineStr">
        <is>
          <t>Расхождения по группам билетов (1,792 строк — найденные случаи с источником и уверенностью, а не «ошибки»)</t>
        </is>
      </c>
    </row>
    <row r="2">
      <c r="A2" s="2" t="inlineStr">
        <is>
          <t>Уверенность: A — подтверждено вторым источником; B — правдоподобная гипотеза; C — данных недостаточно.</t>
        </is>
      </c>
    </row>
    <row r="3" ht="42" customHeight="1">
      <c r="A3" s="13" t="inlineStr">
        <is>
          <t>ID</t>
        </is>
      </c>
      <c r="B3" s="13" t="inlineStr">
        <is>
          <t>Субагент</t>
        </is>
      </c>
      <c r="C3" s="13" t="inlineStr">
        <is>
          <t>Билеты</t>
        </is>
      </c>
      <c r="D3" s="13" t="inlineStr">
        <is>
          <t>Тип</t>
        </is>
      </c>
      <c r="E3" s="13" t="inlineStr">
        <is>
          <t>Источник ошибки</t>
        </is>
      </c>
      <c r="F3" s="13" t="inlineStr">
        <is>
          <t>Уверенность</t>
        </is>
      </c>
      <c r="G3" s="13" t="inlineStr">
        <is>
          <t>Сумма 1С</t>
        </is>
      </c>
      <c r="H3" s="13" t="inlineStr">
        <is>
          <t>Сумма ETM</t>
        </is>
      </c>
      <c r="I3" s="13" t="inlineStr">
        <is>
          <t>Сумма реестра</t>
        </is>
      </c>
      <c r="J3" s="13" t="inlineStr">
        <is>
          <t>Остаток 1С+ETM</t>
        </is>
      </c>
      <c r="K3" s="13" t="inlineStr">
        <is>
          <t>Дата ETM</t>
        </is>
      </c>
      <c r="L3" s="13" t="inlineStr">
        <is>
          <t>Дата 1С</t>
        </is>
      </c>
      <c r="M3" s="13" t="inlineStr">
        <is>
          <t>Паттерн суммы</t>
        </is>
      </c>
      <c r="N3" s="13" t="inlineStr">
        <is>
          <t>Кто проверяет</t>
        </is>
      </c>
      <c r="O3" s="13" t="inlineStr">
        <is>
          <t>Сотрудник реестра</t>
        </is>
      </c>
      <c r="P3" s="13" t="inlineStr">
        <is>
          <t>Что произошло</t>
        </is>
      </c>
      <c r="Q3" s="13" t="inlineStr">
        <is>
          <t>ETM txn</t>
        </is>
      </c>
    </row>
    <row r="4">
      <c r="A4" s="8" t="inlineStr">
        <is>
          <t>G05983</t>
        </is>
      </c>
      <c r="B4" s="8" t="inlineStr">
        <is>
          <t>БАЙТУР ТУРИЗМ</t>
        </is>
      </c>
      <c r="C4" s="8" t="inlineStr">
        <is>
          <t>2559102147|2559102148|2559102151|2559102154</t>
        </is>
      </c>
      <c r="D4" s="8" t="inlineStr">
        <is>
          <t>Есть в ETM, нет в 1С</t>
        </is>
      </c>
      <c r="E4" s="8" t="inlineStr">
        <is>
          <t>1С</t>
        </is>
      </c>
      <c r="F4" s="8" t="inlineStr">
        <is>
          <t>A</t>
        </is>
      </c>
      <c r="G4" s="14" t="n">
        <v>0</v>
      </c>
      <c r="H4" s="14" t="n">
        <v>-197836</v>
      </c>
      <c r="I4" s="14" t="n">
        <v>2000</v>
      </c>
      <c r="J4" s="14" t="n">
        <v>-197836</v>
      </c>
      <c r="K4" s="21" t="n">
        <v>46129.44403935185</v>
      </c>
      <c r="L4" s="21" t="n"/>
      <c r="M4" s="8" t="inlineStr"/>
      <c r="N4" s="8" t="inlineStr">
        <is>
          <t>Бухгалтер 1С</t>
        </is>
      </c>
      <c r="O4" s="8" t="inlineStr">
        <is>
          <t>k.dzhumaev|n.abdyldaeva</t>
        </is>
      </c>
      <c r="P4" s="12" t="inlineStr">
        <is>
          <t>Списание есть в ETM и продажа в реестре, но в 1С нет реализации по этим билетам — счёт не выставлен</t>
        </is>
      </c>
      <c r="Q4" s="8" t="inlineStr">
        <is>
          <t>57212874,57212913,57212845,57212859</t>
        </is>
      </c>
    </row>
    <row r="5">
      <c r="A5" s="8" t="inlineStr">
        <is>
          <t>G01740</t>
        </is>
      </c>
      <c r="B5" s="8" t="inlineStr">
        <is>
          <t>Karakol Express</t>
        </is>
      </c>
      <c r="C5" s="8" t="inlineStr">
        <is>
          <t>2476319698|2476319699|2476319700|2476319702</t>
        </is>
      </c>
      <c r="D5" s="8" t="inlineStr">
        <is>
          <t>Сумма не сходится</t>
        </is>
      </c>
      <c r="E5" s="8" t="inlineStr">
        <is>
          <t>1С</t>
        </is>
      </c>
      <c r="F5" s="8" t="inlineStr">
        <is>
          <t>A</t>
        </is>
      </c>
      <c r="G5" s="14" t="n">
        <v>137827.2</v>
      </c>
      <c r="H5" s="14" t="n">
        <v>-317827.2</v>
      </c>
      <c r="I5" s="14" t="n">
        <v>317827.1968</v>
      </c>
      <c r="J5" s="14" t="n">
        <v>-180000</v>
      </c>
      <c r="K5" s="21" t="n">
        <v>46198.33707175926</v>
      </c>
      <c r="L5" s="21" t="n">
        <v>46198</v>
      </c>
      <c r="M5" s="8" t="inlineStr">
        <is>
          <t>TRANSPOSITION</t>
        </is>
      </c>
      <c r="N5" s="8" t="inlineStr">
        <is>
          <t>Бухгалтер 1С</t>
        </is>
      </c>
      <c r="O5" s="8" t="inlineStr">
        <is>
          <t>d.mambetova</t>
        </is>
      </c>
      <c r="P5" s="12" t="inlineStr">
        <is>
          <t>Реестр (317,827.20) совпадает с ETM (317,827.20), а в 1С 137,827.20: неверная сумма в 1С</t>
        </is>
      </c>
      <c r="Q5" s="8" t="inlineStr">
        <is>
          <t>57401206,57401176,57401199,57401164</t>
        </is>
      </c>
    </row>
    <row r="6">
      <c r="A6" s="8" t="inlineStr">
        <is>
          <t>G09168</t>
        </is>
      </c>
      <c r="B6" s="8" t="inlineStr">
        <is>
          <t>ИССЫК ТРИП</t>
        </is>
      </c>
      <c r="C6" s="8" t="inlineStr">
        <is>
          <t>2461885824|2461885826|2461885828</t>
        </is>
      </c>
      <c r="D6" s="8" t="inlineStr">
        <is>
          <t>Сумма не сходится</t>
        </is>
      </c>
      <c r="E6" s="8" t="inlineStr">
        <is>
          <t>1С</t>
        </is>
      </c>
      <c r="F6" s="8" t="inlineStr">
        <is>
          <t>A</t>
        </is>
      </c>
      <c r="G6" s="14" t="n">
        <v>130386</v>
      </c>
      <c r="H6" s="14" t="n">
        <v>-310386</v>
      </c>
      <c r="I6" s="14" t="n">
        <v>310386</v>
      </c>
      <c r="J6" s="14" t="n">
        <v>-180000</v>
      </c>
      <c r="K6" s="21" t="n">
        <v>46220.80277777778</v>
      </c>
      <c r="L6" s="21" t="n">
        <v>46220</v>
      </c>
      <c r="M6" s="8" t="inlineStr">
        <is>
          <t>TRANSPOSITION</t>
        </is>
      </c>
      <c r="N6" s="8" t="inlineStr">
        <is>
          <t>Бухгалтер 1С</t>
        </is>
      </c>
      <c r="O6" s="8" t="inlineStr">
        <is>
          <t>d.mambetova</t>
        </is>
      </c>
      <c r="P6" s="12" t="inlineStr">
        <is>
          <t>Реестр (310,386.00) совпадает с ETM (310,386.00), а в 1С 130,386.00: неверная сумма в 1С</t>
        </is>
      </c>
      <c r="Q6" s="8" t="inlineStr">
        <is>
          <t>57467395</t>
        </is>
      </c>
    </row>
    <row r="7">
      <c r="A7" s="8" t="inlineStr">
        <is>
          <t>G05669</t>
        </is>
      </c>
      <c r="B7" s="8" t="inlineStr">
        <is>
          <t>Ак-Куу Тур</t>
        </is>
      </c>
      <c r="C7" s="8" t="inlineStr">
        <is>
          <t>2559099449|2559099450</t>
        </is>
      </c>
      <c r="D7" s="8" t="inlineStr">
        <is>
          <t>Сумма не сходится</t>
        </is>
      </c>
      <c r="E7" s="8" t="inlineStr">
        <is>
          <t>1С</t>
        </is>
      </c>
      <c r="F7" s="8" t="inlineStr">
        <is>
          <t>A</t>
        </is>
      </c>
      <c r="G7" s="14" t="n">
        <v>133571.72</v>
      </c>
      <c r="H7" s="14" t="n">
        <v>-313571.72</v>
      </c>
      <c r="I7" s="14" t="n">
        <v>313571.8168</v>
      </c>
      <c r="J7" s="14" t="n">
        <v>-180000</v>
      </c>
      <c r="K7" s="21" t="n">
        <v>46219.34207175926</v>
      </c>
      <c r="L7" s="21" t="n">
        <v>46219</v>
      </c>
      <c r="M7" s="8" t="inlineStr">
        <is>
          <t>TRANSPOSITION</t>
        </is>
      </c>
      <c r="N7" s="8" t="inlineStr">
        <is>
          <t>Бухгалтер 1С</t>
        </is>
      </c>
      <c r="O7" s="8" t="inlineStr">
        <is>
          <t>k.dzhumaev</t>
        </is>
      </c>
      <c r="P7" s="12" t="inlineStr">
        <is>
          <t>Реестр (313,571.82) совпадает с ETM (313,571.72), а в 1С 133,571.72: неверная сумма в 1С</t>
        </is>
      </c>
      <c r="Q7" s="8" t="inlineStr">
        <is>
          <t>57463685,57463705</t>
        </is>
      </c>
    </row>
    <row r="8">
      <c r="A8" s="8" t="inlineStr">
        <is>
          <t>G00258</t>
        </is>
      </c>
      <c r="B8" s="8" t="inlineStr">
        <is>
          <t>Aylana Tour</t>
        </is>
      </c>
      <c r="C8" s="8" t="inlineStr">
        <is>
          <t>2559101779|2559101780|2559101783</t>
        </is>
      </c>
      <c r="D8" s="8" t="inlineStr">
        <is>
          <t>Есть в ETM, нет в 1С</t>
        </is>
      </c>
      <c r="E8" s="8" t="inlineStr">
        <is>
          <t>1С</t>
        </is>
      </c>
      <c r="F8" s="8" t="inlineStr">
        <is>
          <t>A</t>
        </is>
      </c>
      <c r="G8" s="14" t="n">
        <v>0</v>
      </c>
      <c r="H8" s="14" t="n">
        <v>-163943.25</v>
      </c>
      <c r="I8" s="14" t="n"/>
      <c r="J8" s="14" t="n">
        <v>-163943.25</v>
      </c>
      <c r="K8" s="21" t="n">
        <v>46217.37150462963</v>
      </c>
      <c r="L8" s="21" t="n"/>
      <c r="M8" s="8" t="inlineStr"/>
      <c r="N8" s="8" t="inlineStr">
        <is>
          <t>Бухгалтер 1С</t>
        </is>
      </c>
      <c r="O8" s="8" t="inlineStr"/>
      <c r="P8" s="12" t="inlineStr">
        <is>
          <t>Списание есть в ETM, но в 1С нет реализации по этим билетам — счёт не выставлен</t>
        </is>
      </c>
      <c r="Q8" s="8" t="inlineStr">
        <is>
          <t>57458399</t>
        </is>
      </c>
    </row>
    <row r="9">
      <c r="A9" s="8" t="inlineStr">
        <is>
          <t>G13883</t>
        </is>
      </c>
      <c r="B9" s="8" t="inlineStr">
        <is>
          <t>ТЯНЬ-ШАНЬ ЭКСПРЕСС</t>
        </is>
      </c>
      <c r="C9" s="8" t="inlineStr">
        <is>
          <t>2416943100|2416943101|2416943104</t>
        </is>
      </c>
      <c r="D9" s="8" t="inlineStr">
        <is>
          <t>Есть в ETM, нет в 1С</t>
        </is>
      </c>
      <c r="E9" s="8" t="inlineStr">
        <is>
          <t>1С</t>
        </is>
      </c>
      <c r="F9" s="8" t="inlineStr">
        <is>
          <t>A</t>
        </is>
      </c>
      <c r="G9" s="14" t="n">
        <v>0</v>
      </c>
      <c r="H9" s="14" t="n">
        <v>-144706.56</v>
      </c>
      <c r="I9" s="14" t="n">
        <v>144706.56</v>
      </c>
      <c r="J9" s="14" t="n">
        <v>-144706.56</v>
      </c>
      <c r="K9" s="21" t="n">
        <v>46194.41752314815</v>
      </c>
      <c r="L9" s="21" t="n"/>
      <c r="M9" s="8" t="inlineStr"/>
      <c r="N9" s="8" t="inlineStr">
        <is>
          <t>Бухгалтер 1С</t>
        </is>
      </c>
      <c r="O9" s="8" t="inlineStr">
        <is>
          <t>g.omurbekova</t>
        </is>
      </c>
      <c r="P9" s="12" t="inlineStr">
        <is>
          <t>Списание есть в ETM и продажа в реестре, но в 1С нет реализации по этим билетам — счёт не выставлен</t>
        </is>
      </c>
      <c r="Q9" s="8" t="inlineStr">
        <is>
          <t>57386616,57386643,57386599</t>
        </is>
      </c>
    </row>
    <row r="10">
      <c r="A10" s="8" t="inlineStr">
        <is>
          <t>G05473</t>
        </is>
      </c>
      <c r="B10" s="8" t="inlineStr">
        <is>
          <t>Ак-Куу Тур</t>
        </is>
      </c>
      <c r="C10" s="8" t="inlineStr">
        <is>
          <t>2416944535|2416944536|2416944539</t>
        </is>
      </c>
      <c r="D10" s="8" t="inlineStr">
        <is>
          <t>Есть в ETM, нет в 1С</t>
        </is>
      </c>
      <c r="E10" s="8" t="inlineStr">
        <is>
          <t>1С</t>
        </is>
      </c>
      <c r="F10" s="8" t="inlineStr">
        <is>
          <t>A</t>
        </is>
      </c>
      <c r="G10" s="14" t="n">
        <v>0</v>
      </c>
      <c r="H10" s="14" t="n">
        <v>-138159.9</v>
      </c>
      <c r="I10" s="14" t="n">
        <v>138159.9</v>
      </c>
      <c r="J10" s="14" t="n">
        <v>-138159.9</v>
      </c>
      <c r="K10" s="21" t="n">
        <v>46108.45917824074</v>
      </c>
      <c r="L10" s="21" t="n"/>
      <c r="M10" s="8" t="inlineStr"/>
      <c r="N10" s="8" t="inlineStr">
        <is>
          <t>Бухгалтер 1С</t>
        </is>
      </c>
      <c r="O10" s="8" t="inlineStr">
        <is>
          <t>b.isakov</t>
        </is>
      </c>
      <c r="P10" s="12" t="inlineStr">
        <is>
          <t>Списание есть в ETM и продажа в реестре, но в 1С нет реализации по этим билетам — счёт не выставлен</t>
        </is>
      </c>
      <c r="Q10" s="8" t="inlineStr">
        <is>
          <t>57175913,57175908,57175910</t>
        </is>
      </c>
    </row>
    <row r="11">
      <c r="A11" s="8" t="inlineStr">
        <is>
          <t>G13979</t>
        </is>
      </c>
      <c r="B11" s="8" t="inlineStr">
        <is>
          <t>ТЯНЬ-ШАНЬ ЭКСПРЕСС</t>
        </is>
      </c>
      <c r="C11" s="8" t="inlineStr">
        <is>
          <t>2559103101|2559103102|2559103105</t>
        </is>
      </c>
      <c r="D11" s="8" t="inlineStr">
        <is>
          <t>Есть в ETM, нет в 1С</t>
        </is>
      </c>
      <c r="E11" s="8" t="inlineStr">
        <is>
          <t>1С</t>
        </is>
      </c>
      <c r="F11" s="8" t="inlineStr">
        <is>
          <t>A</t>
        </is>
      </c>
      <c r="G11" s="14" t="n">
        <v>0</v>
      </c>
      <c r="H11" s="14" t="n">
        <v>-132888.24</v>
      </c>
      <c r="I11" s="14" t="n">
        <v>132888.255</v>
      </c>
      <c r="J11" s="14" t="n">
        <v>-132888.24</v>
      </c>
      <c r="K11" s="21" t="n">
        <v>46127.46288194445</v>
      </c>
      <c r="L11" s="21" t="n"/>
      <c r="M11" s="8" t="inlineStr"/>
      <c r="N11" s="8" t="inlineStr">
        <is>
          <t>Бухгалтер 1С</t>
        </is>
      </c>
      <c r="O11" s="8" t="inlineStr">
        <is>
          <t>d.mambetova</t>
        </is>
      </c>
      <c r="P11" s="12" t="inlineStr">
        <is>
          <t>Списание есть в ETM и продажа в реестре, но в 1С нет реализации по этим билетам — счёт не выставлен</t>
        </is>
      </c>
      <c r="Q11" s="8" t="inlineStr">
        <is>
          <t>57209313,57209349,57209331</t>
        </is>
      </c>
    </row>
    <row r="12">
      <c r="A12" s="8" t="inlineStr">
        <is>
          <t>G03114</t>
        </is>
      </c>
      <c r="B12" s="8" t="inlineStr">
        <is>
          <t>SkyWay Travel</t>
        </is>
      </c>
      <c r="C12" s="8" t="inlineStr">
        <is>
          <t>2461884640|2461884642|2461884643</t>
        </is>
      </c>
      <c r="D12" s="8" t="inlineStr">
        <is>
          <t>Есть в ETM, нет в 1С</t>
        </is>
      </c>
      <c r="E12" s="8" t="inlineStr">
        <is>
          <t>1С</t>
        </is>
      </c>
      <c r="F12" s="8" t="inlineStr">
        <is>
          <t>A</t>
        </is>
      </c>
      <c r="G12" s="14" t="n">
        <v>0</v>
      </c>
      <c r="H12" s="14" t="n">
        <v>-130356</v>
      </c>
      <c r="I12" s="14" t="n">
        <v>130356</v>
      </c>
      <c r="J12" s="14" t="n">
        <v>-130356</v>
      </c>
      <c r="K12" s="21" t="n">
        <v>46089.33923611111</v>
      </c>
      <c r="L12" s="21" t="n"/>
      <c r="M12" s="8" t="inlineStr"/>
      <c r="N12" s="8" t="inlineStr">
        <is>
          <t>Бухгалтер 1С</t>
        </is>
      </c>
      <c r="O12" s="8" t="inlineStr">
        <is>
          <t>n.abdyldaeva</t>
        </is>
      </c>
      <c r="P12" s="12" t="inlineStr">
        <is>
          <t>Списание есть в ETM и продажа в реестре, но в 1С нет реализации по этим билетам — счёт не выставлен</t>
        </is>
      </c>
      <c r="Q12" s="8" t="inlineStr">
        <is>
          <t>57132455,57132492,57132468</t>
        </is>
      </c>
    </row>
    <row r="13">
      <c r="A13" s="8" t="inlineStr">
        <is>
          <t>G13070</t>
        </is>
      </c>
      <c r="B13" s="8" t="inlineStr">
        <is>
          <t>Сатар уулу Санжар</t>
        </is>
      </c>
      <c r="C13" s="8" t="inlineStr">
        <is>
          <t>2460733285|2460733286|2460733289</t>
        </is>
      </c>
      <c r="D13" s="8" t="inlineStr">
        <is>
          <t>Есть в реестре и 1С, нет в ETM</t>
        </is>
      </c>
      <c r="E13" s="8" t="inlineStr">
        <is>
          <t>Бот ETM</t>
        </is>
      </c>
      <c r="F13" s="8" t="inlineStr">
        <is>
          <t>A</t>
        </is>
      </c>
      <c r="G13" s="14" t="n">
        <v>129948</v>
      </c>
      <c r="H13" s="14" t="n">
        <v>0</v>
      </c>
      <c r="I13" s="14" t="n">
        <v>129948</v>
      </c>
      <c r="J13" s="14" t="n">
        <v>129948</v>
      </c>
      <c r="K13" s="21" t="n"/>
      <c r="L13" s="21" t="n">
        <v>46096</v>
      </c>
      <c r="M13" s="8" t="inlineStr"/>
      <c r="N13" s="8" t="inlineStr">
        <is>
          <t>Разработчик/поддержка бота ETM</t>
        </is>
      </c>
      <c r="O13" s="8" t="inlineStr">
        <is>
          <t>b.isakov</t>
        </is>
      </c>
      <c r="P13" s="12" t="inlineStr">
        <is>
          <t>Продажа есть в реестре и в 1С, но бот не перенёс её на баланс ETM — списания нет</t>
        </is>
      </c>
      <c r="Q13" s="8" t="inlineStr"/>
    </row>
    <row r="14">
      <c r="A14" s="8" t="inlineStr">
        <is>
          <t>G01404</t>
        </is>
      </c>
      <c r="B14" s="8" t="inlineStr">
        <is>
          <t>Karakol Express</t>
        </is>
      </c>
      <c r="C14" s="8" t="inlineStr">
        <is>
          <t>2460732939|2460732941|2460732944|2460732945</t>
        </is>
      </c>
      <c r="D14" s="8" t="inlineStr">
        <is>
          <t>Есть в ETM, нет в 1С</t>
        </is>
      </c>
      <c r="E14" s="8" t="inlineStr">
        <is>
          <t>1С</t>
        </is>
      </c>
      <c r="F14" s="8" t="inlineStr">
        <is>
          <t>A</t>
        </is>
      </c>
      <c r="G14" s="14" t="n">
        <v>0</v>
      </c>
      <c r="H14" s="14" t="n">
        <v>-127788</v>
      </c>
      <c r="I14" s="14" t="n">
        <v>127788</v>
      </c>
      <c r="J14" s="14" t="n">
        <v>-127788</v>
      </c>
      <c r="K14" s="21" t="n">
        <v>46185.55771990741</v>
      </c>
      <c r="L14" s="21" t="n"/>
      <c r="M14" s="8" t="inlineStr"/>
      <c r="N14" s="8" t="inlineStr">
        <is>
          <t>Бухгалтер 1С</t>
        </is>
      </c>
      <c r="O14" s="8" t="inlineStr">
        <is>
          <t>n.abdyldaeva</t>
        </is>
      </c>
      <c r="P14" s="12" t="inlineStr">
        <is>
          <t>Списание есть в ETM и продажа в реестре, но в 1С нет реализации по этим билетам — счёт не выставлен</t>
        </is>
      </c>
      <c r="Q14" s="8" t="inlineStr">
        <is>
          <t>57360780,57360839,57360827,57360818</t>
        </is>
      </c>
    </row>
    <row r="15">
      <c r="A15" s="8" t="inlineStr">
        <is>
          <t>G12266</t>
        </is>
      </c>
      <c r="B15" s="8" t="inlineStr">
        <is>
          <t>САЛАМ ЭЙР</t>
        </is>
      </c>
      <c r="C15" s="8" t="inlineStr">
        <is>
          <t>2416941997|2416942000</t>
        </is>
      </c>
      <c r="D15" s="8" t="inlineStr">
        <is>
          <t>Есть в ETM, нет в 1С</t>
        </is>
      </c>
      <c r="E15" s="8" t="inlineStr">
        <is>
          <t>1С</t>
        </is>
      </c>
      <c r="F15" s="8" t="inlineStr">
        <is>
          <t>A</t>
        </is>
      </c>
      <c r="G15" s="14" t="n">
        <v>0</v>
      </c>
      <c r="H15" s="14" t="n">
        <v>-127600.2</v>
      </c>
      <c r="I15" s="14" t="n">
        <v>127600.2</v>
      </c>
      <c r="J15" s="14" t="n">
        <v>-127600.2</v>
      </c>
      <c r="K15" s="21" t="n">
        <v>46208.55094907407</v>
      </c>
      <c r="L15" s="21" t="n"/>
      <c r="M15" s="8" t="inlineStr"/>
      <c r="N15" s="8" t="inlineStr">
        <is>
          <t>Бухгалтер 1С</t>
        </is>
      </c>
      <c r="O15" s="8" t="inlineStr">
        <is>
          <t>d.mambetova</t>
        </is>
      </c>
      <c r="P15" s="12" t="inlineStr">
        <is>
          <t>Списание есть в ETM и продажа в реестре, но в 1С нет реализации по этим билетам — счёт не выставлен</t>
        </is>
      </c>
      <c r="Q15" s="8" t="inlineStr">
        <is>
          <t>57430999,57430973</t>
        </is>
      </c>
    </row>
    <row r="16">
      <c r="A16" s="8" t="inlineStr">
        <is>
          <t>G04364</t>
        </is>
      </c>
      <c r="B16" s="8" t="inlineStr">
        <is>
          <t>Абдылда уулу Б.</t>
        </is>
      </c>
      <c r="C16" s="8" t="inlineStr">
        <is>
          <t>2461883509|2461883511|2461883513|2461883514</t>
        </is>
      </c>
      <c r="D16" s="8" t="inlineStr">
        <is>
          <t>Есть в ETM, нет в 1С</t>
        </is>
      </c>
      <c r="E16" s="8" t="inlineStr">
        <is>
          <t>1С</t>
        </is>
      </c>
      <c r="F16" s="8" t="inlineStr">
        <is>
          <t>A</t>
        </is>
      </c>
      <c r="G16" s="14" t="n">
        <v>0</v>
      </c>
      <c r="H16" s="14" t="n">
        <v>-126240</v>
      </c>
      <c r="I16" s="14" t="n">
        <v>126240</v>
      </c>
      <c r="J16" s="14" t="n">
        <v>-126240</v>
      </c>
      <c r="K16" s="21" t="n">
        <v>46166.60594907407</v>
      </c>
      <c r="L16" s="21" t="n"/>
      <c r="M16" s="8" t="inlineStr"/>
      <c r="N16" s="8" t="inlineStr">
        <is>
          <t>Бухгалтер 1С</t>
        </is>
      </c>
      <c r="O16" s="8" t="inlineStr">
        <is>
          <t>a.toktosunova</t>
        </is>
      </c>
      <c r="P16" s="12" t="inlineStr">
        <is>
          <t>Списание есть в ETM и продажа в реестре, но в 1С нет реализации по этим билетам — счёт не выставлен</t>
        </is>
      </c>
      <c r="Q16" s="8" t="inlineStr">
        <is>
          <t>57313272</t>
        </is>
      </c>
    </row>
    <row r="17">
      <c r="A17" s="8" t="inlineStr">
        <is>
          <t>G10485</t>
        </is>
      </c>
      <c r="B17" s="8" t="inlineStr">
        <is>
          <t>Манас Тревел</t>
        </is>
      </c>
      <c r="C17" s="8" t="inlineStr">
        <is>
          <t>2559102575|2559102576|2559102578</t>
        </is>
      </c>
      <c r="D17" s="8" t="inlineStr">
        <is>
          <t>Есть в реестре и 1С, нет в ETM</t>
        </is>
      </c>
      <c r="E17" s="8" t="inlineStr">
        <is>
          <t>Бот ETM</t>
        </is>
      </c>
      <c r="F17" s="8" t="inlineStr">
        <is>
          <t>A</t>
        </is>
      </c>
      <c r="G17" s="14" t="n">
        <v>125193.84</v>
      </c>
      <c r="H17" s="14" t="n">
        <v>0</v>
      </c>
      <c r="I17" s="14" t="n">
        <v>125193.84</v>
      </c>
      <c r="J17" s="14" t="n">
        <v>125193.84</v>
      </c>
      <c r="K17" s="21" t="n"/>
      <c r="L17" s="21" t="n">
        <v>46148</v>
      </c>
      <c r="M17" s="8" t="inlineStr"/>
      <c r="N17" s="8" t="inlineStr">
        <is>
          <t>Разработчик/поддержка бота ETM</t>
        </is>
      </c>
      <c r="O17" s="8" t="inlineStr">
        <is>
          <t>a.toktosunova</t>
        </is>
      </c>
      <c r="P17" s="12" t="inlineStr">
        <is>
          <t>Продажа есть в реестре и в 1С, но бот не перенёс её на баланс ETM — списания нет</t>
        </is>
      </c>
      <c r="Q17" s="8" t="inlineStr"/>
    </row>
    <row r="18">
      <c r="A18" s="8" t="inlineStr">
        <is>
          <t>G14220</t>
        </is>
      </c>
      <c r="B18" s="8" t="inlineStr">
        <is>
          <t>Урматова Айпери Нурбековна</t>
        </is>
      </c>
      <c r="C18" s="8" t="inlineStr">
        <is>
          <t>2552671225|2552671226</t>
        </is>
      </c>
      <c r="D18" s="8" t="inlineStr">
        <is>
          <t>Есть в реестре и 1С, нет в ETM</t>
        </is>
      </c>
      <c r="E18" s="8" t="inlineStr">
        <is>
          <t>Бот ETM</t>
        </is>
      </c>
      <c r="F18" s="8" t="inlineStr">
        <is>
          <t>A</t>
        </is>
      </c>
      <c r="G18" s="14" t="n">
        <v>117615.24</v>
      </c>
      <c r="H18" s="14" t="n">
        <v>0</v>
      </c>
      <c r="I18" s="14" t="n">
        <v>117615.25</v>
      </c>
      <c r="J18" s="14" t="n">
        <v>117615.24</v>
      </c>
      <c r="K18" s="21" t="n"/>
      <c r="L18" s="21" t="n">
        <v>46085</v>
      </c>
      <c r="M18" s="8" t="inlineStr"/>
      <c r="N18" s="8" t="inlineStr">
        <is>
          <t>Разработчик/поддержка бота ETM</t>
        </is>
      </c>
      <c r="O18" s="8" t="inlineStr">
        <is>
          <t>d.mambetova</t>
        </is>
      </c>
      <c r="P18" s="12" t="inlineStr">
        <is>
          <t>Продажа есть в реестре и в 1С, но бот не перенёс её на баланс ETM — списания нет</t>
        </is>
      </c>
      <c r="Q18" s="8" t="inlineStr"/>
    </row>
    <row r="19">
      <c r="A19" s="8" t="inlineStr">
        <is>
          <t>G09824</t>
        </is>
      </c>
      <c r="B19" s="8" t="inlineStr">
        <is>
          <t>Кенешова Чолпон Таалайовна</t>
        </is>
      </c>
      <c r="C19" s="8" t="inlineStr">
        <is>
          <t>2416941910|2416941911</t>
        </is>
      </c>
      <c r="D19" s="8" t="inlineStr">
        <is>
          <t>Есть в реестре и 1С, нет в ETM</t>
        </is>
      </c>
      <c r="E19" s="8" t="inlineStr">
        <is>
          <t>Бот ETM</t>
        </is>
      </c>
      <c r="F19" s="8" t="inlineStr">
        <is>
          <t>A</t>
        </is>
      </c>
      <c r="G19" s="14" t="n">
        <v>116129.76</v>
      </c>
      <c r="H19" s="14" t="n">
        <v>0</v>
      </c>
      <c r="I19" s="14" t="n">
        <v>116129.75</v>
      </c>
      <c r="J19" s="14" t="n">
        <v>116129.76</v>
      </c>
      <c r="K19" s="21" t="n"/>
      <c r="L19" s="21" t="n">
        <v>46052</v>
      </c>
      <c r="M19" s="8" t="inlineStr"/>
      <c r="N19" s="8" t="inlineStr">
        <is>
          <t>Разработчик/поддержка бота ETM</t>
        </is>
      </c>
      <c r="O19" s="8" t="inlineStr">
        <is>
          <t>d.mambetova</t>
        </is>
      </c>
      <c r="P19" s="12" t="inlineStr">
        <is>
          <t>Продажа есть в реестре и в 1С, но бот не перенёс её на баланс ETM — списания нет</t>
        </is>
      </c>
      <c r="Q19" s="8" t="inlineStr"/>
    </row>
    <row r="20">
      <c r="A20" s="8" t="inlineStr">
        <is>
          <t>G05815</t>
        </is>
      </c>
      <c r="B20" s="8" t="inlineStr">
        <is>
          <t>Асанов Кубат Чынаревич</t>
        </is>
      </c>
      <c r="C20" s="8" t="inlineStr">
        <is>
          <t>2416943380|2416943382</t>
        </is>
      </c>
      <c r="D20" s="8" t="inlineStr">
        <is>
          <t>Есть в ETM, нет в 1С</t>
        </is>
      </c>
      <c r="E20" s="8" t="inlineStr">
        <is>
          <t>1С</t>
        </is>
      </c>
      <c r="F20" s="8" t="inlineStr">
        <is>
          <t>A</t>
        </is>
      </c>
      <c r="G20" s="14" t="n">
        <v>0</v>
      </c>
      <c r="H20" s="14" t="n">
        <v>-115067.94</v>
      </c>
      <c r="I20" s="14" t="n"/>
      <c r="J20" s="14" t="n">
        <v>-115067.94</v>
      </c>
      <c r="K20" s="21" t="n">
        <v>46179.66251157408</v>
      </c>
      <c r="L20" s="21" t="n"/>
      <c r="M20" s="8" t="inlineStr"/>
      <c r="N20" s="8" t="inlineStr">
        <is>
          <t>Бухгалтер 1С</t>
        </is>
      </c>
      <c r="O20" s="8" t="inlineStr"/>
      <c r="P20" s="12" t="inlineStr">
        <is>
          <t>Списание есть в ETM, но в 1С нет реализации по этим билетам — счёт не выставлен</t>
        </is>
      </c>
      <c r="Q20" s="8" t="inlineStr">
        <is>
          <t>57346685</t>
        </is>
      </c>
    </row>
    <row r="21">
      <c r="A21" s="8" t="inlineStr">
        <is>
          <t>G07555</t>
        </is>
      </c>
      <c r="B21" s="8" t="inlineStr">
        <is>
          <t>Жолчу кызы А.</t>
        </is>
      </c>
      <c r="C21" s="8" t="inlineStr">
        <is>
          <t>2552667333|2552667336</t>
        </is>
      </c>
      <c r="D21" s="8" t="inlineStr">
        <is>
          <t>Есть в ETM, нет в 1С</t>
        </is>
      </c>
      <c r="E21" s="8" t="inlineStr">
        <is>
          <t>1С</t>
        </is>
      </c>
      <c r="F21" s="8" t="inlineStr">
        <is>
          <t>A</t>
        </is>
      </c>
      <c r="G21" s="14" t="n">
        <v>0</v>
      </c>
      <c r="H21" s="14" t="n">
        <v>-110088.8</v>
      </c>
      <c r="I21" s="14" t="n">
        <v>2023.200000000012</v>
      </c>
      <c r="J21" s="14" t="n">
        <v>-110088.8</v>
      </c>
      <c r="K21" s="21" t="n">
        <v>46215.56289351852</v>
      </c>
      <c r="L21" s="21" t="n"/>
      <c r="M21" s="8" t="inlineStr"/>
      <c r="N21" s="8" t="inlineStr">
        <is>
          <t>Бухгалтер 1С</t>
        </is>
      </c>
      <c r="O21" s="8" t="inlineStr">
        <is>
          <t>a.toktosunova|k.dzhumaev</t>
        </is>
      </c>
      <c r="P21" s="12" t="inlineStr">
        <is>
          <t>Списание есть в ETM и продажа в реестре, но в 1С нет реализации по этим билетам — счёт не выставлен</t>
        </is>
      </c>
      <c r="Q21" s="8" t="inlineStr">
        <is>
          <t>57452130</t>
        </is>
      </c>
    </row>
    <row r="22">
      <c r="A22" s="8" t="inlineStr">
        <is>
          <t>G10423</t>
        </is>
      </c>
      <c r="B22" s="8" t="inlineStr">
        <is>
          <t>Манас Тревел</t>
        </is>
      </c>
      <c r="C22" s="8" t="inlineStr">
        <is>
          <t>2552669638|2552669640|2552669642</t>
        </is>
      </c>
      <c r="D22" s="8" t="inlineStr">
        <is>
          <t>Есть в ETM, нет в 1С</t>
        </is>
      </c>
      <c r="E22" s="8" t="inlineStr">
        <is>
          <t>1С</t>
        </is>
      </c>
      <c r="F22" s="8" t="inlineStr">
        <is>
          <t>A</t>
        </is>
      </c>
      <c r="G22" s="14" t="n">
        <v>0</v>
      </c>
      <c r="H22" s="14" t="n">
        <v>-106792.92</v>
      </c>
      <c r="I22" s="14" t="n">
        <v>106792.92</v>
      </c>
      <c r="J22" s="14" t="n">
        <v>-106792.92</v>
      </c>
      <c r="K22" s="21" t="n">
        <v>46089.39289351852</v>
      </c>
      <c r="L22" s="21" t="n"/>
      <c r="M22" s="8" t="inlineStr"/>
      <c r="N22" s="8" t="inlineStr">
        <is>
          <t>Бухгалтер 1С</t>
        </is>
      </c>
      <c r="O22" s="8" t="inlineStr">
        <is>
          <t>e.satarov</t>
        </is>
      </c>
      <c r="P22" s="12" t="inlineStr">
        <is>
          <t>Списание есть в ETM и продажа в реестре, но в 1С нет реализации по этим билетам — счёт не выставлен</t>
        </is>
      </c>
      <c r="Q22" s="8" t="inlineStr">
        <is>
          <t>57132122</t>
        </is>
      </c>
    </row>
    <row r="23">
      <c r="A23" s="8" t="inlineStr">
        <is>
          <t>G04442</t>
        </is>
      </c>
      <c r="B23" s="8" t="inlineStr">
        <is>
          <t>Абдылда уулу Б.</t>
        </is>
      </c>
      <c r="C23" s="8" t="inlineStr">
        <is>
          <t>2476319155|2476319157|2476319158|2476319159</t>
        </is>
      </c>
      <c r="D23" s="8" t="inlineStr">
        <is>
          <t>Есть в реестре и 1С, нет в ETM</t>
        </is>
      </c>
      <c r="E23" s="8" t="inlineStr">
        <is>
          <t>Бот ETM</t>
        </is>
      </c>
      <c r="F23" s="8" t="inlineStr">
        <is>
          <t>A</t>
        </is>
      </c>
      <c r="G23" s="14" t="n">
        <v>105761.04</v>
      </c>
      <c r="H23" s="14" t="n">
        <v>0</v>
      </c>
      <c r="I23" s="14" t="n">
        <v>105761.04</v>
      </c>
      <c r="J23" s="14" t="n">
        <v>105761.04</v>
      </c>
      <c r="K23" s="21" t="n"/>
      <c r="L23" s="21" t="n">
        <v>46099</v>
      </c>
      <c r="M23" s="8" t="inlineStr"/>
      <c r="N23" s="8" t="inlineStr">
        <is>
          <t>Разработчик/поддержка бота ETM</t>
        </is>
      </c>
      <c r="O23" s="8" t="inlineStr">
        <is>
          <t>k.dzhumaev</t>
        </is>
      </c>
      <c r="P23" s="12" t="inlineStr">
        <is>
          <t>Продажа есть в реестре и в 1С, но бот не перенёс её на баланс ETM — списания нет</t>
        </is>
      </c>
      <c r="Q23" s="8" t="inlineStr"/>
    </row>
    <row r="24">
      <c r="A24" s="8" t="inlineStr">
        <is>
          <t>G04751</t>
        </is>
      </c>
      <c r="B24" s="8" t="inlineStr">
        <is>
          <t>Ак-Куу Авиа</t>
        </is>
      </c>
      <c r="C24" s="8" t="inlineStr">
        <is>
          <t>2416942350|2416942353|2416942356|2416942357</t>
        </is>
      </c>
      <c r="D24" s="8" t="inlineStr">
        <is>
          <t>Есть в реестре и 1С, нет в ETM</t>
        </is>
      </c>
      <c r="E24" s="8" t="inlineStr">
        <is>
          <t>Бот ETM</t>
        </is>
      </c>
      <c r="F24" s="8" t="inlineStr">
        <is>
          <t>A</t>
        </is>
      </c>
      <c r="G24" s="14" t="n">
        <v>104833.2</v>
      </c>
      <c r="H24" s="14" t="n">
        <v>0</v>
      </c>
      <c r="I24" s="14" t="n">
        <v>104833.2</v>
      </c>
      <c r="J24" s="14" t="n">
        <v>104833.2</v>
      </c>
      <c r="K24" s="21" t="n"/>
      <c r="L24" s="21" t="n">
        <v>46035</v>
      </c>
      <c r="M24" s="8" t="inlineStr"/>
      <c r="N24" s="8" t="inlineStr">
        <is>
          <t>Разработчик/поддержка бота ETM</t>
        </is>
      </c>
      <c r="O24" s="8" t="inlineStr">
        <is>
          <t>a.toktosunova</t>
        </is>
      </c>
      <c r="P24" s="12" t="inlineStr">
        <is>
          <t>Продажа есть в реестре и в 1С, но бот не перенёс её на баланс ETM — списания нет</t>
        </is>
      </c>
      <c r="Q24" s="8" t="inlineStr"/>
    </row>
    <row r="25">
      <c r="A25" s="8" t="inlineStr">
        <is>
          <t>G04540</t>
        </is>
      </c>
      <c r="B25" s="8" t="inlineStr">
        <is>
          <t>Абдылда уулу Б.</t>
        </is>
      </c>
      <c r="C25" s="8" t="inlineStr">
        <is>
          <t>2559103835|2559103836</t>
        </is>
      </c>
      <c r="D25" s="8" t="inlineStr">
        <is>
          <t>Есть в реестре и 1С, нет в ETM</t>
        </is>
      </c>
      <c r="E25" s="8" t="inlineStr">
        <is>
          <t>Бот ETM</t>
        </is>
      </c>
      <c r="F25" s="8" t="inlineStr">
        <is>
          <t>A</t>
        </is>
      </c>
      <c r="G25" s="14" t="n">
        <v>98842.08</v>
      </c>
      <c r="H25" s="14" t="n">
        <v>0</v>
      </c>
      <c r="I25" s="14" t="n">
        <v>98842.08</v>
      </c>
      <c r="J25" s="14" t="n">
        <v>98842.08</v>
      </c>
      <c r="K25" s="21" t="n"/>
      <c r="L25" s="21" t="n">
        <v>46097</v>
      </c>
      <c r="M25" s="8" t="inlineStr"/>
      <c r="N25" s="8" t="inlineStr">
        <is>
          <t>Разработчик/поддержка бота ETM</t>
        </is>
      </c>
      <c r="O25" s="8" t="inlineStr">
        <is>
          <t>a.toktosunova</t>
        </is>
      </c>
      <c r="P25" s="12" t="inlineStr">
        <is>
          <t>Продажа есть в реестре и в 1С, но бот не перенёс её на баланс ETM — списания нет</t>
        </is>
      </c>
      <c r="Q25" s="8" t="inlineStr"/>
    </row>
    <row r="26">
      <c r="A26" s="8" t="inlineStr">
        <is>
          <t>G09676</t>
        </is>
      </c>
      <c r="B26" s="8" t="inlineStr">
        <is>
          <t>Кадырова Айнура Жумабекевна</t>
        </is>
      </c>
      <c r="C26" s="8" t="inlineStr">
        <is>
          <t>2460736923|2460736926|2460736927</t>
        </is>
      </c>
      <c r="D26" s="8" t="inlineStr">
        <is>
          <t>Есть в ETM, нет в 1С</t>
        </is>
      </c>
      <c r="E26" s="8" t="inlineStr">
        <is>
          <t>1С</t>
        </is>
      </c>
      <c r="F26" s="8" t="inlineStr">
        <is>
          <t>A</t>
        </is>
      </c>
      <c r="G26" s="14" t="n">
        <v>0</v>
      </c>
      <c r="H26" s="14" t="n">
        <v>-97458</v>
      </c>
      <c r="I26" s="14" t="n">
        <v>97458</v>
      </c>
      <c r="J26" s="14" t="n">
        <v>-97458</v>
      </c>
      <c r="K26" s="21" t="n">
        <v>46148.77995370371</v>
      </c>
      <c r="L26" s="21" t="n"/>
      <c r="M26" s="8" t="inlineStr"/>
      <c r="N26" s="8" t="inlineStr">
        <is>
          <t>Бухгалтер 1С</t>
        </is>
      </c>
      <c r="O26" s="8" t="inlineStr">
        <is>
          <t>k.dzhumaev</t>
        </is>
      </c>
      <c r="P26" s="12" t="inlineStr">
        <is>
          <t>Списание есть в ETM и продажа в реестре, но в 1С нет реализации по этим билетам — счёт не выставлен</t>
        </is>
      </c>
      <c r="Q26" s="8" t="inlineStr">
        <is>
          <t>57259064,57259120,57259100</t>
        </is>
      </c>
    </row>
    <row r="27">
      <c r="A27" s="8" t="inlineStr">
        <is>
          <t>G13427</t>
        </is>
      </c>
      <c r="B27" s="8" t="inlineStr">
        <is>
          <t>Сатарова А. О.</t>
        </is>
      </c>
      <c r="C27" s="8" t="inlineStr">
        <is>
          <t>2476314998|2476315000|2476315003</t>
        </is>
      </c>
      <c r="D27" s="8" t="inlineStr">
        <is>
          <t>Есть в реестре и 1С, нет в ETM</t>
        </is>
      </c>
      <c r="E27" s="8" t="inlineStr">
        <is>
          <t>Бот ETM</t>
        </is>
      </c>
      <c r="F27" s="8" t="inlineStr">
        <is>
          <t>A</t>
        </is>
      </c>
      <c r="G27" s="14" t="n">
        <v>96800.94</v>
      </c>
      <c r="H27" s="14" t="n">
        <v>0</v>
      </c>
      <c r="I27" s="14" t="n">
        <v>96800.94</v>
      </c>
      <c r="J27" s="14" t="n">
        <v>96800.94</v>
      </c>
      <c r="K27" s="21" t="n"/>
      <c r="L27" s="21" t="n">
        <v>46102</v>
      </c>
      <c r="M27" s="8" t="inlineStr"/>
      <c r="N27" s="8" t="inlineStr">
        <is>
          <t>Разработчик/поддержка бота ETM</t>
        </is>
      </c>
      <c r="O27" s="8" t="inlineStr">
        <is>
          <t>b.isakov</t>
        </is>
      </c>
      <c r="P27" s="12" t="inlineStr">
        <is>
          <t>Продажа есть в реестре и в 1С, но бот не перенёс её на баланс ETM — списания нет</t>
        </is>
      </c>
      <c r="Q27" s="8" t="inlineStr"/>
    </row>
    <row r="28">
      <c r="A28" s="8" t="inlineStr">
        <is>
          <t>G10159</t>
        </is>
      </c>
      <c r="B28" s="8" t="inlineStr">
        <is>
          <t>Манас Вояж</t>
        </is>
      </c>
      <c r="C28" s="8" t="inlineStr">
        <is>
          <t>2552671660|2552671662|2552671665</t>
        </is>
      </c>
      <c r="D28" s="8" t="inlineStr">
        <is>
          <t>Есть в ETM, нет в 1С</t>
        </is>
      </c>
      <c r="E28" s="8" t="inlineStr">
        <is>
          <t>1С</t>
        </is>
      </c>
      <c r="F28" s="8" t="inlineStr">
        <is>
          <t>A</t>
        </is>
      </c>
      <c r="G28" s="14" t="n">
        <v>0</v>
      </c>
      <c r="H28" s="14" t="n">
        <v>-96385.29000000001</v>
      </c>
      <c r="I28" s="14" t="n">
        <v>96385.2975</v>
      </c>
      <c r="J28" s="14" t="n">
        <v>-96385.29000000001</v>
      </c>
      <c r="K28" s="21" t="n">
        <v>46114.47665509259</v>
      </c>
      <c r="L28" s="21" t="n"/>
      <c r="M28" s="8" t="inlineStr"/>
      <c r="N28" s="8" t="inlineStr">
        <is>
          <t>Бухгалтер 1С</t>
        </is>
      </c>
      <c r="O28" s="8" t="inlineStr">
        <is>
          <t>d.mambetova</t>
        </is>
      </c>
      <c r="P28" s="12" t="inlineStr">
        <is>
          <t>Списание есть в ETM и продажа в реестре, но в 1С нет реализации по этим билетам — счёт не выставлен</t>
        </is>
      </c>
      <c r="Q28" s="8" t="inlineStr">
        <is>
          <t>57186857,57186863,57186859</t>
        </is>
      </c>
    </row>
    <row r="29">
      <c r="A29" s="8" t="inlineStr">
        <is>
          <t>G02612</t>
        </is>
      </c>
      <c r="B29" s="8" t="inlineStr">
        <is>
          <t>SkyWay Travel</t>
        </is>
      </c>
      <c r="C29" s="8" t="inlineStr">
        <is>
          <t>2459527020|2459527022|2459527024</t>
        </is>
      </c>
      <c r="D29" s="8" t="inlineStr">
        <is>
          <t>Есть в реестре и 1С, нет в ETM</t>
        </is>
      </c>
      <c r="E29" s="8" t="inlineStr">
        <is>
          <t>Бот ETM</t>
        </is>
      </c>
      <c r="F29" s="8" t="inlineStr">
        <is>
          <t>A</t>
        </is>
      </c>
      <c r="G29" s="14" t="n">
        <v>95907</v>
      </c>
      <c r="H29" s="14" t="n">
        <v>0</v>
      </c>
      <c r="I29" s="14" t="n">
        <v>95907</v>
      </c>
      <c r="J29" s="14" t="n">
        <v>95907</v>
      </c>
      <c r="K29" s="21" t="n"/>
      <c r="L29" s="21" t="n">
        <v>46049</v>
      </c>
      <c r="M29" s="8" t="inlineStr"/>
      <c r="N29" s="8" t="inlineStr">
        <is>
          <t>Разработчик/поддержка бота ETM</t>
        </is>
      </c>
      <c r="O29" s="8" t="inlineStr">
        <is>
          <t>g.omurbekova</t>
        </is>
      </c>
      <c r="P29" s="12" t="inlineStr">
        <is>
          <t>Продажа есть в реестре и в 1С, но бот не перенёс её на баланс ETM — списания нет</t>
        </is>
      </c>
      <c r="Q29" s="8" t="inlineStr"/>
    </row>
    <row r="30">
      <c r="A30" s="8" t="inlineStr">
        <is>
          <t>G04713</t>
        </is>
      </c>
      <c r="B30" s="8" t="inlineStr">
        <is>
          <t>Абдыраманова Д. А.</t>
        </is>
      </c>
      <c r="C30" s="8" t="inlineStr">
        <is>
          <t>2552670154|2552670155|2552670158</t>
        </is>
      </c>
      <c r="D30" s="8" t="inlineStr">
        <is>
          <t>Есть в ETM, нет в 1С</t>
        </is>
      </c>
      <c r="E30" s="8" t="inlineStr">
        <is>
          <t>1С</t>
        </is>
      </c>
      <c r="F30" s="8" t="inlineStr">
        <is>
          <t>A</t>
        </is>
      </c>
      <c r="G30" s="14" t="n">
        <v>0</v>
      </c>
      <c r="H30" s="14" t="n">
        <v>-95039.81999999999</v>
      </c>
      <c r="I30" s="14" t="n">
        <v>95039.81999999999</v>
      </c>
      <c r="J30" s="14" t="n">
        <v>-95039.81999999999</v>
      </c>
      <c r="K30" s="21" t="n">
        <v>46230.34378472222</v>
      </c>
      <c r="L30" s="21" t="n"/>
      <c r="M30" s="8" t="inlineStr"/>
      <c r="N30" s="8" t="inlineStr">
        <is>
          <t>Бухгалтер 1С</t>
        </is>
      </c>
      <c r="O30" s="8" t="inlineStr">
        <is>
          <t>b.isakov</t>
        </is>
      </c>
      <c r="P30" s="12" t="inlineStr">
        <is>
          <t>Списание есть в ETM и продажа в реестре, но в 1С нет реализации по этим билетам — счёт не выставлен</t>
        </is>
      </c>
      <c r="Q30" s="8" t="inlineStr">
        <is>
          <t>57492130,57492158,57492136</t>
        </is>
      </c>
    </row>
    <row r="31">
      <c r="A31" s="8" t="inlineStr">
        <is>
          <t>G09913</t>
        </is>
      </c>
      <c r="B31" s="8" t="inlineStr">
        <is>
          <t>МУРАС ТРИП</t>
        </is>
      </c>
      <c r="C31" s="8" t="inlineStr">
        <is>
          <t>2416943912|2416943914</t>
        </is>
      </c>
      <c r="D31" s="8" t="inlineStr">
        <is>
          <t>Сумма не сходится</t>
        </is>
      </c>
      <c r="E31" s="8" t="inlineStr">
        <is>
          <t>1С</t>
        </is>
      </c>
      <c r="F31" s="8" t="inlineStr">
        <is>
          <t>A</t>
        </is>
      </c>
      <c r="G31" s="14" t="n">
        <v>-80610.17999999999</v>
      </c>
      <c r="H31" s="14" t="n">
        <v>-14225.32000000001</v>
      </c>
      <c r="I31" s="14" t="n">
        <v>14225.32000000001</v>
      </c>
      <c r="J31" s="14" t="n">
        <v>-94835.5</v>
      </c>
      <c r="K31" s="21" t="n">
        <v>46214.51063657407</v>
      </c>
      <c r="L31" s="21" t="n">
        <v>46225</v>
      </c>
      <c r="M31" s="8" t="inlineStr"/>
      <c r="N31" s="8" t="inlineStr">
        <is>
          <t>Бухгалтер 1С</t>
        </is>
      </c>
      <c r="O31" s="8" t="inlineStr">
        <is>
          <t>b.isakov|e.satarov</t>
        </is>
      </c>
      <c r="P31" s="12" t="inlineStr">
        <is>
          <t>Реестр (14,225.32) совпадает с ETM (14,225.32), а в 1С -80,610.18: неверная сумма в 1С</t>
        </is>
      </c>
      <c r="Q31" s="8" t="inlineStr">
        <is>
          <t>57450691,57450661,57477805</t>
        </is>
      </c>
    </row>
    <row r="32">
      <c r="A32" s="8" t="inlineStr">
        <is>
          <t>G02341</t>
        </is>
      </c>
      <c r="B32" s="8" t="inlineStr">
        <is>
          <t>SkyWay Travel</t>
        </is>
      </c>
      <c r="C32" s="8" t="inlineStr">
        <is>
          <t>2416944456|2416944459</t>
        </is>
      </c>
      <c r="D32" s="8" t="inlineStr">
        <is>
          <t>Сумма не сходится</t>
        </is>
      </c>
      <c r="E32" s="8" t="inlineStr">
        <is>
          <t>1С</t>
        </is>
      </c>
      <c r="F32" s="8" t="inlineStr">
        <is>
          <t>A</t>
        </is>
      </c>
      <c r="G32" s="14" t="n">
        <v>-70885.77</v>
      </c>
      <c r="H32" s="14" t="n">
        <v>-23628.59</v>
      </c>
      <c r="I32" s="14" t="n">
        <v>23628.58</v>
      </c>
      <c r="J32" s="14" t="n">
        <v>-94514.36</v>
      </c>
      <c r="K32" s="21" t="n">
        <v>46079.62422453704</v>
      </c>
      <c r="L32" s="21" t="n">
        <v>46136</v>
      </c>
      <c r="M32" s="8" t="inlineStr"/>
      <c r="N32" s="8" t="inlineStr">
        <is>
          <t>Бухгалтер 1С</t>
        </is>
      </c>
      <c r="O32" s="8" t="inlineStr">
        <is>
          <t>n.abdyldaeva|r.sydykov</t>
        </is>
      </c>
      <c r="P32" s="12" t="inlineStr">
        <is>
          <t>Реестр (23,628.58) совпадает с ETM (23,628.59), а в 1С -70,885.77: неверная сумма в 1С</t>
        </is>
      </c>
      <c r="Q32" s="8" t="inlineStr">
        <is>
          <t>57110804,57110829,57225878</t>
        </is>
      </c>
    </row>
    <row r="33">
      <c r="A33" s="8" t="inlineStr">
        <is>
          <t>G14715</t>
        </is>
      </c>
      <c r="B33" s="8" t="inlineStr">
        <is>
          <t>ЫЙЫК ЭКСПРЕСС</t>
        </is>
      </c>
      <c r="C33" s="8" t="inlineStr">
        <is>
          <t>2416942558|2416942561</t>
        </is>
      </c>
      <c r="D33" s="8" t="inlineStr">
        <is>
          <t>Есть в реестре и 1С, нет в ETM</t>
        </is>
      </c>
      <c r="E33" s="8" t="inlineStr">
        <is>
          <t>Бот ETM</t>
        </is>
      </c>
      <c r="F33" s="8" t="inlineStr">
        <is>
          <t>A</t>
        </is>
      </c>
      <c r="G33" s="14" t="n">
        <v>94019.5</v>
      </c>
      <c r="H33" s="14" t="n">
        <v>0</v>
      </c>
      <c r="I33" s="14" t="n">
        <v>94019.5</v>
      </c>
      <c r="J33" s="14" t="n">
        <v>94019.5</v>
      </c>
      <c r="K33" s="21" t="n"/>
      <c r="L33" s="21" t="n">
        <v>46148</v>
      </c>
      <c r="M33" s="8" t="inlineStr"/>
      <c r="N33" s="8" t="inlineStr">
        <is>
          <t>Разработчик/поддержка бота ETM</t>
        </is>
      </c>
      <c r="O33" s="8" t="inlineStr">
        <is>
          <t>k.dzhumaev</t>
        </is>
      </c>
      <c r="P33" s="12" t="inlineStr">
        <is>
          <t>Продажа есть в реестре и в 1С, но бот не перенёс её на баланс ETM — списания нет</t>
        </is>
      </c>
      <c r="Q33" s="8" t="inlineStr"/>
    </row>
    <row r="34">
      <c r="A34" s="8" t="inlineStr">
        <is>
          <t>G09258</t>
        </is>
      </c>
      <c r="B34" s="8" t="inlineStr">
        <is>
          <t>ИССЫК ТРИП</t>
        </is>
      </c>
      <c r="C34" s="8" t="inlineStr">
        <is>
          <t>2552667309|2552667312</t>
        </is>
      </c>
      <c r="D34" s="8" t="inlineStr">
        <is>
          <t>Есть в реестре и 1С, нет в ETM</t>
        </is>
      </c>
      <c r="E34" s="8" t="inlineStr">
        <is>
          <t>Бот ETM</t>
        </is>
      </c>
      <c r="F34" s="8" t="inlineStr">
        <is>
          <t>A</t>
        </is>
      </c>
      <c r="G34" s="14" t="n">
        <v>93237.8</v>
      </c>
      <c r="H34" s="14" t="n">
        <v>0</v>
      </c>
      <c r="I34" s="14" t="n">
        <v>93237.8</v>
      </c>
      <c r="J34" s="14" t="n">
        <v>93237.8</v>
      </c>
      <c r="K34" s="21" t="n"/>
      <c r="L34" s="21" t="n">
        <v>46159</v>
      </c>
      <c r="M34" s="8" t="inlineStr"/>
      <c r="N34" s="8" t="inlineStr">
        <is>
          <t>Разработчик/поддержка бота ETM</t>
        </is>
      </c>
      <c r="O34" s="8" t="inlineStr">
        <is>
          <t>b.isakov</t>
        </is>
      </c>
      <c r="P34" s="12" t="inlineStr">
        <is>
          <t>Продажа есть в реестре и в 1С, но бот не перенёс её на баланс ETM — списания нет</t>
        </is>
      </c>
      <c r="Q34" s="8" t="inlineStr"/>
    </row>
    <row r="35">
      <c r="A35" s="8" t="inlineStr">
        <is>
          <t>G13576</t>
        </is>
      </c>
      <c r="B35" s="8" t="inlineStr">
        <is>
          <t>Сыдыков С. У.</t>
        </is>
      </c>
      <c r="C35" s="8" t="inlineStr">
        <is>
          <t>2552670969|2552670970|2552670973</t>
        </is>
      </c>
      <c r="D35" s="8" t="inlineStr">
        <is>
          <t>Есть в реестре и 1С, нет в ETM</t>
        </is>
      </c>
      <c r="E35" s="8" t="inlineStr">
        <is>
          <t>Бот ETM</t>
        </is>
      </c>
      <c r="F35" s="8" t="inlineStr">
        <is>
          <t>A</t>
        </is>
      </c>
      <c r="G35" s="14" t="n">
        <v>91517.13</v>
      </c>
      <c r="H35" s="14" t="n">
        <v>0</v>
      </c>
      <c r="I35" s="14" t="n">
        <v>91517.1375</v>
      </c>
      <c r="J35" s="14" t="n">
        <v>91517.13</v>
      </c>
      <c r="K35" s="21" t="n"/>
      <c r="L35" s="21" t="n">
        <v>46028</v>
      </c>
      <c r="M35" s="8" t="inlineStr"/>
      <c r="N35" s="8" t="inlineStr">
        <is>
          <t>Разработчик/поддержка бота ETM</t>
        </is>
      </c>
      <c r="O35" s="8" t="inlineStr">
        <is>
          <t>k.dzhumaev</t>
        </is>
      </c>
      <c r="P35" s="12" t="inlineStr">
        <is>
          <t>Продажа есть в реестре и в 1С, но бот не перенёс её на баланс ETM — списания нет</t>
        </is>
      </c>
      <c r="Q35" s="8" t="inlineStr"/>
    </row>
    <row r="36">
      <c r="A36" s="8" t="inlineStr">
        <is>
          <t>G08989</t>
        </is>
      </c>
      <c r="B36" s="8" t="inlineStr">
        <is>
          <t>ИССЫК ТРИП</t>
        </is>
      </c>
      <c r="C36" s="8" t="inlineStr">
        <is>
          <t>2459526893|2459526894</t>
        </is>
      </c>
      <c r="D36" s="8" t="inlineStr">
        <is>
          <t>Есть в ETM, нет в 1С</t>
        </is>
      </c>
      <c r="E36" s="8" t="inlineStr">
        <is>
          <t>1С</t>
        </is>
      </c>
      <c r="F36" s="8" t="inlineStr">
        <is>
          <t>A</t>
        </is>
      </c>
      <c r="G36" s="14" t="n">
        <v>0</v>
      </c>
      <c r="H36" s="14" t="n">
        <v>-89440</v>
      </c>
      <c r="I36" s="14" t="n">
        <v>89440</v>
      </c>
      <c r="J36" s="14" t="n">
        <v>-89440</v>
      </c>
      <c r="K36" s="21" t="n">
        <v>46151.40608796296</v>
      </c>
      <c r="L36" s="21" t="n"/>
      <c r="M36" s="8" t="inlineStr"/>
      <c r="N36" s="8" t="inlineStr">
        <is>
          <t>Бухгалтер 1С</t>
        </is>
      </c>
      <c r="O36" s="8" t="inlineStr">
        <is>
          <t>n.abdyldaeva</t>
        </is>
      </c>
      <c r="P36" s="12" t="inlineStr">
        <is>
          <t>Списание есть в ETM и продажа в реестре, но в 1С нет реализации по этим билетам — счёт не выставлен</t>
        </is>
      </c>
      <c r="Q36" s="8" t="inlineStr">
        <is>
          <t>57266763,57266742</t>
        </is>
      </c>
    </row>
    <row r="37">
      <c r="A37" s="8" t="inlineStr">
        <is>
          <t>G06813</t>
        </is>
      </c>
      <c r="B37" s="8" t="inlineStr">
        <is>
          <t>Джолдошова Салтанат Сатаревна</t>
        </is>
      </c>
      <c r="C37" s="8" t="inlineStr">
        <is>
          <t>2559099104|2559099107</t>
        </is>
      </c>
      <c r="D37" s="8" t="inlineStr">
        <is>
          <t>Есть в ETM, нет в 1С</t>
        </is>
      </c>
      <c r="E37" s="8" t="inlineStr">
        <is>
          <t>1С</t>
        </is>
      </c>
      <c r="F37" s="8" t="inlineStr">
        <is>
          <t>A</t>
        </is>
      </c>
      <c r="G37" s="14" t="n">
        <v>0</v>
      </c>
      <c r="H37" s="14" t="n">
        <v>-89279.03999999999</v>
      </c>
      <c r="I37" s="14" t="n">
        <v>1000</v>
      </c>
      <c r="J37" s="14" t="n">
        <v>-89279.03999999999</v>
      </c>
      <c r="K37" s="21" t="n">
        <v>46070.63883101852</v>
      </c>
      <c r="L37" s="21" t="n"/>
      <c r="M37" s="8" t="inlineStr"/>
      <c r="N37" s="8" t="inlineStr">
        <is>
          <t>Бухгалтер 1С</t>
        </is>
      </c>
      <c r="O37" s="8" t="inlineStr">
        <is>
          <t>b.isakov|d.mambetova</t>
        </is>
      </c>
      <c r="P37" s="12" t="inlineStr">
        <is>
          <t>Списание есть в ETM и продажа в реестре, но в 1С нет реализации по этим билетам — счёт не выставлен</t>
        </is>
      </c>
      <c r="Q37" s="8" t="inlineStr">
        <is>
          <t>57094267,57094265</t>
        </is>
      </c>
    </row>
    <row r="38">
      <c r="A38" s="8" t="inlineStr">
        <is>
          <t>G12224</t>
        </is>
      </c>
      <c r="B38" s="8" t="inlineStr">
        <is>
          <t>САЛАМ ВОЯЖ</t>
        </is>
      </c>
      <c r="C38" s="8" t="inlineStr">
        <is>
          <t>2459528839|2459528840</t>
        </is>
      </c>
      <c r="D38" s="8" t="inlineStr">
        <is>
          <t>Сумма не сходится</t>
        </is>
      </c>
      <c r="E38" s="8" t="inlineStr">
        <is>
          <t>Бот ETM</t>
        </is>
      </c>
      <c r="F38" s="8" t="inlineStr">
        <is>
          <t>A</t>
        </is>
      </c>
      <c r="G38" s="14" t="n">
        <v>48998.4</v>
      </c>
      <c r="H38" s="14" t="n">
        <v>40089.6</v>
      </c>
      <c r="I38" s="14" t="n">
        <v>48998.4</v>
      </c>
      <c r="J38" s="14" t="n">
        <v>89088</v>
      </c>
      <c r="K38" s="21" t="n">
        <v>46177.49106481481</v>
      </c>
      <c r="L38" s="21" t="n">
        <v>46133</v>
      </c>
      <c r="M38" s="8" t="inlineStr"/>
      <c r="N38" s="8" t="inlineStr">
        <is>
          <t>Разработчик/поддержка бота ETM</t>
        </is>
      </c>
      <c r="O38" s="8" t="inlineStr">
        <is>
          <t>b.isakov|g.omurbekova</t>
        </is>
      </c>
      <c r="P38" s="12" t="inlineStr">
        <is>
          <t>Реестр (48,998.40) совпадает с 1С (48,998.40), а в ETM -40,089.60: бот перенёс неверную сумму</t>
        </is>
      </c>
      <c r="Q38" s="8" t="inlineStr">
        <is>
          <t>57339940</t>
        </is>
      </c>
    </row>
    <row r="39">
      <c r="A39" s="8" t="inlineStr">
        <is>
          <t>G07877</t>
        </is>
      </c>
      <c r="B39" s="8" t="inlineStr">
        <is>
          <t>ИП Асанов К. Б.</t>
        </is>
      </c>
      <c r="C39" s="8" t="inlineStr">
        <is>
          <t>2552668100|2552668103|2552668104</t>
        </is>
      </c>
      <c r="D39" s="8" t="inlineStr">
        <is>
          <t>Есть в ETM, нет в 1С</t>
        </is>
      </c>
      <c r="E39" s="8" t="inlineStr">
        <is>
          <t>1С</t>
        </is>
      </c>
      <c r="F39" s="8" t="inlineStr">
        <is>
          <t>A</t>
        </is>
      </c>
      <c r="G39" s="14" t="n">
        <v>0</v>
      </c>
      <c r="H39" s="14" t="n">
        <v>-87873.87</v>
      </c>
      <c r="I39" s="14" t="n">
        <v>87873.8775</v>
      </c>
      <c r="J39" s="14" t="n">
        <v>-87873.87</v>
      </c>
      <c r="K39" s="21" t="n">
        <v>46179.54555555555</v>
      </c>
      <c r="L39" s="21" t="n"/>
      <c r="M39" s="8" t="inlineStr"/>
      <c r="N39" s="8" t="inlineStr">
        <is>
          <t>Бухгалтер 1С</t>
        </is>
      </c>
      <c r="O39" s="8" t="inlineStr">
        <is>
          <t>b.isakov</t>
        </is>
      </c>
      <c r="P39" s="12" t="inlineStr">
        <is>
          <t>Списание есть в ETM и продажа в реестре, но в 1С нет реализации по этим билетам — счёт не выставлен</t>
        </is>
      </c>
      <c r="Q39" s="8" t="inlineStr">
        <is>
          <t>57345966,57345926,57345964</t>
        </is>
      </c>
    </row>
    <row r="40">
      <c r="A40" s="8" t="inlineStr">
        <is>
          <t>G10319</t>
        </is>
      </c>
      <c r="B40" s="8" t="inlineStr">
        <is>
          <t>Манас Тревел</t>
        </is>
      </c>
      <c r="C40" s="8" t="inlineStr">
        <is>
          <t>2460736416|2460736417</t>
        </is>
      </c>
      <c r="D40" s="8" t="inlineStr">
        <is>
          <t>Есть в ETM, нет в 1С</t>
        </is>
      </c>
      <c r="E40" s="8" t="inlineStr">
        <is>
          <t>1С</t>
        </is>
      </c>
      <c r="F40" s="8" t="inlineStr">
        <is>
          <t>A</t>
        </is>
      </c>
      <c r="G40" s="14" t="n">
        <v>0</v>
      </c>
      <c r="H40" s="14" t="n">
        <v>-87744</v>
      </c>
      <c r="I40" s="14" t="n">
        <v>87744</v>
      </c>
      <c r="J40" s="14" t="n">
        <v>-87744</v>
      </c>
      <c r="K40" s="21" t="n">
        <v>46039.66585648148</v>
      </c>
      <c r="L40" s="21" t="n"/>
      <c r="M40" s="8" t="inlineStr"/>
      <c r="N40" s="8" t="inlineStr">
        <is>
          <t>Бухгалтер 1С</t>
        </is>
      </c>
      <c r="O40" s="8" t="inlineStr">
        <is>
          <t>d.mambetova</t>
        </is>
      </c>
      <c r="P40" s="12" t="inlineStr">
        <is>
          <t>Списание есть в ETM и продажа в реестре, но в 1С нет реализации по этим билетам — счёт не выставлен</t>
        </is>
      </c>
      <c r="Q40" s="8" t="inlineStr">
        <is>
          <t>57034828,57034817</t>
        </is>
      </c>
    </row>
    <row r="41">
      <c r="A41" s="8" t="inlineStr">
        <is>
          <t>G14186</t>
        </is>
      </c>
      <c r="B41" s="8" t="inlineStr">
        <is>
          <t>Урматова Айпери Нурбековна</t>
        </is>
      </c>
      <c r="C41" s="8" t="inlineStr">
        <is>
          <t>2461882937|2461882939</t>
        </is>
      </c>
      <c r="D41" s="8" t="inlineStr">
        <is>
          <t>Есть в ETM, нет в 1С</t>
        </is>
      </c>
      <c r="E41" s="8" t="inlineStr">
        <is>
          <t>1С</t>
        </is>
      </c>
      <c r="F41" s="8" t="inlineStr">
        <is>
          <t>A</t>
        </is>
      </c>
      <c r="G41" s="14" t="n">
        <v>0</v>
      </c>
      <c r="H41" s="14" t="n">
        <v>-86718</v>
      </c>
      <c r="I41" s="14" t="n">
        <v>86718</v>
      </c>
      <c r="J41" s="14" t="n">
        <v>-86718</v>
      </c>
      <c r="K41" s="21" t="n">
        <v>46038.67901620371</v>
      </c>
      <c r="L41" s="21" t="n"/>
      <c r="M41" s="8" t="inlineStr"/>
      <c r="N41" s="8" t="inlineStr">
        <is>
          <t>Бухгалтер 1С</t>
        </is>
      </c>
      <c r="O41" s="8" t="inlineStr">
        <is>
          <t>d.mambetova</t>
        </is>
      </c>
      <c r="P41" s="12" t="inlineStr">
        <is>
          <t>Списание есть в ETM и продажа в реестре, но в 1С нет реализации по этим билетам — счёт не выставлен</t>
        </is>
      </c>
      <c r="Q41" s="8" t="inlineStr">
        <is>
          <t>57031783,57031764</t>
        </is>
      </c>
    </row>
    <row r="42">
      <c r="A42" s="8" t="inlineStr">
        <is>
          <t>G11484</t>
        </is>
      </c>
      <c r="B42" s="8" t="inlineStr">
        <is>
          <t>ОсОО Кара-Кол Трип</t>
        </is>
      </c>
      <c r="C42" s="8" t="inlineStr">
        <is>
          <t>2416944269|2416944270|2416944273</t>
        </is>
      </c>
      <c r="D42" s="8" t="inlineStr">
        <is>
          <t>Есть в ETM, нет в 1С</t>
        </is>
      </c>
      <c r="E42" s="8" t="inlineStr">
        <is>
          <t>1С</t>
        </is>
      </c>
      <c r="F42" s="8" t="inlineStr">
        <is>
          <t>A</t>
        </is>
      </c>
      <c r="G42" s="14" t="n">
        <v>0</v>
      </c>
      <c r="H42" s="14" t="n">
        <v>-80770.92</v>
      </c>
      <c r="I42" s="14" t="n">
        <v>80770.92</v>
      </c>
      <c r="J42" s="14" t="n">
        <v>-80770.92</v>
      </c>
      <c r="K42" s="21" t="n">
        <v>46228.4016550926</v>
      </c>
      <c r="L42" s="21" t="n"/>
      <c r="M42" s="8" t="inlineStr"/>
      <c r="N42" s="8" t="inlineStr">
        <is>
          <t>Бухгалтер 1С</t>
        </is>
      </c>
      <c r="O42" s="8" t="inlineStr">
        <is>
          <t>r.sydykov</t>
        </is>
      </c>
      <c r="P42" s="12" t="inlineStr">
        <is>
          <t>Списание есть в ETM и продажа в реестре, но в 1С нет реализации по этим билетам — счёт не выставлен</t>
        </is>
      </c>
      <c r="Q42" s="8" t="inlineStr">
        <is>
          <t>57487196,57487161,57487194</t>
        </is>
      </c>
    </row>
    <row r="43">
      <c r="A43" s="8" t="inlineStr">
        <is>
          <t>G13270</t>
        </is>
      </c>
      <c r="B43" s="8" t="inlineStr">
        <is>
          <t>Сатар уулу Санжар</t>
        </is>
      </c>
      <c r="C43" s="8" t="inlineStr">
        <is>
          <t>2552667874|2552667877</t>
        </is>
      </c>
      <c r="D43" s="8" t="inlineStr">
        <is>
          <t>Сумма не сходится</t>
        </is>
      </c>
      <c r="E43" s="8" t="inlineStr">
        <is>
          <t>1С</t>
        </is>
      </c>
      <c r="F43" s="8" t="inlineStr">
        <is>
          <t>A</t>
        </is>
      </c>
      <c r="G43" s="14" t="n">
        <v>105955.44</v>
      </c>
      <c r="H43" s="14" t="n">
        <v>-26488.86</v>
      </c>
      <c r="I43" s="14" t="n">
        <v>26488.87</v>
      </c>
      <c r="J43" s="14" t="n">
        <v>79466.58</v>
      </c>
      <c r="K43" s="21" t="n">
        <v>46166.60883101852</v>
      </c>
      <c r="L43" s="21" t="n">
        <v>46166</v>
      </c>
      <c r="M43" s="8" t="inlineStr"/>
      <c r="N43" s="8" t="inlineStr">
        <is>
          <t>Бухгалтер 1С</t>
        </is>
      </c>
      <c r="O43" s="8" t="inlineStr">
        <is>
          <t>g.omurbekova|r.sydykov</t>
        </is>
      </c>
      <c r="P43" s="12" t="inlineStr">
        <is>
          <t>Реестр (26,488.87) совпадает с ETM (26,488.86), а в 1С 105,955.44: неверная сумма в 1С</t>
        </is>
      </c>
      <c r="Q43" s="8" t="inlineStr">
        <is>
          <t>57312406,57312400,57337869</t>
        </is>
      </c>
    </row>
    <row r="44">
      <c r="A44" s="8" t="inlineStr">
        <is>
          <t>G10198</t>
        </is>
      </c>
      <c r="B44" s="8" t="inlineStr">
        <is>
          <t>Манас Тревел</t>
        </is>
      </c>
      <c r="C44" s="8" t="inlineStr">
        <is>
          <t>2416944813|2416944816|2416944819</t>
        </is>
      </c>
      <c r="D44" s="8" t="inlineStr">
        <is>
          <t>Есть в ETM, нет в 1С</t>
        </is>
      </c>
      <c r="E44" s="8" t="inlineStr">
        <is>
          <t>1С</t>
        </is>
      </c>
      <c r="F44" s="8" t="inlineStr">
        <is>
          <t>A</t>
        </is>
      </c>
      <c r="G44" s="14" t="n">
        <v>0</v>
      </c>
      <c r="H44" s="14" t="n">
        <v>-75414.36</v>
      </c>
      <c r="I44" s="14" t="n">
        <v>75414.345</v>
      </c>
      <c r="J44" s="14" t="n">
        <v>-75414.36</v>
      </c>
      <c r="K44" s="21" t="n">
        <v>46141.36751157408</v>
      </c>
      <c r="L44" s="21" t="n"/>
      <c r="M44" s="8" t="inlineStr"/>
      <c r="N44" s="8" t="inlineStr">
        <is>
          <t>Бухгалтер 1С</t>
        </is>
      </c>
      <c r="O44" s="8" t="inlineStr">
        <is>
          <t>r.sydykov</t>
        </is>
      </c>
      <c r="P44" s="12" t="inlineStr">
        <is>
          <t>Списание есть в ETM и продажа в реестре, но в 1С нет реализации по этим билетам — счёт не выставлен</t>
        </is>
      </c>
      <c r="Q44" s="8" t="inlineStr">
        <is>
          <t>57237738,57237704,57237674</t>
        </is>
      </c>
    </row>
    <row r="45">
      <c r="A45" s="8" t="inlineStr">
        <is>
          <t>G01972</t>
        </is>
      </c>
      <c r="B45" s="8" t="inlineStr">
        <is>
          <t>Karakol Express</t>
        </is>
      </c>
      <c r="C45" s="8" t="inlineStr">
        <is>
          <t>2559103448|2559103451</t>
        </is>
      </c>
      <c r="D45" s="8" t="inlineStr">
        <is>
          <t>Есть в реестре и 1С, нет в ETM</t>
        </is>
      </c>
      <c r="E45" s="8" t="inlineStr">
        <is>
          <t>Бот ETM</t>
        </is>
      </c>
      <c r="F45" s="8" t="inlineStr">
        <is>
          <t>A</t>
        </is>
      </c>
      <c r="G45" s="14" t="n">
        <v>75381.06</v>
      </c>
      <c r="H45" s="14" t="n">
        <v>0</v>
      </c>
      <c r="I45" s="14" t="n">
        <v>75381.05</v>
      </c>
      <c r="J45" s="14" t="n">
        <v>75381.06</v>
      </c>
      <c r="K45" s="21" t="n"/>
      <c r="L45" s="21" t="n">
        <v>46223</v>
      </c>
      <c r="M45" s="8" t="inlineStr"/>
      <c r="N45" s="8" t="inlineStr">
        <is>
          <t>Разработчик/поддержка бота ETM</t>
        </is>
      </c>
      <c r="O45" s="8" t="inlineStr">
        <is>
          <t>g.omurbekova</t>
        </is>
      </c>
      <c r="P45" s="12" t="inlineStr">
        <is>
          <t>Продажа есть в реестре и в 1С, но бот не перенёс её на баланс ETM — списания нет</t>
        </is>
      </c>
      <c r="Q45" s="8" t="inlineStr"/>
    </row>
    <row r="46">
      <c r="A46" s="8" t="inlineStr">
        <is>
          <t>G08891</t>
        </is>
      </c>
      <c r="B46" s="8" t="inlineStr">
        <is>
          <t>ИССЫК ТРИП</t>
        </is>
      </c>
      <c r="C46" s="8" t="inlineStr">
        <is>
          <t>2416944487|2416944490</t>
        </is>
      </c>
      <c r="D46" s="8" t="inlineStr">
        <is>
          <t>Есть в ETM, нет в 1С</t>
        </is>
      </c>
      <c r="E46" s="8" t="inlineStr">
        <is>
          <t>1С</t>
        </is>
      </c>
      <c r="F46" s="8" t="inlineStr">
        <is>
          <t>A</t>
        </is>
      </c>
      <c r="G46" s="14" t="n">
        <v>0</v>
      </c>
      <c r="H46" s="14" t="n">
        <v>-74579.92</v>
      </c>
      <c r="I46" s="14" t="n">
        <v>74579.92</v>
      </c>
      <c r="J46" s="14" t="n">
        <v>-74579.92</v>
      </c>
      <c r="K46" s="21" t="n">
        <v>46096.39436342593</v>
      </c>
      <c r="L46" s="21" t="n"/>
      <c r="M46" s="8" t="inlineStr"/>
      <c r="N46" s="8" t="inlineStr">
        <is>
          <t>Бухгалтер 1С</t>
        </is>
      </c>
      <c r="O46" s="8" t="inlineStr">
        <is>
          <t>a.toktosunova</t>
        </is>
      </c>
      <c r="P46" s="12" t="inlineStr">
        <is>
          <t>Списание есть в ETM и продажа в реестре, но в 1С нет реализации по этим билетам — счёт не выставлен</t>
        </is>
      </c>
      <c r="Q46" s="8" t="inlineStr">
        <is>
          <t>57149412,57149441</t>
        </is>
      </c>
    </row>
    <row r="47">
      <c r="A47" s="8" t="inlineStr">
        <is>
          <t>G11681</t>
        </is>
      </c>
      <c r="B47" s="8" t="inlineStr">
        <is>
          <t>ОсОО Кок-Жайык Вояж</t>
        </is>
      </c>
      <c r="C47" s="8" t="inlineStr">
        <is>
          <t>2461882909|2461882912|2461882915</t>
        </is>
      </c>
      <c r="D47" s="8" t="inlineStr">
        <is>
          <t>Есть в реестре и 1С, нет в ETM</t>
        </is>
      </c>
      <c r="E47" s="8" t="inlineStr">
        <is>
          <t>Бот ETM</t>
        </is>
      </c>
      <c r="F47" s="8" t="inlineStr">
        <is>
          <t>A</t>
        </is>
      </c>
      <c r="G47" s="14" t="n">
        <v>73794</v>
      </c>
      <c r="H47" s="14" t="n">
        <v>0</v>
      </c>
      <c r="I47" s="14" t="n">
        <v>73794</v>
      </c>
      <c r="J47" s="14" t="n">
        <v>73794</v>
      </c>
      <c r="K47" s="21" t="n"/>
      <c r="L47" s="21" t="n">
        <v>46141</v>
      </c>
      <c r="M47" s="8" t="inlineStr"/>
      <c r="N47" s="8" t="inlineStr">
        <is>
          <t>Разработчик/поддержка бота ETM</t>
        </is>
      </c>
      <c r="O47" s="8" t="inlineStr">
        <is>
          <t>g.omurbekova</t>
        </is>
      </c>
      <c r="P47" s="12" t="inlineStr">
        <is>
          <t>Продажа есть в реестре и в 1С, но бот не перенёс её на баланс ETM — списания нет</t>
        </is>
      </c>
      <c r="Q47" s="8" t="inlineStr"/>
    </row>
    <row r="48">
      <c r="A48" s="8" t="inlineStr">
        <is>
          <t>G09272</t>
        </is>
      </c>
      <c r="B48" s="8" t="inlineStr">
        <is>
          <t>ИССЫК ТРИП</t>
        </is>
      </c>
      <c r="C48" s="8" t="inlineStr">
        <is>
          <t>2552668397|2552668399|2552668401</t>
        </is>
      </c>
      <c r="D48" s="8" t="inlineStr">
        <is>
          <t>Есть в ETM, нет в 1С</t>
        </is>
      </c>
      <c r="E48" s="8" t="inlineStr">
        <is>
          <t>1С</t>
        </is>
      </c>
      <c r="F48" s="8" t="inlineStr">
        <is>
          <t>A</t>
        </is>
      </c>
      <c r="G48" s="14" t="n">
        <v>0</v>
      </c>
      <c r="H48" s="14" t="n">
        <v>-73454.07000000001</v>
      </c>
      <c r="I48" s="14" t="n">
        <v>900</v>
      </c>
      <c r="J48" s="14" t="n">
        <v>-73454.07000000001</v>
      </c>
      <c r="K48" s="21" t="n">
        <v>46104.52402777778</v>
      </c>
      <c r="L48" s="21" t="n"/>
      <c r="M48" s="8" t="inlineStr"/>
      <c r="N48" s="8" t="inlineStr">
        <is>
          <t>Бухгалтер 1С</t>
        </is>
      </c>
      <c r="O48" s="8" t="inlineStr">
        <is>
          <t>e.satarov|g.omurbekova</t>
        </is>
      </c>
      <c r="P48" s="12" t="inlineStr">
        <is>
          <t>Списание есть в ETM и продажа в реестре, но в 1С нет реализации по этим билетам — счёт не выставлен</t>
        </is>
      </c>
      <c r="Q48" s="8" t="inlineStr">
        <is>
          <t>57165464</t>
        </is>
      </c>
    </row>
    <row r="49">
      <c r="A49" s="8" t="inlineStr">
        <is>
          <t>G01015</t>
        </is>
      </c>
      <c r="B49" s="8" t="inlineStr">
        <is>
          <t>Jailoo Trip</t>
        </is>
      </c>
      <c r="C49" s="8" t="inlineStr">
        <is>
          <t>2476314807|2476314810|2476314813|2476314816</t>
        </is>
      </c>
      <c r="D49" s="8" t="inlineStr">
        <is>
          <t>Есть в реестре и 1С, нет в ETM</t>
        </is>
      </c>
      <c r="E49" s="8" t="inlineStr">
        <is>
          <t>Бот ETM</t>
        </is>
      </c>
      <c r="F49" s="8" t="inlineStr">
        <is>
          <t>A</t>
        </is>
      </c>
      <c r="G49" s="14" t="n">
        <v>73085.03999999999</v>
      </c>
      <c r="H49" s="14" t="n">
        <v>0</v>
      </c>
      <c r="I49" s="14" t="n">
        <v>73085.04000000001</v>
      </c>
      <c r="J49" s="14" t="n">
        <v>73085.03999999999</v>
      </c>
      <c r="K49" s="21" t="n"/>
      <c r="L49" s="21" t="n">
        <v>46153</v>
      </c>
      <c r="M49" s="8" t="inlineStr"/>
      <c r="N49" s="8" t="inlineStr">
        <is>
          <t>Разработчик/поддержка бота ETM</t>
        </is>
      </c>
      <c r="O49" s="8" t="inlineStr">
        <is>
          <t>k.dzhumaev</t>
        </is>
      </c>
      <c r="P49" s="12" t="inlineStr">
        <is>
          <t>Продажа есть в реестре и в 1С, но бот не перенёс её на баланс ETM — списания нет</t>
        </is>
      </c>
      <c r="Q49" s="8" t="inlineStr"/>
    </row>
    <row r="50">
      <c r="A50" s="8" t="inlineStr">
        <is>
          <t>G07949</t>
        </is>
      </c>
      <c r="B50" s="8" t="inlineStr">
        <is>
          <t>ИП Бейшенова Д. О.</t>
        </is>
      </c>
      <c r="C50" s="8" t="inlineStr">
        <is>
          <t>2460735390|2460735392|2460735394</t>
        </is>
      </c>
      <c r="D50" s="8" t="inlineStr">
        <is>
          <t>Есть в реестре и 1С, нет в ETM</t>
        </is>
      </c>
      <c r="E50" s="8" t="inlineStr">
        <is>
          <t>Бот ETM</t>
        </is>
      </c>
      <c r="F50" s="8" t="inlineStr">
        <is>
          <t>A</t>
        </is>
      </c>
      <c r="G50" s="14" t="n">
        <v>72945</v>
      </c>
      <c r="H50" s="14" t="n">
        <v>0</v>
      </c>
      <c r="I50" s="14" t="n">
        <v>72945</v>
      </c>
      <c r="J50" s="14" t="n">
        <v>72945</v>
      </c>
      <c r="K50" s="21" t="n"/>
      <c r="L50" s="21" t="n">
        <v>46108</v>
      </c>
      <c r="M50" s="8" t="inlineStr"/>
      <c r="N50" s="8" t="inlineStr">
        <is>
          <t>Разработчик/поддержка бота ETM</t>
        </is>
      </c>
      <c r="O50" s="8" t="inlineStr">
        <is>
          <t>n.abdyldaeva</t>
        </is>
      </c>
      <c r="P50" s="12" t="inlineStr">
        <is>
          <t>Продажа есть в реестре и в 1С, но бот не перенёс её на баланс ETM — списания нет</t>
        </is>
      </c>
      <c r="Q50" s="8" t="inlineStr"/>
    </row>
    <row r="51">
      <c r="A51" s="8" t="inlineStr">
        <is>
          <t>G01783</t>
        </is>
      </c>
      <c r="B51" s="8" t="inlineStr">
        <is>
          <t>Karakol Express</t>
        </is>
      </c>
      <c r="C51" s="8" t="inlineStr">
        <is>
          <t>2552668375|2552668376|2552668378</t>
        </is>
      </c>
      <c r="D51" s="8" t="inlineStr">
        <is>
          <t>Есть в реестре и 1С, нет в ETM</t>
        </is>
      </c>
      <c r="E51" s="8" t="inlineStr">
        <is>
          <t>Бот ETM</t>
        </is>
      </c>
      <c r="F51" s="8" t="inlineStr">
        <is>
          <t>A</t>
        </is>
      </c>
      <c r="G51" s="14" t="n">
        <v>72109.11</v>
      </c>
      <c r="H51" s="14" t="n">
        <v>0</v>
      </c>
      <c r="I51" s="14" t="n">
        <v>72109.10249999999</v>
      </c>
      <c r="J51" s="14" t="n">
        <v>72109.11</v>
      </c>
      <c r="K51" s="21" t="n"/>
      <c r="L51" s="21" t="n">
        <v>46034</v>
      </c>
      <c r="M51" s="8" t="inlineStr"/>
      <c r="N51" s="8" t="inlineStr">
        <is>
          <t>Разработчик/поддержка бота ETM</t>
        </is>
      </c>
      <c r="O51" s="8" t="inlineStr">
        <is>
          <t>b.isakov</t>
        </is>
      </c>
      <c r="P51" s="12" t="inlineStr">
        <is>
          <t>Продажа есть в реестре и в 1С, но бот не перенёс её на баланс ETM — списания нет</t>
        </is>
      </c>
      <c r="Q51" s="8" t="inlineStr"/>
    </row>
    <row r="52">
      <c r="A52" s="8" t="inlineStr">
        <is>
          <t>G09990</t>
        </is>
      </c>
      <c r="B52" s="8" t="inlineStr">
        <is>
          <t>МУРАС ТРИП</t>
        </is>
      </c>
      <c r="C52" s="8" t="inlineStr">
        <is>
          <t>2552671980|2552671981</t>
        </is>
      </c>
      <c r="D52" s="8" t="inlineStr">
        <is>
          <t>Есть в ETM, нет в 1С</t>
        </is>
      </c>
      <c r="E52" s="8" t="inlineStr">
        <is>
          <t>1С</t>
        </is>
      </c>
      <c r="F52" s="8" t="inlineStr">
        <is>
          <t>A</t>
        </is>
      </c>
      <c r="G52" s="14" t="n">
        <v>0</v>
      </c>
      <c r="H52" s="14" t="n">
        <v>-72080.34</v>
      </c>
      <c r="I52" s="14" t="n">
        <v>72080.33500000001</v>
      </c>
      <c r="J52" s="14" t="n">
        <v>-72080.34</v>
      </c>
      <c r="K52" s="21" t="n">
        <v>46137.74805555555</v>
      </c>
      <c r="L52" s="21" t="n"/>
      <c r="M52" s="8" t="inlineStr"/>
      <c r="N52" s="8" t="inlineStr">
        <is>
          <t>Бухгалтер 1С</t>
        </is>
      </c>
      <c r="O52" s="8" t="inlineStr">
        <is>
          <t>b.isakov</t>
        </is>
      </c>
      <c r="P52" s="12" t="inlineStr">
        <is>
          <t>Списание есть в ETM и продажа в реестре, но в 1С нет реализации по этим билетам — счёт не выставлен</t>
        </is>
      </c>
      <c r="Q52" s="8" t="inlineStr">
        <is>
          <t>57229065,57229043</t>
        </is>
      </c>
    </row>
    <row r="53">
      <c r="A53" s="8" t="inlineStr">
        <is>
          <t>G00205</t>
        </is>
      </c>
      <c r="B53" s="8" t="inlineStr">
        <is>
          <t>Aylana Tour</t>
        </is>
      </c>
      <c r="C53" s="8" t="inlineStr">
        <is>
          <t>2461885523</t>
        </is>
      </c>
      <c r="D53" s="8" t="inlineStr">
        <is>
          <t>Сумма не сходится</t>
        </is>
      </c>
      <c r="E53" s="8" t="inlineStr">
        <is>
          <t>1С</t>
        </is>
      </c>
      <c r="F53" s="8" t="inlineStr">
        <is>
          <t>A</t>
        </is>
      </c>
      <c r="G53" s="14" t="n">
        <v>19284</v>
      </c>
      <c r="H53" s="14" t="n">
        <v>-91284</v>
      </c>
      <c r="I53" s="14" t="n">
        <v>91284</v>
      </c>
      <c r="J53" s="14" t="n">
        <v>-72000</v>
      </c>
      <c r="K53" s="21" t="n">
        <v>46148.77450231482</v>
      </c>
      <c r="L53" s="21" t="n">
        <v>46148</v>
      </c>
      <c r="M53" s="8" t="inlineStr">
        <is>
          <t>TRANSPOSITION</t>
        </is>
      </c>
      <c r="N53" s="8" t="inlineStr">
        <is>
          <t>Бухгалтер 1С</t>
        </is>
      </c>
      <c r="O53" s="8" t="inlineStr">
        <is>
          <t>b.isakov</t>
        </is>
      </c>
      <c r="P53" s="12" t="inlineStr">
        <is>
          <t>Реестр (91,284.00) совпадает с ETM (91,284.00), а в 1С 19,284.00: неверная сумма в 1С</t>
        </is>
      </c>
      <c r="Q53" s="8" t="inlineStr">
        <is>
          <t>57259560</t>
        </is>
      </c>
    </row>
    <row r="54">
      <c r="A54" s="8" t="inlineStr">
        <is>
          <t>G02367</t>
        </is>
      </c>
      <c r="B54" s="8" t="inlineStr">
        <is>
          <t>SkyWay Travel</t>
        </is>
      </c>
      <c r="C54" s="8" t="inlineStr">
        <is>
          <t>2416945181|2416945183</t>
        </is>
      </c>
      <c r="D54" s="8" t="inlineStr">
        <is>
          <t>Есть в реестре и 1С, нет в ETM</t>
        </is>
      </c>
      <c r="E54" s="8" t="inlineStr">
        <is>
          <t>Бот ETM</t>
        </is>
      </c>
      <c r="F54" s="8" t="inlineStr">
        <is>
          <t>A</t>
        </is>
      </c>
      <c r="G54" s="14" t="n">
        <v>71673.88</v>
      </c>
      <c r="H54" s="14" t="n">
        <v>0</v>
      </c>
      <c r="I54" s="14" t="n">
        <v>71673.88</v>
      </c>
      <c r="J54" s="14" t="n">
        <v>71673.88</v>
      </c>
      <c r="K54" s="21" t="n"/>
      <c r="L54" s="21" t="n">
        <v>46122</v>
      </c>
      <c r="M54" s="8" t="inlineStr"/>
      <c r="N54" s="8" t="inlineStr">
        <is>
          <t>Разработчик/поддержка бота ETM</t>
        </is>
      </c>
      <c r="O54" s="8" t="inlineStr">
        <is>
          <t>b.isakov</t>
        </is>
      </c>
      <c r="P54" s="12" t="inlineStr">
        <is>
          <t>Продажа есть в реестре и в 1С, но бот не перенёс её на баланс ETM — списания нет</t>
        </is>
      </c>
      <c r="Q54" s="8" t="inlineStr"/>
    </row>
    <row r="55">
      <c r="A55" s="8" t="inlineStr">
        <is>
          <t>G03650</t>
        </is>
      </c>
      <c r="B55" s="8" t="inlineStr">
        <is>
          <t>SkyWay Travel</t>
        </is>
      </c>
      <c r="C55" s="8" t="inlineStr">
        <is>
          <t>2559100258|2559100260|2559100261|2559100263</t>
        </is>
      </c>
      <c r="D55" s="8" t="inlineStr">
        <is>
          <t>Есть в ETM, нет в 1С</t>
        </is>
      </c>
      <c r="E55" s="8" t="inlineStr">
        <is>
          <t>1С</t>
        </is>
      </c>
      <c r="F55" s="8" t="inlineStr">
        <is>
          <t>A</t>
        </is>
      </c>
      <c r="G55" s="14" t="n">
        <v>0</v>
      </c>
      <c r="H55" s="14" t="n">
        <v>-71250</v>
      </c>
      <c r="I55" s="14" t="n"/>
      <c r="J55" s="14" t="n">
        <v>-71250</v>
      </c>
      <c r="K55" s="21" t="n">
        <v>46106.67418981482</v>
      </c>
      <c r="L55" s="21" t="n"/>
      <c r="M55" s="8" t="inlineStr"/>
      <c r="N55" s="8" t="inlineStr">
        <is>
          <t>Бухгалтер 1С</t>
        </is>
      </c>
      <c r="O55" s="8" t="inlineStr"/>
      <c r="P55" s="12" t="inlineStr">
        <is>
          <t>Списание есть в ETM, но в 1С нет реализации по этим билетам — счёт не выставлен</t>
        </is>
      </c>
      <c r="Q55" s="8" t="inlineStr">
        <is>
          <t>57170155</t>
        </is>
      </c>
    </row>
    <row r="56">
      <c r="A56" s="8" t="inlineStr">
        <is>
          <t>G06722</t>
        </is>
      </c>
      <c r="B56" s="8" t="inlineStr">
        <is>
          <t>Джолдошова Салтанат Сатаревна</t>
        </is>
      </c>
      <c r="C56" s="8" t="inlineStr">
        <is>
          <t>2476315088|2476315091|2476315092</t>
        </is>
      </c>
      <c r="D56" s="8" t="inlineStr">
        <is>
          <t>Есть в ETM, нет в 1С</t>
        </is>
      </c>
      <c r="E56" s="8" t="inlineStr">
        <is>
          <t>1С</t>
        </is>
      </c>
      <c r="F56" s="8" t="inlineStr">
        <is>
          <t>A</t>
        </is>
      </c>
      <c r="G56" s="14" t="n">
        <v>0</v>
      </c>
      <c r="H56" s="14" t="n">
        <v>-68921.58</v>
      </c>
      <c r="I56" s="14" t="n">
        <v>68921.58</v>
      </c>
      <c r="J56" s="14" t="n">
        <v>-68921.58</v>
      </c>
      <c r="K56" s="21" t="n">
        <v>46188.7219675926</v>
      </c>
      <c r="L56" s="21" t="n"/>
      <c r="M56" s="8" t="inlineStr"/>
      <c r="N56" s="8" t="inlineStr">
        <is>
          <t>Бухгалтер 1С</t>
        </is>
      </c>
      <c r="O56" s="8" t="inlineStr">
        <is>
          <t>n.abdyldaeva</t>
        </is>
      </c>
      <c r="P56" s="12" t="inlineStr">
        <is>
          <t>Списание есть в ETM и продажа в реестре, но в 1С нет реализации по этим билетам — счёт не выставлен</t>
        </is>
      </c>
      <c r="Q56" s="8" t="inlineStr">
        <is>
          <t>57368832</t>
        </is>
      </c>
    </row>
    <row r="57">
      <c r="A57" s="8" t="inlineStr">
        <is>
          <t>G06997</t>
        </is>
      </c>
      <c r="B57" s="8" t="inlineStr">
        <is>
          <t>Жибек Авиакасса</t>
        </is>
      </c>
      <c r="C57" s="8" t="inlineStr">
        <is>
          <t>2476314006|2476314008</t>
        </is>
      </c>
      <c r="D57" s="8" t="inlineStr">
        <is>
          <t>Есть в ETM, нет в 1С</t>
        </is>
      </c>
      <c r="E57" s="8" t="inlineStr">
        <is>
          <t>1С</t>
        </is>
      </c>
      <c r="F57" s="8" t="inlineStr">
        <is>
          <t>A</t>
        </is>
      </c>
      <c r="G57" s="14" t="n">
        <v>0</v>
      </c>
      <c r="H57" s="14" t="n">
        <v>-67981.28</v>
      </c>
      <c r="I57" s="14" t="n">
        <v>2653.279999999999</v>
      </c>
      <c r="J57" s="14" t="n">
        <v>-67981.28</v>
      </c>
      <c r="K57" s="21" t="n">
        <v>46046.38494212963</v>
      </c>
      <c r="L57" s="21" t="n"/>
      <c r="M57" s="8" t="inlineStr"/>
      <c r="N57" s="8" t="inlineStr">
        <is>
          <t>Бухгалтер 1С</t>
        </is>
      </c>
      <c r="O57" s="8" t="inlineStr">
        <is>
          <t>g.omurbekova|n.abdyldaeva</t>
        </is>
      </c>
      <c r="P57" s="12" t="inlineStr">
        <is>
          <t>Списание есть в ETM и продажа в реестре, но в 1С нет реализации по этим билетам — счёт не выставлен</t>
        </is>
      </c>
      <c r="Q57" s="8" t="inlineStr">
        <is>
          <t>57049163,57049167</t>
        </is>
      </c>
    </row>
    <row r="58">
      <c r="A58" s="8" t="inlineStr">
        <is>
          <t>G10466</t>
        </is>
      </c>
      <c r="B58" s="8" t="inlineStr">
        <is>
          <t>Манас Тревел</t>
        </is>
      </c>
      <c r="C58" s="8" t="inlineStr">
        <is>
          <t>2559100195|2559100197|2559100199</t>
        </is>
      </c>
      <c r="D58" s="8" t="inlineStr">
        <is>
          <t>Есть в ETM, нет в 1С</t>
        </is>
      </c>
      <c r="E58" s="8" t="inlineStr">
        <is>
          <t>1С</t>
        </is>
      </c>
      <c r="F58" s="8" t="inlineStr">
        <is>
          <t>A</t>
        </is>
      </c>
      <c r="G58" s="14" t="n">
        <v>0</v>
      </c>
      <c r="H58" s="14" t="n">
        <v>-67603.2</v>
      </c>
      <c r="I58" s="14" t="n">
        <v>67603.2</v>
      </c>
      <c r="J58" s="14" t="n">
        <v>-67603.2</v>
      </c>
      <c r="K58" s="21" t="n">
        <v>46196.55163194444</v>
      </c>
      <c r="L58" s="21" t="n"/>
      <c r="M58" s="8" t="inlineStr"/>
      <c r="N58" s="8" t="inlineStr">
        <is>
          <t>Бухгалтер 1С</t>
        </is>
      </c>
      <c r="O58" s="8" t="inlineStr">
        <is>
          <t>k.dzhumaev</t>
        </is>
      </c>
      <c r="P58" s="12" t="inlineStr">
        <is>
          <t>Списание есть в ETM и продажа в реестре, но в 1С нет реализации по этим билетам — счёт не выставлен</t>
        </is>
      </c>
      <c r="Q58" s="8" t="inlineStr">
        <is>
          <t>57392669</t>
        </is>
      </c>
    </row>
    <row r="59">
      <c r="A59" s="8" t="inlineStr">
        <is>
          <t>G13494</t>
        </is>
      </c>
      <c r="B59" s="8" t="inlineStr">
        <is>
          <t>Сатарова Жылдыз Жумабековна</t>
        </is>
      </c>
      <c r="C59" s="8" t="inlineStr">
        <is>
          <t>2461884988|2461884990</t>
        </is>
      </c>
      <c r="D59" s="8" t="inlineStr">
        <is>
          <t>Есть в ETM, нет в 1С</t>
        </is>
      </c>
      <c r="E59" s="8" t="inlineStr">
        <is>
          <t>1С</t>
        </is>
      </c>
      <c r="F59" s="8" t="inlineStr">
        <is>
          <t>A</t>
        </is>
      </c>
      <c r="G59" s="14" t="n">
        <v>0</v>
      </c>
      <c r="H59" s="14" t="n">
        <v>-66482</v>
      </c>
      <c r="I59" s="14" t="n">
        <v>66482</v>
      </c>
      <c r="J59" s="14" t="n">
        <v>-66482</v>
      </c>
      <c r="K59" s="21" t="n">
        <v>46114.46278935186</v>
      </c>
      <c r="L59" s="21" t="n"/>
      <c r="M59" s="8" t="inlineStr"/>
      <c r="N59" s="8" t="inlineStr">
        <is>
          <t>Бухгалтер 1С</t>
        </is>
      </c>
      <c r="O59" s="8" t="inlineStr">
        <is>
          <t>a.toktosunova</t>
        </is>
      </c>
      <c r="P59" s="12" t="inlineStr">
        <is>
          <t>Списание есть в ETM и продажа в реестре, но в 1С нет реализации по этим билетам — счёт не выставлен</t>
        </is>
      </c>
      <c r="Q59" s="8" t="inlineStr">
        <is>
          <t>57186849</t>
        </is>
      </c>
    </row>
    <row r="60">
      <c r="A60" s="8" t="inlineStr">
        <is>
          <t>G06551</t>
        </is>
      </c>
      <c r="B60" s="8" t="inlineStr">
        <is>
          <t>Джолдошова Салтанат Сатаревна</t>
        </is>
      </c>
      <c r="C60" s="8" t="inlineStr">
        <is>
          <t>2416946213</t>
        </is>
      </c>
      <c r="D60" s="8" t="inlineStr">
        <is>
          <t>Есть в ETM, нет в 1С</t>
        </is>
      </c>
      <c r="E60" s="8" t="inlineStr">
        <is>
          <t>1С</t>
        </is>
      </c>
      <c r="F60" s="8" t="inlineStr">
        <is>
          <t>A</t>
        </is>
      </c>
      <c r="G60" s="14" t="n">
        <v>0</v>
      </c>
      <c r="H60" s="14" t="n">
        <v>-66111.38</v>
      </c>
      <c r="I60" s="14" t="n"/>
      <c r="J60" s="14" t="n">
        <v>-66111.38</v>
      </c>
      <c r="K60" s="21" t="n">
        <v>46214.41239583334</v>
      </c>
      <c r="L60" s="21" t="n"/>
      <c r="M60" s="8" t="inlineStr"/>
      <c r="N60" s="8" t="inlineStr">
        <is>
          <t>Бухгалтер 1С</t>
        </is>
      </c>
      <c r="O60" s="8" t="inlineStr"/>
      <c r="P60" s="12" t="inlineStr">
        <is>
          <t>Списание есть в ETM, но в 1С нет реализации по этим билетам — счёт не выставлен</t>
        </is>
      </c>
      <c r="Q60" s="8" t="inlineStr">
        <is>
          <t>57451749</t>
        </is>
      </c>
    </row>
    <row r="61">
      <c r="A61" s="8" t="inlineStr">
        <is>
          <t>G03305</t>
        </is>
      </c>
      <c r="B61" s="8" t="inlineStr">
        <is>
          <t>SkyWay Travel</t>
        </is>
      </c>
      <c r="C61" s="8" t="inlineStr">
        <is>
          <t>2476318215|2476318217|2476318219</t>
        </is>
      </c>
      <c r="D61" s="8" t="inlineStr">
        <is>
          <t>Сумма не сходится</t>
        </is>
      </c>
      <c r="E61" s="8" t="inlineStr">
        <is>
          <t>1С</t>
        </is>
      </c>
      <c r="F61" s="8" t="inlineStr">
        <is>
          <t>A</t>
        </is>
      </c>
      <c r="G61" s="14" t="n">
        <v>-21756.29</v>
      </c>
      <c r="H61" s="14" t="n">
        <v>-43512.58</v>
      </c>
      <c r="I61" s="14" t="n">
        <v>43512.58</v>
      </c>
      <c r="J61" s="14" t="n">
        <v>-65268.87</v>
      </c>
      <c r="K61" s="21" t="n">
        <v>46121.34675925926</v>
      </c>
      <c r="L61" s="21" t="n">
        <v>46173</v>
      </c>
      <c r="M61" s="8" t="inlineStr"/>
      <c r="N61" s="8" t="inlineStr">
        <is>
          <t>Бухгалтер 1С</t>
        </is>
      </c>
      <c r="O61" s="8" t="inlineStr">
        <is>
          <t>a.toktosunova|b.isakov</t>
        </is>
      </c>
      <c r="P61" s="12" t="inlineStr">
        <is>
          <t>Реестр (43,512.58) совпадает с ETM (43,512.58), а в 1С -21,756.29: неверная сумма в 1С</t>
        </is>
      </c>
      <c r="Q61" s="8" t="inlineStr">
        <is>
          <t>57198944,57198990,57198979,57330127</t>
        </is>
      </c>
    </row>
    <row r="62">
      <c r="A62" s="8" t="inlineStr">
        <is>
          <t>G02684</t>
        </is>
      </c>
      <c r="B62" s="8" t="inlineStr">
        <is>
          <t>SkyWay Travel</t>
        </is>
      </c>
      <c r="C62" s="8" t="inlineStr">
        <is>
          <t>2459529278|2459529281</t>
        </is>
      </c>
      <c r="D62" s="8" t="inlineStr">
        <is>
          <t>Есть в ETM, нет в 1С</t>
        </is>
      </c>
      <c r="E62" s="8" t="inlineStr">
        <is>
          <t>1С</t>
        </is>
      </c>
      <c r="F62" s="8" t="inlineStr">
        <is>
          <t>A</t>
        </is>
      </c>
      <c r="G62" s="14" t="n">
        <v>0</v>
      </c>
      <c r="H62" s="14" t="n">
        <v>-65264</v>
      </c>
      <c r="I62" s="14" t="n">
        <v>65264</v>
      </c>
      <c r="J62" s="14" t="n">
        <v>-65264</v>
      </c>
      <c r="K62" s="21" t="n">
        <v>46178.5140625</v>
      </c>
      <c r="L62" s="21" t="n"/>
      <c r="M62" s="8" t="inlineStr"/>
      <c r="N62" s="8" t="inlineStr">
        <is>
          <t>Бухгалтер 1С</t>
        </is>
      </c>
      <c r="O62" s="8" t="inlineStr">
        <is>
          <t>g.omurbekova</t>
        </is>
      </c>
      <c r="P62" s="12" t="inlineStr">
        <is>
          <t>Списание есть в ETM и продажа в реестре, но в 1С нет реализации по этим билетам — счёт не выставлен</t>
        </is>
      </c>
      <c r="Q62" s="8" t="inlineStr">
        <is>
          <t>57343983,57343982</t>
        </is>
      </c>
    </row>
    <row r="63">
      <c r="A63" s="8" t="inlineStr">
        <is>
          <t>G01620</t>
        </is>
      </c>
      <c r="B63" s="8" t="inlineStr">
        <is>
          <t>Karakol Express</t>
        </is>
      </c>
      <c r="C63" s="8" t="inlineStr">
        <is>
          <t>2461886049|2461886052</t>
        </is>
      </c>
      <c r="D63" s="8" t="inlineStr">
        <is>
          <t>Есть в реестре и 1С, нет в ETM</t>
        </is>
      </c>
      <c r="E63" s="8" t="inlineStr">
        <is>
          <t>Бот ETM</t>
        </is>
      </c>
      <c r="F63" s="8" t="inlineStr">
        <is>
          <t>A</t>
        </is>
      </c>
      <c r="G63" s="14" t="n">
        <v>65108</v>
      </c>
      <c r="H63" s="14" t="n">
        <v>0</v>
      </c>
      <c r="I63" s="14" t="n">
        <v>65108</v>
      </c>
      <c r="J63" s="14" t="n">
        <v>65108</v>
      </c>
      <c r="K63" s="21" t="n"/>
      <c r="L63" s="21" t="n">
        <v>46200</v>
      </c>
      <c r="M63" s="8" t="inlineStr"/>
      <c r="N63" s="8" t="inlineStr">
        <is>
          <t>Разработчик/поддержка бота ETM</t>
        </is>
      </c>
      <c r="O63" s="8" t="inlineStr">
        <is>
          <t>k.dzhumaev</t>
        </is>
      </c>
      <c r="P63" s="12" t="inlineStr">
        <is>
          <t>Продажа есть в реестре и в 1С, но бот не перенёс её на баланс ETM — списания нет</t>
        </is>
      </c>
      <c r="Q63" s="8" t="inlineStr"/>
    </row>
    <row r="64">
      <c r="A64" s="8" t="inlineStr">
        <is>
          <t>G07962</t>
        </is>
      </c>
      <c r="B64" s="8" t="inlineStr">
        <is>
          <t>ИП Бейшенова Д. О.</t>
        </is>
      </c>
      <c r="C64" s="8" t="inlineStr">
        <is>
          <t>2461882228|2461882230</t>
        </is>
      </c>
      <c r="D64" s="8" t="inlineStr">
        <is>
          <t>Есть в ETM, нет в 1С</t>
        </is>
      </c>
      <c r="E64" s="8" t="inlineStr">
        <is>
          <t>1С</t>
        </is>
      </c>
      <c r="F64" s="8" t="inlineStr">
        <is>
          <t>A</t>
        </is>
      </c>
      <c r="G64" s="14" t="n">
        <v>0</v>
      </c>
      <c r="H64" s="14" t="n">
        <v>-64990</v>
      </c>
      <c r="I64" s="14" t="n">
        <v>64990</v>
      </c>
      <c r="J64" s="14" t="n">
        <v>-64990</v>
      </c>
      <c r="K64" s="21" t="n">
        <v>46063.77886574074</v>
      </c>
      <c r="L64" s="21" t="n"/>
      <c r="M64" s="8" t="inlineStr"/>
      <c r="N64" s="8" t="inlineStr">
        <is>
          <t>Бухгалтер 1С</t>
        </is>
      </c>
      <c r="O64" s="8" t="inlineStr">
        <is>
          <t>d.mambetova</t>
        </is>
      </c>
      <c r="P64" s="12" t="inlineStr">
        <is>
          <t>Списание есть в ETM и продажа в реестре, но в 1С нет реализации по этим билетам — счёт не выставлен</t>
        </is>
      </c>
      <c r="Q64" s="8" t="inlineStr">
        <is>
          <t>57082774</t>
        </is>
      </c>
    </row>
    <row r="65">
      <c r="A65" s="8" t="inlineStr">
        <is>
          <t>G13589</t>
        </is>
      </c>
      <c r="B65" s="8" t="inlineStr">
        <is>
          <t>Сыдыков С. У.</t>
        </is>
      </c>
      <c r="C65" s="8" t="inlineStr">
        <is>
          <t>2559102500|2559102502</t>
        </is>
      </c>
      <c r="D65" s="8" t="inlineStr">
        <is>
          <t>Сумма не сходится</t>
        </is>
      </c>
      <c r="E65" s="8" t="inlineStr">
        <is>
          <t>1С</t>
        </is>
      </c>
      <c r="F65" s="8" t="inlineStr">
        <is>
          <t>A</t>
        </is>
      </c>
      <c r="G65" s="14" t="n">
        <v>76437.66</v>
      </c>
      <c r="H65" s="14" t="n">
        <v>-11465.65</v>
      </c>
      <c r="I65" s="14" t="n">
        <v>11465.66</v>
      </c>
      <c r="J65" s="14" t="n">
        <v>64972.01</v>
      </c>
      <c r="K65" s="21" t="n">
        <v>46122.55984953704</v>
      </c>
      <c r="L65" s="21" t="n">
        <v>46122</v>
      </c>
      <c r="M65" s="8" t="inlineStr"/>
      <c r="N65" s="8" t="inlineStr">
        <is>
          <t>Бухгалтер 1С</t>
        </is>
      </c>
      <c r="O65" s="8" t="inlineStr">
        <is>
          <t>a.toktosunova|g.omurbekova</t>
        </is>
      </c>
      <c r="P65" s="12" t="inlineStr">
        <is>
          <t>Реестр (11,465.66) совпадает с ETM (11,465.65), а в 1С 76,437.66: неверная сумма в 1С</t>
        </is>
      </c>
      <c r="Q65" s="8" t="inlineStr">
        <is>
          <t>57200841,57200881,57271171</t>
        </is>
      </c>
    </row>
    <row r="66">
      <c r="A66" s="8" t="inlineStr">
        <is>
          <t>G11710</t>
        </is>
      </c>
      <c r="B66" s="8" t="inlineStr">
        <is>
          <t>ОсОО Кок-Жайык Вояж</t>
        </is>
      </c>
      <c r="C66" s="8" t="inlineStr">
        <is>
          <t>2476319584|2476319586|2476319588</t>
        </is>
      </c>
      <c r="D66" s="8" t="inlineStr">
        <is>
          <t>Есть в ETM, нет в 1С</t>
        </is>
      </c>
      <c r="E66" s="8" t="inlineStr">
        <is>
          <t>1С</t>
        </is>
      </c>
      <c r="F66" s="8" t="inlineStr">
        <is>
          <t>A</t>
        </is>
      </c>
      <c r="G66" s="14" t="n">
        <v>0</v>
      </c>
      <c r="H66" s="14" t="n">
        <v>-64800.54</v>
      </c>
      <c r="I66" s="14" t="n">
        <v>0</v>
      </c>
      <c r="J66" s="14" t="n">
        <v>-64800.54</v>
      </c>
      <c r="K66" s="21" t="n">
        <v>46107.50662037037</v>
      </c>
      <c r="L66" s="21" t="n"/>
      <c r="M66" s="8" t="inlineStr"/>
      <c r="N66" s="8" t="inlineStr">
        <is>
          <t>Бухгалтер 1С</t>
        </is>
      </c>
      <c r="O66" s="8" t="inlineStr">
        <is>
          <t>k.dzhumaev|r.sydykov</t>
        </is>
      </c>
      <c r="P66" s="12" t="inlineStr">
        <is>
          <t>Списание есть в ETM и продажа в реестре, но в 1С нет реализации по этим билетам — счёт не выставлен</t>
        </is>
      </c>
      <c r="Q66" s="8" t="inlineStr">
        <is>
          <t>57173848,57173844,57173883</t>
        </is>
      </c>
    </row>
    <row r="67">
      <c r="A67" s="8" t="inlineStr">
        <is>
          <t>G05619</t>
        </is>
      </c>
      <c r="B67" s="8" t="inlineStr">
        <is>
          <t>Ак-Куу Тур</t>
        </is>
      </c>
      <c r="C67" s="8" t="inlineStr">
        <is>
          <t>2476317923</t>
        </is>
      </c>
      <c r="D67" s="8" t="inlineStr">
        <is>
          <t>Сумма не сходится</t>
        </is>
      </c>
      <c r="E67" s="8" t="inlineStr">
        <is>
          <t>1С</t>
        </is>
      </c>
      <c r="F67" s="8" t="inlineStr">
        <is>
          <t>A</t>
        </is>
      </c>
      <c r="G67" s="14" t="n">
        <v>18090.11</v>
      </c>
      <c r="H67" s="14" t="n">
        <v>-81090.11</v>
      </c>
      <c r="I67" s="14" t="n">
        <v>81090.11240000001</v>
      </c>
      <c r="J67" s="14" t="n">
        <v>-63000</v>
      </c>
      <c r="K67" s="21" t="n">
        <v>46215.57803240741</v>
      </c>
      <c r="L67" s="21" t="n">
        <v>46215</v>
      </c>
      <c r="M67" s="8" t="inlineStr">
        <is>
          <t>TRANSPOSITION</t>
        </is>
      </c>
      <c r="N67" s="8" t="inlineStr">
        <is>
          <t>Бухгалтер 1С</t>
        </is>
      </c>
      <c r="O67" s="8" t="inlineStr">
        <is>
          <t>d.mambetova</t>
        </is>
      </c>
      <c r="P67" s="12" t="inlineStr">
        <is>
          <t>Реестр (81,090.11) совпадает с ETM (81,090.11), а в 1С 18,090.11: неверная сумма в 1С</t>
        </is>
      </c>
      <c r="Q67" s="8" t="inlineStr">
        <is>
          <t>57453281</t>
        </is>
      </c>
    </row>
    <row r="68">
      <c r="A68" s="8" t="inlineStr">
        <is>
          <t>G14197</t>
        </is>
      </c>
      <c r="B68" s="8" t="inlineStr">
        <is>
          <t>Урматова Айпери Нурбековна</t>
        </is>
      </c>
      <c r="C68" s="8" t="inlineStr">
        <is>
          <t>2476315613</t>
        </is>
      </c>
      <c r="D68" s="8" t="inlineStr">
        <is>
          <t>Сумма не сходится</t>
        </is>
      </c>
      <c r="E68" s="8" t="inlineStr">
        <is>
          <t>Бот ETM</t>
        </is>
      </c>
      <c r="F68" s="8" t="inlineStr">
        <is>
          <t>A</t>
        </is>
      </c>
      <c r="G68" s="14" t="n">
        <v>18935.88</v>
      </c>
      <c r="H68" s="14" t="n">
        <v>-81935.88</v>
      </c>
      <c r="I68" s="14" t="n">
        <v>18935.88</v>
      </c>
      <c r="J68" s="14" t="n">
        <v>-63000</v>
      </c>
      <c r="K68" s="21" t="n">
        <v>46084.62399305555</v>
      </c>
      <c r="L68" s="21" t="n">
        <v>46084</v>
      </c>
      <c r="M68" s="8" t="inlineStr">
        <is>
          <t>TRANSPOSITION</t>
        </is>
      </c>
      <c r="N68" s="8" t="inlineStr">
        <is>
          <t>Разработчик/поддержка бота ETM</t>
        </is>
      </c>
      <c r="O68" s="8" t="inlineStr">
        <is>
          <t>e.satarov</t>
        </is>
      </c>
      <c r="P68" s="12" t="inlineStr">
        <is>
          <t>Реестр (18,935.88) совпадает с 1С (18,935.88), а в ETM 81,935.88: бот перенёс неверную сумму</t>
        </is>
      </c>
      <c r="Q68" s="8" t="inlineStr">
        <is>
          <t>57119979</t>
        </is>
      </c>
    </row>
    <row r="69">
      <c r="A69" s="8" t="inlineStr">
        <is>
          <t>G02321</t>
        </is>
      </c>
      <c r="B69" s="8" t="inlineStr">
        <is>
          <t>SkyWay Travel</t>
        </is>
      </c>
      <c r="C69" s="8" t="inlineStr">
        <is>
          <t>2416943861</t>
        </is>
      </c>
      <c r="D69" s="8" t="inlineStr">
        <is>
          <t>Есть в ETM, нет в 1С</t>
        </is>
      </c>
      <c r="E69" s="8" t="inlineStr">
        <is>
          <t>1С</t>
        </is>
      </c>
      <c r="F69" s="8" t="inlineStr">
        <is>
          <t>A</t>
        </is>
      </c>
      <c r="G69" s="14" t="n">
        <v>0</v>
      </c>
      <c r="H69" s="14" t="n">
        <v>-62627.9</v>
      </c>
      <c r="I69" s="14" t="n">
        <v>62627.89999999999</v>
      </c>
      <c r="J69" s="14" t="n">
        <v>-62627.9</v>
      </c>
      <c r="K69" s="21" t="n">
        <v>46183.79135416666</v>
      </c>
      <c r="L69" s="21" t="n"/>
      <c r="M69" s="8" t="inlineStr"/>
      <c r="N69" s="8" t="inlineStr">
        <is>
          <t>Бухгалтер 1С</t>
        </is>
      </c>
      <c r="O69" s="8" t="inlineStr">
        <is>
          <t>n.abdyldaeva</t>
        </is>
      </c>
      <c r="P69" s="12" t="inlineStr">
        <is>
          <t>Списание есть в ETM и продажа в реестре, но в 1С нет реализации по этим билетам — счёт не выставлен</t>
        </is>
      </c>
      <c r="Q69" s="8" t="inlineStr">
        <is>
          <t>57356861</t>
        </is>
      </c>
    </row>
    <row r="70">
      <c r="A70" s="8" t="inlineStr">
        <is>
          <t>G06516</t>
        </is>
      </c>
      <c r="B70" s="8" t="inlineStr">
        <is>
          <t>Джолдошова Салтанат Сатаревна</t>
        </is>
      </c>
      <c r="C70" s="8" t="inlineStr">
        <is>
          <t>2416941844</t>
        </is>
      </c>
      <c r="D70" s="8" t="inlineStr">
        <is>
          <t>Есть в реестре и 1С, нет в ETM</t>
        </is>
      </c>
      <c r="E70" s="8" t="inlineStr">
        <is>
          <t>Бот ETM</t>
        </is>
      </c>
      <c r="F70" s="8" t="inlineStr">
        <is>
          <t>A</t>
        </is>
      </c>
      <c r="G70" s="14" t="n">
        <v>62600.03</v>
      </c>
      <c r="H70" s="14" t="n">
        <v>0</v>
      </c>
      <c r="I70" s="14" t="n">
        <v>62600.025</v>
      </c>
      <c r="J70" s="14" t="n">
        <v>62600.03</v>
      </c>
      <c r="K70" s="21" t="n"/>
      <c r="L70" s="21" t="n">
        <v>46108</v>
      </c>
      <c r="M70" s="8" t="inlineStr"/>
      <c r="N70" s="8" t="inlineStr">
        <is>
          <t>Разработчик/поддержка бота ETM</t>
        </is>
      </c>
      <c r="O70" s="8" t="inlineStr">
        <is>
          <t>r.sydykov</t>
        </is>
      </c>
      <c r="P70" s="12" t="inlineStr">
        <is>
          <t>Продажа есть в реестре и в 1С, но бот не перенёс её на баланс ETM — списания нет</t>
        </is>
      </c>
      <c r="Q70" s="8" t="inlineStr"/>
    </row>
    <row r="71">
      <c r="A71" s="8" t="inlineStr">
        <is>
          <t>G13664</t>
        </is>
      </c>
      <c r="B71" s="8" t="inlineStr">
        <is>
          <t>ТАЛАС ЛАЙН</t>
        </is>
      </c>
      <c r="C71" s="8" t="inlineStr">
        <is>
          <t>2416946131</t>
        </is>
      </c>
      <c r="D71" s="8" t="inlineStr">
        <is>
          <t>Двойное списание в ETM</t>
        </is>
      </c>
      <c r="E71" s="8" t="inlineStr">
        <is>
          <t>Бот ETM</t>
        </is>
      </c>
      <c r="F71" s="8" t="inlineStr">
        <is>
          <t>A</t>
        </is>
      </c>
      <c r="G71" s="14" t="n">
        <v>62508.38</v>
      </c>
      <c r="H71" s="14" t="n">
        <v>-125016.76</v>
      </c>
      <c r="I71" s="14" t="n">
        <v>62508.375</v>
      </c>
      <c r="J71" s="14" t="n">
        <v>-62508.38</v>
      </c>
      <c r="K71" s="21" t="n">
        <v>46117.79224537037</v>
      </c>
      <c r="L71" s="21" t="n">
        <v>46117</v>
      </c>
      <c r="M71" s="8" t="inlineStr"/>
      <c r="N71" s="8" t="inlineStr">
        <is>
          <t>Разработчик/поддержка бота ETM</t>
        </is>
      </c>
      <c r="O71" s="8" t="inlineStr">
        <is>
          <t>n.abdyldaeva</t>
        </is>
      </c>
      <c r="P71" s="12" t="inlineStr">
        <is>
          <t>В ETM 1 лишн. списание(й) одного билета на 62,508.38; без дубля сумма совпадает с 1С</t>
        </is>
      </c>
      <c r="Q71" s="8" t="inlineStr">
        <is>
          <t>57192041,57192059</t>
        </is>
      </c>
    </row>
    <row r="72">
      <c r="A72" s="8" t="inlineStr">
        <is>
          <t>G10189</t>
        </is>
      </c>
      <c r="B72" s="8" t="inlineStr">
        <is>
          <t>Манас Тревел</t>
        </is>
      </c>
      <c r="C72" s="8" t="inlineStr">
        <is>
          <t>2416943674|2416943675</t>
        </is>
      </c>
      <c r="D72" s="8" t="inlineStr">
        <is>
          <t>Есть в реестре и 1С, нет в ETM</t>
        </is>
      </c>
      <c r="E72" s="8" t="inlineStr">
        <is>
          <t>Бот ETM</t>
        </is>
      </c>
      <c r="F72" s="8" t="inlineStr">
        <is>
          <t>A</t>
        </is>
      </c>
      <c r="G72" s="14" t="n">
        <v>60659.64</v>
      </c>
      <c r="H72" s="14" t="n">
        <v>0</v>
      </c>
      <c r="I72" s="14" t="n">
        <v>60659.64999999999</v>
      </c>
      <c r="J72" s="14" t="n">
        <v>60659.64</v>
      </c>
      <c r="K72" s="21" t="n"/>
      <c r="L72" s="21" t="n">
        <v>46167</v>
      </c>
      <c r="M72" s="8" t="inlineStr"/>
      <c r="N72" s="8" t="inlineStr">
        <is>
          <t>Разработчик/поддержка бота ETM</t>
        </is>
      </c>
      <c r="O72" s="8" t="inlineStr">
        <is>
          <t>d.mambetova</t>
        </is>
      </c>
      <c r="P72" s="12" t="inlineStr">
        <is>
          <t>Продажа есть в реестре и в 1С, но бот не перенёс её на баланс ETM — списания нет</t>
        </is>
      </c>
      <c r="Q72" s="8" t="inlineStr"/>
    </row>
    <row r="73">
      <c r="A73" s="8" t="inlineStr">
        <is>
          <t>G06134</t>
        </is>
      </c>
      <c r="B73" s="8" t="inlineStr">
        <is>
          <t>Байтур Трип</t>
        </is>
      </c>
      <c r="C73" s="8" t="inlineStr">
        <is>
          <t>2552672508</t>
        </is>
      </c>
      <c r="D73" s="8" t="inlineStr">
        <is>
          <t>Есть в ETM, нет в 1С</t>
        </is>
      </c>
      <c r="E73" s="8" t="inlineStr">
        <is>
          <t>1С</t>
        </is>
      </c>
      <c r="F73" s="8" t="inlineStr">
        <is>
          <t>A</t>
        </is>
      </c>
      <c r="G73" s="14" t="n">
        <v>0</v>
      </c>
      <c r="H73" s="14" t="n">
        <v>-59655.06</v>
      </c>
      <c r="I73" s="14" t="n">
        <v>59655.06249999999</v>
      </c>
      <c r="J73" s="14" t="n">
        <v>-59655.06</v>
      </c>
      <c r="K73" s="21" t="n">
        <v>46107.48914351852</v>
      </c>
      <c r="L73" s="21" t="n"/>
      <c r="M73" s="8" t="inlineStr"/>
      <c r="N73" s="8" t="inlineStr">
        <is>
          <t>Бухгалтер 1С</t>
        </is>
      </c>
      <c r="O73" s="8" t="inlineStr">
        <is>
          <t>b.isakov</t>
        </is>
      </c>
      <c r="P73" s="12" t="inlineStr">
        <is>
          <t>Списание есть в ETM и продажа в реестре, но в 1С нет реализации по этим билетам — счёт не выставлен</t>
        </is>
      </c>
      <c r="Q73" s="8" t="inlineStr">
        <is>
          <t>57173812</t>
        </is>
      </c>
    </row>
    <row r="74">
      <c r="A74" s="8" t="inlineStr">
        <is>
          <t>G01898</t>
        </is>
      </c>
      <c r="B74" s="8" t="inlineStr">
        <is>
          <t>Karakol Express</t>
        </is>
      </c>
      <c r="C74" s="8" t="inlineStr">
        <is>
          <t>2559099861|2559099864</t>
        </is>
      </c>
      <c r="D74" s="8" t="inlineStr">
        <is>
          <t>Есть в ETM, нет в 1С</t>
        </is>
      </c>
      <c r="E74" s="8" t="inlineStr">
        <is>
          <t>1С</t>
        </is>
      </c>
      <c r="F74" s="8" t="inlineStr">
        <is>
          <t>A</t>
        </is>
      </c>
      <c r="G74" s="14" t="n">
        <v>0</v>
      </c>
      <c r="H74" s="14" t="n">
        <v>-59101.26</v>
      </c>
      <c r="I74" s="14" t="n">
        <v>210.1800000000003</v>
      </c>
      <c r="J74" s="14" t="n">
        <v>-59101.26</v>
      </c>
      <c r="K74" s="21" t="n">
        <v>46086.59444444445</v>
      </c>
      <c r="L74" s="21" t="n"/>
      <c r="M74" s="8" t="inlineStr"/>
      <c r="N74" s="8" t="inlineStr">
        <is>
          <t>Бухгалтер 1С</t>
        </is>
      </c>
      <c r="O74" s="8" t="inlineStr">
        <is>
          <t>k.dzhumaev|r.sydykov</t>
        </is>
      </c>
      <c r="P74" s="12" t="inlineStr">
        <is>
          <t>Списание есть в ETM и продажа в реестре, но в 1С нет реализации по этим билетам — счёт не выставлен</t>
        </is>
      </c>
      <c r="Q74" s="8" t="inlineStr">
        <is>
          <t>57124965,57125001</t>
        </is>
      </c>
    </row>
    <row r="75">
      <c r="A75" s="8" t="inlineStr">
        <is>
          <t>G15063</t>
        </is>
      </c>
      <c r="B75" s="8" t="inlineStr">
        <is>
          <t>Ыйык Тур</t>
        </is>
      </c>
      <c r="C75" s="8" t="inlineStr">
        <is>
          <t>2460735108|2460735111|2460735114</t>
        </is>
      </c>
      <c r="D75" s="8" t="inlineStr">
        <is>
          <t>Есть в реестре и 1С, нет в ETM</t>
        </is>
      </c>
      <c r="E75" s="8" t="inlineStr">
        <is>
          <t>Бот ETM</t>
        </is>
      </c>
      <c r="F75" s="8" t="inlineStr">
        <is>
          <t>A</t>
        </is>
      </c>
      <c r="G75" s="14" t="n">
        <v>58449</v>
      </c>
      <c r="H75" s="14" t="n">
        <v>0</v>
      </c>
      <c r="I75" s="14" t="n">
        <v>58449</v>
      </c>
      <c r="J75" s="14" t="n">
        <v>58449</v>
      </c>
      <c r="K75" s="21" t="n"/>
      <c r="L75" s="21" t="n">
        <v>46113</v>
      </c>
      <c r="M75" s="8" t="inlineStr"/>
      <c r="N75" s="8" t="inlineStr">
        <is>
          <t>Разработчик/поддержка бота ETM</t>
        </is>
      </c>
      <c r="O75" s="8" t="inlineStr">
        <is>
          <t>r.sydykov</t>
        </is>
      </c>
      <c r="P75" s="12" t="inlineStr">
        <is>
          <t>Продажа есть в реестре и в 1С, но бот не перенёс её на баланс ETM — списания нет</t>
        </is>
      </c>
      <c r="Q75" s="8" t="inlineStr"/>
    </row>
    <row r="76">
      <c r="A76" s="8" t="inlineStr">
        <is>
          <t>G09887</t>
        </is>
      </c>
      <c r="B76" s="8" t="inlineStr">
        <is>
          <t>Кенешова Чолпон Таалайовна</t>
        </is>
      </c>
      <c r="C76" s="8" t="inlineStr">
        <is>
          <t>2552669448</t>
        </is>
      </c>
      <c r="D76" s="8" t="inlineStr">
        <is>
          <t>Есть в ETM, нет в 1С</t>
        </is>
      </c>
      <c r="E76" s="8" t="inlineStr">
        <is>
          <t>1С</t>
        </is>
      </c>
      <c r="F76" s="8" t="inlineStr">
        <is>
          <t>A</t>
        </is>
      </c>
      <c r="G76" s="14" t="n">
        <v>0</v>
      </c>
      <c r="H76" s="14" t="n">
        <v>-58267.82</v>
      </c>
      <c r="I76" s="14" t="n">
        <v>58267.82</v>
      </c>
      <c r="J76" s="14" t="n">
        <v>-58267.82</v>
      </c>
      <c r="K76" s="21" t="n">
        <v>46223.60876157408</v>
      </c>
      <c r="L76" s="21" t="n"/>
      <c r="M76" s="8" t="inlineStr"/>
      <c r="N76" s="8" t="inlineStr">
        <is>
          <t>Бухгалтер 1С</t>
        </is>
      </c>
      <c r="O76" s="8" t="inlineStr">
        <is>
          <t>a.toktosunova</t>
        </is>
      </c>
      <c r="P76" s="12" t="inlineStr">
        <is>
          <t>Списание есть в ETM и продажа в реестре, но в 1С нет реализации по этим билетам — счёт не выставлен</t>
        </is>
      </c>
      <c r="Q76" s="8" t="inlineStr">
        <is>
          <t>57473508</t>
        </is>
      </c>
    </row>
    <row r="77">
      <c r="A77" s="8" t="inlineStr">
        <is>
          <t>G07416</t>
        </is>
      </c>
      <c r="B77" s="8" t="inlineStr">
        <is>
          <t>Жибек Эйр</t>
        </is>
      </c>
      <c r="C77" s="8" t="inlineStr">
        <is>
          <t>2559099149|2559099151</t>
        </is>
      </c>
      <c r="D77" s="8" t="inlineStr">
        <is>
          <t>Сумма не сходится</t>
        </is>
      </c>
      <c r="E77" s="8" t="inlineStr">
        <is>
          <t>1С</t>
        </is>
      </c>
      <c r="F77" s="8" t="inlineStr">
        <is>
          <t>A</t>
        </is>
      </c>
      <c r="G77" s="14" t="n">
        <v>-21783.8</v>
      </c>
      <c r="H77" s="14" t="n">
        <v>-36306.32000000001</v>
      </c>
      <c r="I77" s="14" t="n">
        <v>36306.32000000001</v>
      </c>
      <c r="J77" s="14" t="n">
        <v>-58090.12000000001</v>
      </c>
      <c r="K77" s="21" t="n">
        <v>46170.56252314815</v>
      </c>
      <c r="L77" s="21" t="n">
        <v>46191</v>
      </c>
      <c r="M77" s="8" t="inlineStr"/>
      <c r="N77" s="8" t="inlineStr">
        <is>
          <t>Бухгалтер 1С</t>
        </is>
      </c>
      <c r="O77" s="8" t="inlineStr">
        <is>
          <t>g.omurbekova|n.abdyldaeva</t>
        </is>
      </c>
      <c r="P77" s="12" t="inlineStr">
        <is>
          <t>Реестр (36,306.32) совпадает с ETM (36,306.32), а в 1С -21,783.80: неверная сумма в 1С</t>
        </is>
      </c>
      <c r="Q77" s="8" t="inlineStr">
        <is>
          <t>57322915,57322912,57377460</t>
        </is>
      </c>
    </row>
    <row r="78">
      <c r="A78" s="8" t="inlineStr">
        <is>
          <t>G13357</t>
        </is>
      </c>
      <c r="B78" s="8" t="inlineStr">
        <is>
          <t>Сатар уулу Санжар</t>
        </is>
      </c>
      <c r="C78" s="8" t="inlineStr">
        <is>
          <t>2559102001</t>
        </is>
      </c>
      <c r="D78" s="8" t="inlineStr">
        <is>
          <t>Есть в ETM, нет в 1С</t>
        </is>
      </c>
      <c r="E78" s="8" t="inlineStr">
        <is>
          <t>1С</t>
        </is>
      </c>
      <c r="F78" s="8" t="inlineStr">
        <is>
          <t>A</t>
        </is>
      </c>
      <c r="G78" s="14" t="n">
        <v>0</v>
      </c>
      <c r="H78" s="14" t="n">
        <v>-57648.66</v>
      </c>
      <c r="I78" s="14" t="n">
        <v>57648.66</v>
      </c>
      <c r="J78" s="14" t="n">
        <v>-57648.66</v>
      </c>
      <c r="K78" s="21" t="n">
        <v>46069.63032407407</v>
      </c>
      <c r="L78" s="21" t="n"/>
      <c r="M78" s="8" t="inlineStr"/>
      <c r="N78" s="8" t="inlineStr">
        <is>
          <t>Бухгалтер 1С</t>
        </is>
      </c>
      <c r="O78" s="8" t="inlineStr">
        <is>
          <t>n.abdyldaeva</t>
        </is>
      </c>
      <c r="P78" s="12" t="inlineStr">
        <is>
          <t>Списание есть в ETM и продажа в реестре, но в 1С нет реализации по этим билетам — счёт не выставлен</t>
        </is>
      </c>
      <c r="Q78" s="8" t="inlineStr">
        <is>
          <t>57093408</t>
        </is>
      </c>
    </row>
    <row r="79">
      <c r="A79" s="8" t="inlineStr">
        <is>
          <t>G01332</t>
        </is>
      </c>
      <c r="B79" s="8" t="inlineStr">
        <is>
          <t>Karakol Express</t>
        </is>
      </c>
      <c r="C79" s="8" t="inlineStr">
        <is>
          <t>2459529682|2459529684|2459529687</t>
        </is>
      </c>
      <c r="D79" s="8" t="inlineStr">
        <is>
          <t>Есть в ETM, нет в 1С</t>
        </is>
      </c>
      <c r="E79" s="8" t="inlineStr">
        <is>
          <t>1С</t>
        </is>
      </c>
      <c r="F79" s="8" t="inlineStr">
        <is>
          <t>A</t>
        </is>
      </c>
      <c r="G79" s="14" t="n">
        <v>0</v>
      </c>
      <c r="H79" s="14" t="n">
        <v>-57516</v>
      </c>
      <c r="I79" s="14" t="n">
        <v>57516</v>
      </c>
      <c r="J79" s="14" t="n">
        <v>-57516</v>
      </c>
      <c r="K79" s="21" t="n">
        <v>46088.39168981482</v>
      </c>
      <c r="L79" s="21" t="n"/>
      <c r="M79" s="8" t="inlineStr"/>
      <c r="N79" s="8" t="inlineStr">
        <is>
          <t>Бухгалтер 1С</t>
        </is>
      </c>
      <c r="O79" s="8" t="inlineStr">
        <is>
          <t>d.mambetova</t>
        </is>
      </c>
      <c r="P79" s="12" t="inlineStr">
        <is>
          <t>Списание есть в ETM и продажа в реестре, но в 1С нет реализации по этим билетам — счёт не выставлен</t>
        </is>
      </c>
      <c r="Q79" s="8" t="inlineStr">
        <is>
          <t>57130243,57130225,57130201</t>
        </is>
      </c>
    </row>
    <row r="80">
      <c r="A80" s="8" t="inlineStr">
        <is>
          <t>G02184</t>
        </is>
      </c>
      <c r="B80" s="8" t="inlineStr">
        <is>
          <t>Silk Route Air</t>
        </is>
      </c>
      <c r="C80" s="8" t="inlineStr">
        <is>
          <t>2476314123|2476314126|2476314127</t>
        </is>
      </c>
      <c r="D80" s="8" t="inlineStr">
        <is>
          <t>Есть в ETM, нет в 1С</t>
        </is>
      </c>
      <c r="E80" s="8" t="inlineStr">
        <is>
          <t>1С</t>
        </is>
      </c>
      <c r="F80" s="8" t="inlineStr">
        <is>
          <t>A</t>
        </is>
      </c>
      <c r="G80" s="14" t="n">
        <v>0</v>
      </c>
      <c r="H80" s="14" t="n">
        <v>-57223.11</v>
      </c>
      <c r="I80" s="14" t="n">
        <v>57223.11</v>
      </c>
      <c r="J80" s="14" t="n">
        <v>-57223.11</v>
      </c>
      <c r="K80" s="21" t="n">
        <v>46184.52146990741</v>
      </c>
      <c r="L80" s="21" t="n"/>
      <c r="M80" s="8" t="inlineStr"/>
      <c r="N80" s="8" t="inlineStr">
        <is>
          <t>Бухгалтер 1С</t>
        </is>
      </c>
      <c r="O80" s="8" t="inlineStr">
        <is>
          <t>n.abdyldaeva</t>
        </is>
      </c>
      <c r="P80" s="12" t="inlineStr">
        <is>
          <t>Списание есть в ETM и продажа в реестре, но в 1С нет реализации по этим билетам — счёт не выставлен</t>
        </is>
      </c>
      <c r="Q80" s="8" t="inlineStr">
        <is>
          <t>57358528,57358527,57358544</t>
        </is>
      </c>
    </row>
    <row r="81">
      <c r="A81" s="8" t="inlineStr">
        <is>
          <t>G03800</t>
        </is>
      </c>
      <c r="B81" s="8" t="inlineStr">
        <is>
          <t>Steppe Travel</t>
        </is>
      </c>
      <c r="C81" s="8" t="inlineStr">
        <is>
          <t>2416941084</t>
        </is>
      </c>
      <c r="D81" s="8" t="inlineStr">
        <is>
          <t>Двойное списание в ETM</t>
        </is>
      </c>
      <c r="E81" s="8" t="inlineStr">
        <is>
          <t>Бот ETM</t>
        </is>
      </c>
      <c r="F81" s="8" t="inlineStr">
        <is>
          <t>A</t>
        </is>
      </c>
      <c r="G81" s="14" t="n">
        <v>56402.58</v>
      </c>
      <c r="H81" s="14" t="n">
        <v>-112805.16</v>
      </c>
      <c r="I81" s="14" t="n">
        <v>56402.58</v>
      </c>
      <c r="J81" s="14" t="n">
        <v>-56402.58</v>
      </c>
      <c r="K81" s="21" t="n">
        <v>46105.38385416667</v>
      </c>
      <c r="L81" s="21" t="n">
        <v>46105</v>
      </c>
      <c r="M81" s="8" t="inlineStr"/>
      <c r="N81" s="8" t="inlineStr">
        <is>
          <t>Разработчик/поддержка бота ETM</t>
        </is>
      </c>
      <c r="O81" s="8" t="inlineStr">
        <is>
          <t>b.isakov</t>
        </is>
      </c>
      <c r="P81" s="12" t="inlineStr">
        <is>
          <t>В ETM 1 лишн. списание(й) одного билета на 56,402.58; без дубля сумма совпадает с 1С</t>
        </is>
      </c>
      <c r="Q81" s="8" t="inlineStr">
        <is>
          <t>57167793,57167775</t>
        </is>
      </c>
    </row>
    <row r="82">
      <c r="A82" s="8" t="inlineStr">
        <is>
          <t>G02069</t>
        </is>
      </c>
      <c r="B82" s="8" t="inlineStr">
        <is>
          <t>Nomad Trip</t>
        </is>
      </c>
      <c r="C82" s="8" t="inlineStr">
        <is>
          <t>2416945048|2416945049</t>
        </is>
      </c>
      <c r="D82" s="8" t="inlineStr">
        <is>
          <t>Есть в ETM, нет в 1С</t>
        </is>
      </c>
      <c r="E82" s="8" t="inlineStr">
        <is>
          <t>1С</t>
        </is>
      </c>
      <c r="F82" s="8" t="inlineStr">
        <is>
          <t>A</t>
        </is>
      </c>
      <c r="G82" s="14" t="n">
        <v>0</v>
      </c>
      <c r="H82" s="14" t="n">
        <v>-56055.46</v>
      </c>
      <c r="I82" s="14" t="n">
        <v>56055.45</v>
      </c>
      <c r="J82" s="14" t="n">
        <v>-56055.46</v>
      </c>
      <c r="K82" s="21" t="n">
        <v>46142.44136574074</v>
      </c>
      <c r="L82" s="21" t="n"/>
      <c r="M82" s="8" t="inlineStr"/>
      <c r="N82" s="8" t="inlineStr">
        <is>
          <t>Бухгалтер 1С</t>
        </is>
      </c>
      <c r="O82" s="8" t="inlineStr">
        <is>
          <t>a.toktosunova</t>
        </is>
      </c>
      <c r="P82" s="12" t="inlineStr">
        <is>
          <t>Списание есть в ETM и продажа в реестре, но в 1С нет реализации по этим билетам — счёт не выставлен</t>
        </is>
      </c>
      <c r="Q82" s="8" t="inlineStr">
        <is>
          <t>57240366,57240402</t>
        </is>
      </c>
    </row>
    <row r="83">
      <c r="A83" s="8" t="inlineStr">
        <is>
          <t>G12964</t>
        </is>
      </c>
      <c r="B83" s="8" t="inlineStr">
        <is>
          <t>Сатар уулу Санжар</t>
        </is>
      </c>
      <c r="C83" s="8" t="inlineStr">
        <is>
          <t>2420846300|2420846303|2420846306|2420846307</t>
        </is>
      </c>
      <c r="D83" s="8" t="inlineStr">
        <is>
          <t>Сумма не сходится</t>
        </is>
      </c>
      <c r="E83" s="8" t="inlineStr">
        <is>
          <t>1С</t>
        </is>
      </c>
      <c r="F83" s="8" t="inlineStr">
        <is>
          <t>A</t>
        </is>
      </c>
      <c r="G83" s="14" t="n">
        <v>62142.2</v>
      </c>
      <c r="H83" s="14" t="n">
        <v>-6214.219999999994</v>
      </c>
      <c r="I83" s="14" t="n">
        <v>6214.207599999994</v>
      </c>
      <c r="J83" s="14" t="n">
        <v>55927.98</v>
      </c>
      <c r="K83" s="21" t="n">
        <v>46145.48025462963</v>
      </c>
      <c r="L83" s="21" t="n">
        <v>46145</v>
      </c>
      <c r="M83" s="8" t="inlineStr"/>
      <c r="N83" s="8" t="inlineStr">
        <is>
          <t>Бухгалтер 1С</t>
        </is>
      </c>
      <c r="O83" s="8" t="inlineStr">
        <is>
          <t>e.satarov|n.abdyldaeva</t>
        </is>
      </c>
      <c r="P83" s="12" t="inlineStr">
        <is>
          <t>Реестр (6,214.21) совпадает с ETM (6,214.22), а в 1С 62,142.20: неверная сумма в 1С</t>
        </is>
      </c>
      <c r="Q83" s="8" t="inlineStr">
        <is>
          <t>57248550,57248606,57248574,57248515,57377370</t>
        </is>
      </c>
    </row>
    <row r="84">
      <c r="A84" s="8" t="inlineStr">
        <is>
          <t>G09875</t>
        </is>
      </c>
      <c r="B84" s="8" t="inlineStr">
        <is>
          <t>Кенешова Чолпон Таалайовна</t>
        </is>
      </c>
      <c r="C84" s="8" t="inlineStr">
        <is>
          <t>2476318678|2476318681</t>
        </is>
      </c>
      <c r="D84" s="8" t="inlineStr">
        <is>
          <t>Есть в ETM, нет в 1С</t>
        </is>
      </c>
      <c r="E84" s="8" t="inlineStr">
        <is>
          <t>1С</t>
        </is>
      </c>
      <c r="F84" s="8" t="inlineStr">
        <is>
          <t>A</t>
        </is>
      </c>
      <c r="G84" s="14" t="n">
        <v>0</v>
      </c>
      <c r="H84" s="14" t="n">
        <v>-55641.68</v>
      </c>
      <c r="I84" s="14" t="n">
        <v>55641.68</v>
      </c>
      <c r="J84" s="14" t="n">
        <v>-55641.68</v>
      </c>
      <c r="K84" s="21" t="n">
        <v>46076.68875</v>
      </c>
      <c r="L84" s="21" t="n"/>
      <c r="M84" s="8" t="inlineStr"/>
      <c r="N84" s="8" t="inlineStr">
        <is>
          <t>Бухгалтер 1С</t>
        </is>
      </c>
      <c r="O84" s="8" t="inlineStr">
        <is>
          <t>b.isakov</t>
        </is>
      </c>
      <c r="P84" s="12" t="inlineStr">
        <is>
          <t>Списание есть в ETM и продажа в реестре, но в 1С нет реализации по этим билетам — счёт не выставлен</t>
        </is>
      </c>
      <c r="Q84" s="8" t="inlineStr">
        <is>
          <t>57105416</t>
        </is>
      </c>
    </row>
    <row r="85">
      <c r="A85" s="8" t="inlineStr">
        <is>
          <t>G06012</t>
        </is>
      </c>
      <c r="B85" s="8" t="inlineStr">
        <is>
          <t>Байтур Трип</t>
        </is>
      </c>
      <c r="C85" s="8" t="inlineStr">
        <is>
          <t>2420844670|2420844672</t>
        </is>
      </c>
      <c r="D85" s="8" t="inlineStr">
        <is>
          <t>Есть в ETM, нет в 1С</t>
        </is>
      </c>
      <c r="E85" s="8" t="inlineStr">
        <is>
          <t>1С</t>
        </is>
      </c>
      <c r="F85" s="8" t="inlineStr">
        <is>
          <t>A</t>
        </is>
      </c>
      <c r="G85" s="14" t="n">
        <v>0</v>
      </c>
      <c r="H85" s="14" t="n">
        <v>-55607.1</v>
      </c>
      <c r="I85" s="14" t="n">
        <v>55607.107</v>
      </c>
      <c r="J85" s="14" t="n">
        <v>-55607.1</v>
      </c>
      <c r="K85" s="21" t="n">
        <v>46072.75858796296</v>
      </c>
      <c r="L85" s="21" t="n"/>
      <c r="M85" s="8" t="inlineStr"/>
      <c r="N85" s="8" t="inlineStr">
        <is>
          <t>Бухгалтер 1С</t>
        </is>
      </c>
      <c r="O85" s="8" t="inlineStr">
        <is>
          <t>k.dzhumaev</t>
        </is>
      </c>
      <c r="P85" s="12" t="inlineStr">
        <is>
          <t>Списание есть в ETM и продажа в реестре, но в 1С нет реализации по этим билетам — счёт не выставлен</t>
        </is>
      </c>
      <c r="Q85" s="8" t="inlineStr">
        <is>
          <t>57097974</t>
        </is>
      </c>
    </row>
    <row r="86">
      <c r="A86" s="8" t="inlineStr">
        <is>
          <t>G05625</t>
        </is>
      </c>
      <c r="B86" s="8" t="inlineStr">
        <is>
          <t>Ак-Куу Тур</t>
        </is>
      </c>
      <c r="C86" s="8" t="inlineStr">
        <is>
          <t>2476319780|2476319783</t>
        </is>
      </c>
      <c r="D86" s="8" t="inlineStr">
        <is>
          <t>Есть в ETM, нет в 1С</t>
        </is>
      </c>
      <c r="E86" s="8" t="inlineStr">
        <is>
          <t>1С</t>
        </is>
      </c>
      <c r="F86" s="8" t="inlineStr">
        <is>
          <t>A</t>
        </is>
      </c>
      <c r="G86" s="14" t="n">
        <v>0</v>
      </c>
      <c r="H86" s="14" t="n">
        <v>-55414.32</v>
      </c>
      <c r="I86" s="14" t="n">
        <v>3534.840000000004</v>
      </c>
      <c r="J86" s="14" t="n">
        <v>-55414.32</v>
      </c>
      <c r="K86" s="21" t="n">
        <v>46085.41318287037</v>
      </c>
      <c r="L86" s="21" t="n"/>
      <c r="M86" s="8" t="inlineStr"/>
      <c r="N86" s="8" t="inlineStr">
        <is>
          <t>Бухгалтер 1С</t>
        </is>
      </c>
      <c r="O86" s="8" t="inlineStr">
        <is>
          <t>d.mambetova|e.satarov</t>
        </is>
      </c>
      <c r="P86" s="12" t="inlineStr">
        <is>
          <t>Списание есть в ETM и продажа в реестре, но в 1С нет реализации по этим билетам — счёт не выставлен</t>
        </is>
      </c>
      <c r="Q86" s="8" t="inlineStr">
        <is>
          <t>57123848,57123845</t>
        </is>
      </c>
    </row>
    <row r="87">
      <c r="A87" s="8" t="inlineStr">
        <is>
          <t>G09534</t>
        </is>
      </c>
      <c r="B87" s="8" t="inlineStr">
        <is>
          <t>КУТ ЭЙР</t>
        </is>
      </c>
      <c r="C87" s="8" t="inlineStr">
        <is>
          <t>2552667483</t>
        </is>
      </c>
      <c r="D87" s="8" t="inlineStr">
        <is>
          <t>Есть в ETM, нет в 1С</t>
        </is>
      </c>
      <c r="E87" s="8" t="inlineStr">
        <is>
          <t>1С</t>
        </is>
      </c>
      <c r="F87" s="8" t="inlineStr">
        <is>
          <t>A</t>
        </is>
      </c>
      <c r="G87" s="14" t="n">
        <v>0</v>
      </c>
      <c r="H87" s="14" t="n">
        <v>-54131.11</v>
      </c>
      <c r="I87" s="14" t="n">
        <v>54131.1125</v>
      </c>
      <c r="J87" s="14" t="n">
        <v>-54131.11</v>
      </c>
      <c r="K87" s="21" t="n">
        <v>46182.66619212963</v>
      </c>
      <c r="L87" s="21" t="n"/>
      <c r="M87" s="8" t="inlineStr"/>
      <c r="N87" s="8" t="inlineStr">
        <is>
          <t>Бухгалтер 1С</t>
        </is>
      </c>
      <c r="O87" s="8" t="inlineStr">
        <is>
          <t>n.abdyldaeva</t>
        </is>
      </c>
      <c r="P87" s="12" t="inlineStr">
        <is>
          <t>Списание есть в ETM и продажа в реестре, но в 1С нет реализации по этим билетам — счёт не выставлен</t>
        </is>
      </c>
      <c r="Q87" s="8" t="inlineStr">
        <is>
          <t>57353577</t>
        </is>
      </c>
    </row>
    <row r="88">
      <c r="A88" s="8" t="inlineStr">
        <is>
          <t>G07560</t>
        </is>
      </c>
      <c r="B88" s="8" t="inlineStr">
        <is>
          <t>Жолчу кызы А.</t>
        </is>
      </c>
      <c r="C88" s="8" t="inlineStr">
        <is>
          <t>2552669349|2552669352</t>
        </is>
      </c>
      <c r="D88" s="8" t="inlineStr">
        <is>
          <t>Сумма не сходится</t>
        </is>
      </c>
      <c r="E88" s="8" t="inlineStr">
        <is>
          <t>1С</t>
        </is>
      </c>
      <c r="F88" s="8" t="inlineStr">
        <is>
          <t>A</t>
        </is>
      </c>
      <c r="G88" s="14" t="n">
        <v>117618.26</v>
      </c>
      <c r="H88" s="14" t="n">
        <v>-171618.26</v>
      </c>
      <c r="I88" s="14" t="n">
        <v>171618.2222</v>
      </c>
      <c r="J88" s="14" t="n">
        <v>-54000.00000000001</v>
      </c>
      <c r="K88" s="21" t="n">
        <v>46037.44321759259</v>
      </c>
      <c r="L88" s="21" t="n">
        <v>46037</v>
      </c>
      <c r="M88" s="8" t="inlineStr">
        <is>
          <t>TRANSPOSITION</t>
        </is>
      </c>
      <c r="N88" s="8" t="inlineStr">
        <is>
          <t>Бухгалтер 1С</t>
        </is>
      </c>
      <c r="O88" s="8" t="inlineStr">
        <is>
          <t>d.mambetova</t>
        </is>
      </c>
      <c r="P88" s="12" t="inlineStr">
        <is>
          <t>Реестр (171,618.22) совпадает с ETM (171,618.26), а в 1С 117,618.26: неверная сумма в 1С</t>
        </is>
      </c>
      <c r="Q88" s="8" t="inlineStr">
        <is>
          <t>57029306,57029273</t>
        </is>
      </c>
    </row>
    <row r="89">
      <c r="A89" s="8" t="inlineStr">
        <is>
          <t>G15204</t>
        </is>
      </c>
      <c r="B89" s="8" t="inlineStr">
        <is>
          <t>Ыйык Тур</t>
        </is>
      </c>
      <c r="C89" s="8" t="inlineStr">
        <is>
          <t>2552670417</t>
        </is>
      </c>
      <c r="D89" s="8" t="inlineStr">
        <is>
          <t>Сумма не сходится</t>
        </is>
      </c>
      <c r="E89" s="8" t="inlineStr">
        <is>
          <t>1С</t>
        </is>
      </c>
      <c r="F89" s="8" t="inlineStr">
        <is>
          <t>A</t>
        </is>
      </c>
      <c r="G89" s="14" t="n">
        <v>19514.68</v>
      </c>
      <c r="H89" s="14" t="n">
        <v>-73514.68000000001</v>
      </c>
      <c r="I89" s="14" t="n">
        <v>73514.75219999999</v>
      </c>
      <c r="J89" s="14" t="n">
        <v>-54000.00000000001</v>
      </c>
      <c r="K89" s="21" t="n">
        <v>46071.58039351852</v>
      </c>
      <c r="L89" s="21" t="n">
        <v>46071</v>
      </c>
      <c r="M89" s="8" t="inlineStr"/>
      <c r="N89" s="8" t="inlineStr">
        <is>
          <t>Бухгалтер 1С</t>
        </is>
      </c>
      <c r="O89" s="8" t="inlineStr">
        <is>
          <t>g.omurbekova|k.dzhumaev</t>
        </is>
      </c>
      <c r="P89" s="12" t="inlineStr">
        <is>
          <t>Реестр (73,514.75) совпадает с ETM (73,514.68), а в 1С 19,514.68: неверная сумма в 1С</t>
        </is>
      </c>
      <c r="Q89" s="8" t="inlineStr">
        <is>
          <t>57096430,57210034</t>
        </is>
      </c>
    </row>
    <row r="90">
      <c r="A90" s="8" t="inlineStr">
        <is>
          <t>G07610</t>
        </is>
      </c>
      <c r="B90" s="8" t="inlineStr">
        <is>
          <t>Жумабек кызы Умут</t>
        </is>
      </c>
      <c r="C90" s="8" t="inlineStr">
        <is>
          <t>2420844352</t>
        </is>
      </c>
      <c r="D90" s="8" t="inlineStr">
        <is>
          <t>Сумма не сходится</t>
        </is>
      </c>
      <c r="E90" s="8" t="inlineStr">
        <is>
          <t>1С</t>
        </is>
      </c>
      <c r="F90" s="8" t="inlineStr">
        <is>
          <t>A</t>
        </is>
      </c>
      <c r="G90" s="14" t="n">
        <v>17134.7</v>
      </c>
      <c r="H90" s="14" t="n">
        <v>-71134.7</v>
      </c>
      <c r="I90" s="14" t="n">
        <v>71134.69939499999</v>
      </c>
      <c r="J90" s="14" t="n">
        <v>-54000</v>
      </c>
      <c r="K90" s="21" t="n">
        <v>46174.68212962963</v>
      </c>
      <c r="L90" s="21" t="n">
        <v>46174</v>
      </c>
      <c r="M90" s="8" t="inlineStr">
        <is>
          <t>TRANSPOSITION</t>
        </is>
      </c>
      <c r="N90" s="8" t="inlineStr">
        <is>
          <t>Бухгалтер 1С</t>
        </is>
      </c>
      <c r="O90" s="8" t="inlineStr">
        <is>
          <t>k.dzhumaev</t>
        </is>
      </c>
      <c r="P90" s="12" t="inlineStr">
        <is>
          <t>Реестр (71,134.70) совпадает с ETM (71,134.70), а в 1С 17,134.70: неверная сумма в 1С</t>
        </is>
      </c>
      <c r="Q90" s="8" t="inlineStr">
        <is>
          <t>57333138</t>
        </is>
      </c>
    </row>
    <row r="91">
      <c r="A91" s="8" t="inlineStr">
        <is>
          <t>G10019</t>
        </is>
      </c>
      <c r="B91" s="8" t="inlineStr">
        <is>
          <t>Мамбет уулу Чынгыз</t>
        </is>
      </c>
      <c r="C91" s="8" t="inlineStr">
        <is>
          <t>2420844506</t>
        </is>
      </c>
      <c r="D91" s="8" t="inlineStr">
        <is>
          <t>Сумма не сходится</t>
        </is>
      </c>
      <c r="E91" s="8" t="inlineStr">
        <is>
          <t>Бот ETM</t>
        </is>
      </c>
      <c r="F91" s="8" t="inlineStr">
        <is>
          <t>A</t>
        </is>
      </c>
      <c r="G91" s="14" t="n">
        <v>17961.84</v>
      </c>
      <c r="H91" s="14" t="n">
        <v>-71961.84</v>
      </c>
      <c r="I91" s="14" t="n">
        <v>17961.8388</v>
      </c>
      <c r="J91" s="14" t="n">
        <v>-54000</v>
      </c>
      <c r="K91" s="21" t="n">
        <v>46100.63236111111</v>
      </c>
      <c r="L91" s="21" t="n">
        <v>46100</v>
      </c>
      <c r="M91" s="8" t="inlineStr">
        <is>
          <t>TRANSPOSITION</t>
        </is>
      </c>
      <c r="N91" s="8" t="inlineStr">
        <is>
          <t>Разработчик/поддержка бота ETM</t>
        </is>
      </c>
      <c r="O91" s="8" t="inlineStr">
        <is>
          <t>b.isakov</t>
        </is>
      </c>
      <c r="P91" s="12" t="inlineStr">
        <is>
          <t>Реестр (17,961.84) совпадает с 1С (17,961.84), а в ETM 71,961.84: бот перенёс неверную сумму</t>
        </is>
      </c>
      <c r="Q91" s="8" t="inlineStr">
        <is>
          <t>57157369</t>
        </is>
      </c>
    </row>
    <row r="92">
      <c r="A92" s="8" t="inlineStr">
        <is>
          <t>G10290</t>
        </is>
      </c>
      <c r="B92" s="8" t="inlineStr">
        <is>
          <t>Манас Тревел</t>
        </is>
      </c>
      <c r="C92" s="8" t="inlineStr">
        <is>
          <t>2460733069|2460733071|2460733072</t>
        </is>
      </c>
      <c r="D92" s="8" t="inlineStr">
        <is>
          <t>Сумма не сходится</t>
        </is>
      </c>
      <c r="E92" s="8" t="inlineStr">
        <is>
          <t>1С</t>
        </is>
      </c>
      <c r="F92" s="8" t="inlineStr">
        <is>
          <t>A</t>
        </is>
      </c>
      <c r="G92" s="14" t="n">
        <v>128748</v>
      </c>
      <c r="H92" s="14" t="n">
        <v>-182748</v>
      </c>
      <c r="I92" s="14" t="n">
        <v>182748</v>
      </c>
      <c r="J92" s="14" t="n">
        <v>-54000</v>
      </c>
      <c r="K92" s="21" t="n">
        <v>46163.36351851852</v>
      </c>
      <c r="L92" s="21" t="n">
        <v>46163</v>
      </c>
      <c r="M92" s="8" t="inlineStr">
        <is>
          <t>TRANSPOSITION</t>
        </is>
      </c>
      <c r="N92" s="8" t="inlineStr">
        <is>
          <t>Бухгалтер 1С</t>
        </is>
      </c>
      <c r="O92" s="8" t="inlineStr">
        <is>
          <t>k.dzhumaev</t>
        </is>
      </c>
      <c r="P92" s="12" t="inlineStr">
        <is>
          <t>Реестр (182,748.00) совпадает с ETM (182,748.00), а в 1С 128,748.00: неверная сумма в 1С</t>
        </is>
      </c>
      <c r="Q92" s="8" t="inlineStr">
        <is>
          <t>57303797,57303800,57303814</t>
        </is>
      </c>
    </row>
    <row r="93">
      <c r="A93" s="8" t="inlineStr">
        <is>
          <t>G11616</t>
        </is>
      </c>
      <c r="B93" s="8" t="inlineStr">
        <is>
          <t>ОсОО Кок-Жайык Вояж</t>
        </is>
      </c>
      <c r="C93" s="8" t="inlineStr">
        <is>
          <t>2416943897</t>
        </is>
      </c>
      <c r="D93" s="8" t="inlineStr">
        <is>
          <t>Сумма не сходится</t>
        </is>
      </c>
      <c r="E93" s="8" t="inlineStr">
        <is>
          <t>Бот ETM</t>
        </is>
      </c>
      <c r="F93" s="8" t="inlineStr">
        <is>
          <t>A</t>
        </is>
      </c>
      <c r="G93" s="14" t="n">
        <v>17134.8</v>
      </c>
      <c r="H93" s="14" t="n">
        <v>-71134.8</v>
      </c>
      <c r="I93" s="14" t="n">
        <v>17134.8</v>
      </c>
      <c r="J93" s="14" t="n">
        <v>-54000</v>
      </c>
      <c r="K93" s="21" t="n">
        <v>46091.61728009259</v>
      </c>
      <c r="L93" s="21" t="n">
        <v>46091</v>
      </c>
      <c r="M93" s="8" t="inlineStr">
        <is>
          <t>TRANSPOSITION</t>
        </is>
      </c>
      <c r="N93" s="8" t="inlineStr">
        <is>
          <t>Разработчик/поддержка бота ETM</t>
        </is>
      </c>
      <c r="O93" s="8" t="inlineStr">
        <is>
          <t>a.toktosunova</t>
        </is>
      </c>
      <c r="P93" s="12" t="inlineStr">
        <is>
          <t>Реестр (17,134.80) совпадает с 1С (17,134.80), а в ETM 71,134.80: бот перенёс неверную сумму</t>
        </is>
      </c>
      <c r="Q93" s="8" t="inlineStr">
        <is>
          <t>57137639</t>
        </is>
      </c>
    </row>
    <row r="94">
      <c r="A94" s="8" t="inlineStr">
        <is>
          <t>G11712</t>
        </is>
      </c>
      <c r="B94" s="8" t="inlineStr">
        <is>
          <t>ОсОО Кок-Жайык Вояж</t>
        </is>
      </c>
      <c r="C94" s="8" t="inlineStr">
        <is>
          <t>2552667487|2552667489</t>
        </is>
      </c>
      <c r="D94" s="8" t="inlineStr">
        <is>
          <t>Сумма не сходится</t>
        </is>
      </c>
      <c r="E94" s="8" t="inlineStr">
        <is>
          <t>Бот ETM</t>
        </is>
      </c>
      <c r="F94" s="8" t="inlineStr">
        <is>
          <t>A</t>
        </is>
      </c>
      <c r="G94" s="14" t="n">
        <v>106201.6</v>
      </c>
      <c r="H94" s="14" t="n">
        <v>-160201.6</v>
      </c>
      <c r="I94" s="14" t="n">
        <v>106201.6</v>
      </c>
      <c r="J94" s="14" t="n">
        <v>-54000</v>
      </c>
      <c r="K94" s="21" t="n">
        <v>46094.74854166667</v>
      </c>
      <c r="L94" s="21" t="n">
        <v>46094</v>
      </c>
      <c r="M94" s="8" t="inlineStr">
        <is>
          <t>TRANSPOSITION</t>
        </is>
      </c>
      <c r="N94" s="8" t="inlineStr">
        <is>
          <t>Разработчик/поддержка бота ETM</t>
        </is>
      </c>
      <c r="O94" s="8" t="inlineStr">
        <is>
          <t>b.isakov</t>
        </is>
      </c>
      <c r="P94" s="12" t="inlineStr">
        <is>
          <t>Реестр (106,201.60) совпадает с 1С (106,201.60), а в ETM 160,201.60: бот перенёс неверную сумму</t>
        </is>
      </c>
      <c r="Q94" s="8" t="inlineStr">
        <is>
          <t>57144670</t>
        </is>
      </c>
    </row>
    <row r="95">
      <c r="A95" s="8" t="inlineStr">
        <is>
          <t>G00940</t>
        </is>
      </c>
      <c r="B95" s="8" t="inlineStr">
        <is>
          <t>Issyk-Kul Air</t>
        </is>
      </c>
      <c r="C95" s="8" t="inlineStr">
        <is>
          <t>2476317982|2476317984</t>
        </is>
      </c>
      <c r="D95" s="8" t="inlineStr">
        <is>
          <t>Есть в ETM, нет в 1С</t>
        </is>
      </c>
      <c r="E95" s="8" t="inlineStr">
        <is>
          <t>1С</t>
        </is>
      </c>
      <c r="F95" s="8" t="inlineStr">
        <is>
          <t>A</t>
        </is>
      </c>
      <c r="G95" s="14" t="n">
        <v>0</v>
      </c>
      <c r="H95" s="14" t="n">
        <v>-53883.88</v>
      </c>
      <c r="I95" s="14" t="n">
        <v>53883.88</v>
      </c>
      <c r="J95" s="14" t="n">
        <v>-53883.88</v>
      </c>
      <c r="K95" s="21" t="n">
        <v>46063.63417824074</v>
      </c>
      <c r="L95" s="21" t="n"/>
      <c r="M95" s="8" t="inlineStr"/>
      <c r="N95" s="8" t="inlineStr">
        <is>
          <t>Бухгалтер 1С</t>
        </is>
      </c>
      <c r="O95" s="8" t="inlineStr">
        <is>
          <t>k.dzhumaev</t>
        </is>
      </c>
      <c r="P95" s="12" t="inlineStr">
        <is>
          <t>Списание есть в ETM и продажа в реестре, но в 1С нет реализации по этим билетам — счёт не выставлен</t>
        </is>
      </c>
      <c r="Q95" s="8" t="inlineStr">
        <is>
          <t>57083566,57083603</t>
        </is>
      </c>
    </row>
    <row r="96">
      <c r="A96" s="8" t="inlineStr">
        <is>
          <t>G03393</t>
        </is>
      </c>
      <c r="B96" s="8" t="inlineStr">
        <is>
          <t>SkyWay Travel</t>
        </is>
      </c>
      <c r="C96" s="8" t="inlineStr">
        <is>
          <t>2552668076</t>
        </is>
      </c>
      <c r="D96" s="8" t="inlineStr">
        <is>
          <t>Сумма не сходится</t>
        </is>
      </c>
      <c r="E96" s="8" t="inlineStr">
        <is>
          <t>1С</t>
        </is>
      </c>
      <c r="F96" s="8" t="inlineStr">
        <is>
          <t>A</t>
        </is>
      </c>
      <c r="G96" s="14" t="n">
        <v>-45744.36</v>
      </c>
      <c r="H96" s="14" t="n">
        <v>-8072.540000000001</v>
      </c>
      <c r="I96" s="14" t="n">
        <v>8072.535000000003</v>
      </c>
      <c r="J96" s="14" t="n">
        <v>-53816.9</v>
      </c>
      <c r="K96" s="21" t="n">
        <v>46041.52123842593</v>
      </c>
      <c r="L96" s="21" t="n">
        <v>46069</v>
      </c>
      <c r="M96" s="8" t="inlineStr"/>
      <c r="N96" s="8" t="inlineStr">
        <is>
          <t>Бухгалтер 1С</t>
        </is>
      </c>
      <c r="O96" s="8" t="inlineStr">
        <is>
          <t>a.toktosunova|k.dzhumaev</t>
        </is>
      </c>
      <c r="P96" s="12" t="inlineStr">
        <is>
          <t>Реестр (8,072.54) совпадает с ETM (8,072.54), а в 1С -45,744.36: неверная сумма в 1С</t>
        </is>
      </c>
      <c r="Q96" s="8" t="inlineStr">
        <is>
          <t>57038321,57092750</t>
        </is>
      </c>
    </row>
    <row r="97">
      <c r="A97" s="8" t="inlineStr">
        <is>
          <t>G10910</t>
        </is>
      </c>
      <c r="B97" s="8" t="inlineStr">
        <is>
          <t>ОсОО Ала-Арча Авиа</t>
        </is>
      </c>
      <c r="C97" s="8" t="inlineStr">
        <is>
          <t>2416942418</t>
        </is>
      </c>
      <c r="D97" s="8" t="inlineStr">
        <is>
          <t>Есть в ETM, нет в 1С</t>
        </is>
      </c>
      <c r="E97" s="8" t="inlineStr">
        <is>
          <t>1С</t>
        </is>
      </c>
      <c r="F97" s="8" t="inlineStr">
        <is>
          <t>A</t>
        </is>
      </c>
      <c r="G97" s="14" t="n">
        <v>0</v>
      </c>
      <c r="H97" s="14" t="n">
        <v>-53759.75</v>
      </c>
      <c r="I97" s="14" t="n">
        <v>53759.75</v>
      </c>
      <c r="J97" s="14" t="n">
        <v>-53759.75</v>
      </c>
      <c r="K97" s="21" t="n">
        <v>46151.69711805556</v>
      </c>
      <c r="L97" s="21" t="n"/>
      <c r="M97" s="8" t="inlineStr"/>
      <c r="N97" s="8" t="inlineStr">
        <is>
          <t>Бухгалтер 1С</t>
        </is>
      </c>
      <c r="O97" s="8" t="inlineStr">
        <is>
          <t>e.satarov</t>
        </is>
      </c>
      <c r="P97" s="12" t="inlineStr">
        <is>
          <t>Списание есть в ETM и продажа в реестре, но в 1С нет реализации по этим билетам — счёт не выставлен</t>
        </is>
      </c>
      <c r="Q97" s="8" t="inlineStr">
        <is>
          <t>57267506</t>
        </is>
      </c>
    </row>
    <row r="98">
      <c r="A98" s="8" t="inlineStr">
        <is>
          <t>G01054</t>
        </is>
      </c>
      <c r="B98" s="8" t="inlineStr">
        <is>
          <t>Karakol Express</t>
        </is>
      </c>
      <c r="C98" s="8" t="inlineStr">
        <is>
          <t>2416941473</t>
        </is>
      </c>
      <c r="D98" s="8" t="inlineStr">
        <is>
          <t>Есть в ETM, нет в 1С</t>
        </is>
      </c>
      <c r="E98" s="8" t="inlineStr">
        <is>
          <t>1С</t>
        </is>
      </c>
      <c r="F98" s="8" t="inlineStr">
        <is>
          <t>A</t>
        </is>
      </c>
      <c r="G98" s="14" t="n">
        <v>0</v>
      </c>
      <c r="H98" s="14" t="n">
        <v>-53563.37</v>
      </c>
      <c r="I98" s="14" t="n"/>
      <c r="J98" s="14" t="n">
        <v>-53563.37</v>
      </c>
      <c r="K98" s="21" t="n">
        <v>46190.54267361111</v>
      </c>
      <c r="L98" s="21" t="n"/>
      <c r="M98" s="8" t="inlineStr"/>
      <c r="N98" s="8" t="inlineStr">
        <is>
          <t>Бухгалтер 1С</t>
        </is>
      </c>
      <c r="O98" s="8" t="inlineStr"/>
      <c r="P98" s="12" t="inlineStr">
        <is>
          <t>Списание есть в ETM, но в 1С нет реализации по этим билетам — счёт не выставлен</t>
        </is>
      </c>
      <c r="Q98" s="8" t="inlineStr">
        <is>
          <t>57375328</t>
        </is>
      </c>
    </row>
    <row r="99">
      <c r="A99" s="8" t="inlineStr">
        <is>
          <t>G03885</t>
        </is>
      </c>
      <c r="B99" s="8" t="inlineStr">
        <is>
          <t>Steppe Travel</t>
        </is>
      </c>
      <c r="C99" s="8" t="inlineStr">
        <is>
          <t>2559102087</t>
        </is>
      </c>
      <c r="D99" s="8" t="inlineStr">
        <is>
          <t>Есть в ETM, нет в 1С</t>
        </is>
      </c>
      <c r="E99" s="8" t="inlineStr">
        <is>
          <t>1С</t>
        </is>
      </c>
      <c r="F99" s="8" t="inlineStr">
        <is>
          <t>A</t>
        </is>
      </c>
      <c r="G99" s="14" t="n">
        <v>0</v>
      </c>
      <c r="H99" s="14" t="n">
        <v>-53405.33</v>
      </c>
      <c r="I99" s="14" t="n">
        <v>53405.325</v>
      </c>
      <c r="J99" s="14" t="n">
        <v>-53405.33</v>
      </c>
      <c r="K99" s="21" t="n">
        <v>46030.44561342592</v>
      </c>
      <c r="L99" s="21" t="n"/>
      <c r="M99" s="8" t="inlineStr"/>
      <c r="N99" s="8" t="inlineStr">
        <is>
          <t>Бухгалтер 1С</t>
        </is>
      </c>
      <c r="O99" s="8" t="inlineStr">
        <is>
          <t>n.abdyldaeva</t>
        </is>
      </c>
      <c r="P99" s="12" t="inlineStr">
        <is>
          <t>Списание есть в ETM и продажа в реестре, но в 1С нет реализации по этим билетам — счёт не выставлен</t>
        </is>
      </c>
      <c r="Q99" s="8" t="inlineStr">
        <is>
          <t>57014770</t>
        </is>
      </c>
    </row>
    <row r="100">
      <c r="A100" s="8" t="inlineStr">
        <is>
          <t>G07527</t>
        </is>
      </c>
      <c r="B100" s="8" t="inlineStr">
        <is>
          <t>Жолчу кызы А.</t>
        </is>
      </c>
      <c r="C100" s="8" t="inlineStr">
        <is>
          <t>2461884042|2461884043|2461884045</t>
        </is>
      </c>
      <c r="D100" s="8" t="inlineStr">
        <is>
          <t>Сумма не сходится</t>
        </is>
      </c>
      <c r="E100" s="8" t="inlineStr">
        <is>
          <t>1С</t>
        </is>
      </c>
      <c r="F100" s="8" t="inlineStr">
        <is>
          <t>A</t>
        </is>
      </c>
      <c r="G100" s="14" t="n">
        <v>59142</v>
      </c>
      <c r="H100" s="14" t="n">
        <v>-5914.199999999997</v>
      </c>
      <c r="I100" s="14" t="n">
        <v>5914.199999999997</v>
      </c>
      <c r="J100" s="14" t="n">
        <v>53227.8</v>
      </c>
      <c r="K100" s="21" t="n">
        <v>46160.59986111111</v>
      </c>
      <c r="L100" s="21" t="n">
        <v>46160</v>
      </c>
      <c r="M100" s="8" t="inlineStr"/>
      <c r="N100" s="8" t="inlineStr">
        <is>
          <t>Бухгалтер 1С</t>
        </is>
      </c>
      <c r="O100" s="8" t="inlineStr">
        <is>
          <t>k.dzhumaev</t>
        </is>
      </c>
      <c r="P100" s="12" t="inlineStr">
        <is>
          <t>Реестр (5,914.20) совпадает с ETM (5,914.20), а в 1С 59,142.00: неверная сумма в 1С</t>
        </is>
      </c>
      <c r="Q100" s="8" t="inlineStr">
        <is>
          <t>57295759,57295717,57295753,57385347</t>
        </is>
      </c>
    </row>
    <row r="101">
      <c r="A101" s="8" t="inlineStr">
        <is>
          <t>G04491</t>
        </is>
      </c>
      <c r="B101" s="8" t="inlineStr">
        <is>
          <t>Абдылда уулу Б.</t>
        </is>
      </c>
      <c r="C101" s="8" t="inlineStr">
        <is>
          <t>2559099568</t>
        </is>
      </c>
      <c r="D101" s="8" t="inlineStr">
        <is>
          <t>Есть в ETM, нет в 1С</t>
        </is>
      </c>
      <c r="E101" s="8" t="inlineStr">
        <is>
          <t>1С</t>
        </is>
      </c>
      <c r="F101" s="8" t="inlineStr">
        <is>
          <t>A</t>
        </is>
      </c>
      <c r="G101" s="14" t="n">
        <v>0</v>
      </c>
      <c r="H101" s="14" t="n">
        <v>-52799.22</v>
      </c>
      <c r="I101" s="14" t="n"/>
      <c r="J101" s="14" t="n">
        <v>-52799.22</v>
      </c>
      <c r="K101" s="21" t="n">
        <v>46156.61809027778</v>
      </c>
      <c r="L101" s="21" t="n"/>
      <c r="M101" s="8" t="inlineStr"/>
      <c r="N101" s="8" t="inlineStr">
        <is>
          <t>Бухгалтер 1С</t>
        </is>
      </c>
      <c r="O101" s="8" t="inlineStr"/>
      <c r="P101" s="12" t="inlineStr">
        <is>
          <t>Списание есть в ETM, но в 1С нет реализации по этим билетам — счёт не выставлен</t>
        </is>
      </c>
      <c r="Q101" s="8" t="inlineStr">
        <is>
          <t>57283028</t>
        </is>
      </c>
    </row>
    <row r="102">
      <c r="A102" s="8" t="inlineStr">
        <is>
          <t>G02376</t>
        </is>
      </c>
      <c r="B102" s="8" t="inlineStr">
        <is>
          <t>SkyWay Travel</t>
        </is>
      </c>
      <c r="C102" s="8" t="inlineStr">
        <is>
          <t>2416945397</t>
        </is>
      </c>
      <c r="D102" s="8" t="inlineStr">
        <is>
          <t>Есть в ETM, нет в 1С</t>
        </is>
      </c>
      <c r="E102" s="8" t="inlineStr">
        <is>
          <t>1С</t>
        </is>
      </c>
      <c r="F102" s="8" t="inlineStr">
        <is>
          <t>A</t>
        </is>
      </c>
      <c r="G102" s="14" t="n">
        <v>0</v>
      </c>
      <c r="H102" s="14" t="n">
        <v>-52668.68</v>
      </c>
      <c r="I102" s="14" t="n"/>
      <c r="J102" s="14" t="n">
        <v>-52668.68</v>
      </c>
      <c r="K102" s="21" t="n">
        <v>46221.77790509259</v>
      </c>
      <c r="L102" s="21" t="n"/>
      <c r="M102" s="8" t="inlineStr"/>
      <c r="N102" s="8" t="inlineStr">
        <is>
          <t>Бухгалтер 1С</t>
        </is>
      </c>
      <c r="O102" s="8" t="inlineStr"/>
      <c r="P102" s="12" t="inlineStr">
        <is>
          <t>Списание есть в ETM, но в 1С нет реализации по этим билетам — счёт не выставлен</t>
        </is>
      </c>
      <c r="Q102" s="8" t="inlineStr">
        <is>
          <t>57469338</t>
        </is>
      </c>
    </row>
    <row r="103">
      <c r="A103" s="8" t="inlineStr">
        <is>
          <t>G14140</t>
        </is>
      </c>
      <c r="B103" s="8" t="inlineStr">
        <is>
          <t>Урматов Эрлан Сагынович</t>
        </is>
      </c>
      <c r="C103" s="8" t="inlineStr">
        <is>
          <t>2559103340</t>
        </is>
      </c>
      <c r="D103" s="8" t="inlineStr">
        <is>
          <t>Есть в ETM, нет в 1С</t>
        </is>
      </c>
      <c r="E103" s="8" t="inlineStr">
        <is>
          <t>1С</t>
        </is>
      </c>
      <c r="F103" s="8" t="inlineStr">
        <is>
          <t>A</t>
        </is>
      </c>
      <c r="G103" s="14" t="n">
        <v>0</v>
      </c>
      <c r="H103" s="14" t="n">
        <v>-52627.28</v>
      </c>
      <c r="I103" s="14" t="n">
        <v>52627.275</v>
      </c>
      <c r="J103" s="14" t="n">
        <v>-52627.28</v>
      </c>
      <c r="K103" s="21" t="n">
        <v>46209.40817129629</v>
      </c>
      <c r="L103" s="21" t="n"/>
      <c r="M103" s="8" t="inlineStr"/>
      <c r="N103" s="8" t="inlineStr">
        <is>
          <t>Бухгалтер 1С</t>
        </is>
      </c>
      <c r="O103" s="8" t="inlineStr">
        <is>
          <t>d.mambetova</t>
        </is>
      </c>
      <c r="P103" s="12" t="inlineStr">
        <is>
          <t>Списание есть в ETM и продажа в реестре, но в 1С нет реализации по этим билетам — счёт не выставлен</t>
        </is>
      </c>
      <c r="Q103" s="8" t="inlineStr">
        <is>
          <t>57435416</t>
        </is>
      </c>
    </row>
    <row r="104">
      <c r="A104" s="8" t="inlineStr">
        <is>
          <t>G04728</t>
        </is>
      </c>
      <c r="B104" s="8" t="inlineStr">
        <is>
          <t>Ак-Куу Авиа</t>
        </is>
      </c>
      <c r="C104" s="8" t="inlineStr">
        <is>
          <t>2416940926|2416940927</t>
        </is>
      </c>
      <c r="D104" s="8" t="inlineStr">
        <is>
          <t>Есть в ETM, нет в 1С</t>
        </is>
      </c>
      <c r="E104" s="8" t="inlineStr">
        <is>
          <t>1С</t>
        </is>
      </c>
      <c r="F104" s="8" t="inlineStr">
        <is>
          <t>A</t>
        </is>
      </c>
      <c r="G104" s="14" t="n">
        <v>0</v>
      </c>
      <c r="H104" s="14" t="n">
        <v>-52110</v>
      </c>
      <c r="I104" s="14" t="n">
        <v>52110</v>
      </c>
      <c r="J104" s="14" t="n">
        <v>-52110</v>
      </c>
      <c r="K104" s="21" t="n">
        <v>46050.60958333333</v>
      </c>
      <c r="L104" s="21" t="n"/>
      <c r="M104" s="8" t="inlineStr"/>
      <c r="N104" s="8" t="inlineStr">
        <is>
          <t>Бухгалтер 1С</t>
        </is>
      </c>
      <c r="O104" s="8" t="inlineStr">
        <is>
          <t>k.dzhumaev</t>
        </is>
      </c>
      <c r="P104" s="12" t="inlineStr">
        <is>
          <t>Списание есть в ETM и продажа в реестре, но в 1С нет реализации по этим билетам — счёт не выставлен</t>
        </is>
      </c>
      <c r="Q104" s="8" t="inlineStr">
        <is>
          <t>57057608,57057645</t>
        </is>
      </c>
    </row>
    <row r="105">
      <c r="A105" s="8" t="inlineStr">
        <is>
          <t>G14611</t>
        </is>
      </c>
      <c r="B105" s="8" t="inlineStr">
        <is>
          <t>Чынарова Бурул Джолдошовна</t>
        </is>
      </c>
      <c r="C105" s="8" t="inlineStr">
        <is>
          <t>2459531251|2459531252</t>
        </is>
      </c>
      <c r="D105" s="8" t="inlineStr">
        <is>
          <t>Есть в реестре и 1С, нет в ETM</t>
        </is>
      </c>
      <c r="E105" s="8" t="inlineStr">
        <is>
          <t>Бот ETM</t>
        </is>
      </c>
      <c r="F105" s="8" t="inlineStr">
        <is>
          <t>A</t>
        </is>
      </c>
      <c r="G105" s="14" t="n">
        <v>51702</v>
      </c>
      <c r="H105" s="14" t="n">
        <v>0</v>
      </c>
      <c r="I105" s="14" t="n">
        <v>51702</v>
      </c>
      <c r="J105" s="14" t="n">
        <v>51702</v>
      </c>
      <c r="K105" s="21" t="n"/>
      <c r="L105" s="21" t="n">
        <v>46106</v>
      </c>
      <c r="M105" s="8" t="inlineStr"/>
      <c r="N105" s="8" t="inlineStr">
        <is>
          <t>Разработчик/поддержка бота ETM</t>
        </is>
      </c>
      <c r="O105" s="8" t="inlineStr">
        <is>
          <t>g.omurbekova</t>
        </is>
      </c>
      <c r="P105" s="12" t="inlineStr">
        <is>
          <t>Продажа есть в реестре и в 1С, но бот не перенёс её на баланс ETM — списания нет</t>
        </is>
      </c>
      <c r="Q105" s="8" t="inlineStr"/>
    </row>
    <row r="106">
      <c r="A106" s="8" t="inlineStr">
        <is>
          <t>G00084</t>
        </is>
      </c>
      <c r="B106" s="8" t="inlineStr">
        <is>
          <t>Ala-Too Travel</t>
        </is>
      </c>
      <c r="C106" s="8" t="inlineStr">
        <is>
          <t>2420846410|2420846411</t>
        </is>
      </c>
      <c r="D106" s="8" t="inlineStr">
        <is>
          <t>Есть в ETM, нет в 1С</t>
        </is>
      </c>
      <c r="E106" s="8" t="inlineStr">
        <is>
          <t>1С</t>
        </is>
      </c>
      <c r="F106" s="8" t="inlineStr">
        <is>
          <t>A</t>
        </is>
      </c>
      <c r="G106" s="14" t="n">
        <v>0</v>
      </c>
      <c r="H106" s="14" t="n">
        <v>-51592.68</v>
      </c>
      <c r="I106" s="14" t="n">
        <v>51592.6892</v>
      </c>
      <c r="J106" s="14" t="n">
        <v>-51592.68</v>
      </c>
      <c r="K106" s="21" t="n">
        <v>46204.48799768519</v>
      </c>
      <c r="L106" s="21" t="n"/>
      <c r="M106" s="8" t="inlineStr"/>
      <c r="N106" s="8" t="inlineStr">
        <is>
          <t>Бухгалтер 1С</t>
        </is>
      </c>
      <c r="O106" s="8" t="inlineStr">
        <is>
          <t>r.sydykov</t>
        </is>
      </c>
      <c r="P106" s="12" t="inlineStr">
        <is>
          <t>Списание есть в ETM и продажа в реестре, но в 1С нет реализации по этим билетам — счёт не выставлен</t>
        </is>
      </c>
      <c r="Q106" s="8" t="inlineStr">
        <is>
          <t>57418046,57418050</t>
        </is>
      </c>
    </row>
    <row r="107">
      <c r="A107" s="8" t="inlineStr">
        <is>
          <t>G04944</t>
        </is>
      </c>
      <c r="B107" s="8" t="inlineStr">
        <is>
          <t>Ак-Куу Авиа</t>
        </is>
      </c>
      <c r="C107" s="8" t="inlineStr">
        <is>
          <t>2459529047|2459529050|2459529052|2459529053</t>
        </is>
      </c>
      <c r="D107" s="8" t="inlineStr">
        <is>
          <t>Есть в реестре и 1С, нет в ETM</t>
        </is>
      </c>
      <c r="E107" s="8" t="inlineStr">
        <is>
          <t>Бот ETM</t>
        </is>
      </c>
      <c r="F107" s="8" t="inlineStr">
        <is>
          <t>A</t>
        </is>
      </c>
      <c r="G107" s="14" t="n">
        <v>50796</v>
      </c>
      <c r="H107" s="14" t="n">
        <v>0</v>
      </c>
      <c r="I107" s="14" t="n">
        <v>50796</v>
      </c>
      <c r="J107" s="14" t="n">
        <v>50796</v>
      </c>
      <c r="K107" s="21" t="n"/>
      <c r="L107" s="21" t="n">
        <v>46145</v>
      </c>
      <c r="M107" s="8" t="inlineStr"/>
      <c r="N107" s="8" t="inlineStr">
        <is>
          <t>Разработчик/поддержка бота ETM</t>
        </is>
      </c>
      <c r="O107" s="8" t="inlineStr">
        <is>
          <t>e.satarov</t>
        </is>
      </c>
      <c r="P107" s="12" t="inlineStr">
        <is>
          <t>Продажа есть в реестре и в 1С, но бот не перенёс её на баланс ETM — списания нет</t>
        </is>
      </c>
      <c r="Q107" s="8" t="inlineStr"/>
    </row>
    <row r="108">
      <c r="A108" s="8" t="inlineStr">
        <is>
          <t>G00893</t>
        </is>
      </c>
      <c r="B108" s="8" t="inlineStr">
        <is>
          <t>Issyk-Kul Air</t>
        </is>
      </c>
      <c r="C108" s="8" t="inlineStr">
        <is>
          <t>2416941967|2416941970</t>
        </is>
      </c>
      <c r="D108" s="8" t="inlineStr">
        <is>
          <t>Есть в ETM, нет в 1С</t>
        </is>
      </c>
      <c r="E108" s="8" t="inlineStr">
        <is>
          <t>1С</t>
        </is>
      </c>
      <c r="F108" s="8" t="inlineStr">
        <is>
          <t>A</t>
        </is>
      </c>
      <c r="G108" s="14" t="n">
        <v>0</v>
      </c>
      <c r="H108" s="14" t="n">
        <v>-50795.12</v>
      </c>
      <c r="I108" s="14" t="n">
        <v>50795.12</v>
      </c>
      <c r="J108" s="14" t="n">
        <v>-50795.12</v>
      </c>
      <c r="K108" s="21" t="n">
        <v>46024.55539351852</v>
      </c>
      <c r="L108" s="21" t="n"/>
      <c r="M108" s="8" t="inlineStr"/>
      <c r="N108" s="8" t="inlineStr">
        <is>
          <t>Бухгалтер 1С</t>
        </is>
      </c>
      <c r="O108" s="8" t="inlineStr">
        <is>
          <t>b.isakov</t>
        </is>
      </c>
      <c r="P108" s="12" t="inlineStr">
        <is>
          <t>Списание есть в ETM и продажа в реестре, но в 1С нет реализации по этим билетам — счёт не выставлен</t>
        </is>
      </c>
      <c r="Q108" s="8" t="inlineStr">
        <is>
          <t>57002856,57002878</t>
        </is>
      </c>
    </row>
    <row r="109">
      <c r="A109" s="8" t="inlineStr">
        <is>
          <t>G07079</t>
        </is>
      </c>
      <c r="B109" s="8" t="inlineStr">
        <is>
          <t>Жибек Вояж</t>
        </is>
      </c>
      <c r="C109" s="8" t="inlineStr">
        <is>
          <t>2420848773|2420848776</t>
        </is>
      </c>
      <c r="D109" s="8" t="inlineStr">
        <is>
          <t>Есть в реестре и 1С, нет в ETM</t>
        </is>
      </c>
      <c r="E109" s="8" t="inlineStr">
        <is>
          <t>Бот ETM</t>
        </is>
      </c>
      <c r="F109" s="8" t="inlineStr">
        <is>
          <t>A</t>
        </is>
      </c>
      <c r="G109" s="14" t="n">
        <v>50183</v>
      </c>
      <c r="H109" s="14" t="n">
        <v>0</v>
      </c>
      <c r="I109" s="14" t="n">
        <v>50183.0076</v>
      </c>
      <c r="J109" s="14" t="n">
        <v>50183</v>
      </c>
      <c r="K109" s="21" t="n"/>
      <c r="L109" s="21" t="n">
        <v>46232</v>
      </c>
      <c r="M109" s="8" t="inlineStr"/>
      <c r="N109" s="8" t="inlineStr">
        <is>
          <t>Разработчик/поддержка бота ETM</t>
        </is>
      </c>
      <c r="O109" s="8" t="inlineStr">
        <is>
          <t>r.sydykov</t>
        </is>
      </c>
      <c r="P109" s="12" t="inlineStr">
        <is>
          <t>Продажа есть в реестре и в 1С, но бот не перенёс её на баланс ETM — списания нет</t>
        </is>
      </c>
      <c r="Q109" s="8" t="inlineStr"/>
    </row>
    <row r="110">
      <c r="A110" s="8" t="inlineStr">
        <is>
          <t>G03120</t>
        </is>
      </c>
      <c r="B110" s="8" t="inlineStr">
        <is>
          <t>SkyWay Travel</t>
        </is>
      </c>
      <c r="C110" s="8" t="inlineStr">
        <is>
          <t>2461884713|2461884714</t>
        </is>
      </c>
      <c r="D110" s="8" t="inlineStr">
        <is>
          <t>Есть в ETM, нет в 1С</t>
        </is>
      </c>
      <c r="E110" s="8" t="inlineStr">
        <is>
          <t>1С</t>
        </is>
      </c>
      <c r="F110" s="8" t="inlineStr">
        <is>
          <t>A</t>
        </is>
      </c>
      <c r="G110" s="14" t="n">
        <v>0</v>
      </c>
      <c r="H110" s="14" t="n">
        <v>-50172</v>
      </c>
      <c r="I110" s="14" t="n"/>
      <c r="J110" s="14" t="n">
        <v>-50172</v>
      </c>
      <c r="K110" s="21" t="n">
        <v>46161.50534722222</v>
      </c>
      <c r="L110" s="21" t="n"/>
      <c r="M110" s="8" t="inlineStr"/>
      <c r="N110" s="8" t="inlineStr">
        <is>
          <t>Бухгалтер 1С</t>
        </is>
      </c>
      <c r="O110" s="8" t="inlineStr"/>
      <c r="P110" s="12" t="inlineStr">
        <is>
          <t>Списание есть в ETM, но в 1С нет реализации по этим билетам — счёт не выставлен</t>
        </is>
      </c>
      <c r="Q110" s="8" t="inlineStr">
        <is>
          <t>57299365</t>
        </is>
      </c>
    </row>
    <row r="111">
      <c r="A111" s="8" t="inlineStr">
        <is>
          <t>G07136</t>
        </is>
      </c>
      <c r="B111" s="8" t="inlineStr">
        <is>
          <t>Жибек Эйр</t>
        </is>
      </c>
      <c r="C111" s="8" t="inlineStr">
        <is>
          <t>2416942084</t>
        </is>
      </c>
      <c r="D111" s="8" t="inlineStr">
        <is>
          <t>Сумма не сходится</t>
        </is>
      </c>
      <c r="E111" s="8" t="inlineStr">
        <is>
          <t>Бот ETM</t>
        </is>
      </c>
      <c r="F111" s="8" t="inlineStr">
        <is>
          <t>A</t>
        </is>
      </c>
      <c r="G111" s="14" t="n">
        <v>49960.53</v>
      </c>
      <c r="H111" s="14" t="n">
        <v>-99921.06</v>
      </c>
      <c r="I111" s="14" t="n">
        <v>49960.53</v>
      </c>
      <c r="J111" s="14" t="n">
        <v>-49960.53</v>
      </c>
      <c r="K111" s="21" t="n">
        <v>46077.44582175926</v>
      </c>
      <c r="L111" s="21" t="n">
        <v>46077</v>
      </c>
      <c r="M111" s="8" t="inlineStr"/>
      <c r="N111" s="8" t="inlineStr">
        <is>
          <t>Разработчик/поддержка бота ETM</t>
        </is>
      </c>
      <c r="O111" s="8" t="inlineStr">
        <is>
          <t>e.satarov</t>
        </is>
      </c>
      <c r="P111" s="12" t="inlineStr">
        <is>
          <t>Реестр (49,960.53) совпадает с 1С (49,960.53), а в ETM 99,921.06: бот перенёс неверную сумму</t>
        </is>
      </c>
      <c r="Q111" s="8" t="inlineStr">
        <is>
          <t>57106381,57106400</t>
        </is>
      </c>
    </row>
    <row r="112">
      <c r="A112" s="8" t="inlineStr">
        <is>
          <t>G04291</t>
        </is>
      </c>
      <c r="B112" s="8" t="inlineStr">
        <is>
          <t>Абдылда уулу Б.</t>
        </is>
      </c>
      <c r="C112" s="8" t="inlineStr">
        <is>
          <t>2460733504|2460733505</t>
        </is>
      </c>
      <c r="D112" s="8" t="inlineStr">
        <is>
          <t>Есть в ETM, нет в 1С</t>
        </is>
      </c>
      <c r="E112" s="8" t="inlineStr">
        <is>
          <t>1С</t>
        </is>
      </c>
      <c r="F112" s="8" t="inlineStr">
        <is>
          <t>A</t>
        </is>
      </c>
      <c r="G112" s="14" t="n">
        <v>0</v>
      </c>
      <c r="H112" s="14" t="n">
        <v>-49760</v>
      </c>
      <c r="I112" s="14" t="n"/>
      <c r="J112" s="14" t="n">
        <v>-49760</v>
      </c>
      <c r="K112" s="21" t="n">
        <v>46157.34915509259</v>
      </c>
      <c r="L112" s="21" t="n"/>
      <c r="M112" s="8" t="inlineStr"/>
      <c r="N112" s="8" t="inlineStr">
        <is>
          <t>Бухгалтер 1С</t>
        </is>
      </c>
      <c r="O112" s="8" t="inlineStr"/>
      <c r="P112" s="12" t="inlineStr">
        <is>
          <t>Списание есть в ETM, но в 1С нет реализации по этим билетам — счёт не выставлен</t>
        </is>
      </c>
      <c r="Q112" s="8" t="inlineStr">
        <is>
          <t>57285835</t>
        </is>
      </c>
    </row>
    <row r="113">
      <c r="A113" s="8" t="inlineStr">
        <is>
          <t>G13867</t>
        </is>
      </c>
      <c r="B113" s="8" t="inlineStr">
        <is>
          <t>ТАЛАС ЭЙР</t>
        </is>
      </c>
      <c r="C113" s="8" t="inlineStr">
        <is>
          <t>2559101045|2559101046</t>
        </is>
      </c>
      <c r="D113" s="8" t="inlineStr">
        <is>
          <t>Есть в ETM, нет в 1С</t>
        </is>
      </c>
      <c r="E113" s="8" t="inlineStr">
        <is>
          <t>1С</t>
        </is>
      </c>
      <c r="F113" s="8" t="inlineStr">
        <is>
          <t>A</t>
        </is>
      </c>
      <c r="G113" s="14" t="n">
        <v>0</v>
      </c>
      <c r="H113" s="14" t="n">
        <v>-49635.18</v>
      </c>
      <c r="I113" s="14" t="n">
        <v>875.4000000000015</v>
      </c>
      <c r="J113" s="14" t="n">
        <v>-49635.18</v>
      </c>
      <c r="K113" s="21" t="n">
        <v>46146.42947916667</v>
      </c>
      <c r="L113" s="21" t="n"/>
      <c r="M113" s="8" t="inlineStr"/>
      <c r="N113" s="8" t="inlineStr">
        <is>
          <t>Бухгалтер 1С</t>
        </is>
      </c>
      <c r="O113" s="8" t="inlineStr">
        <is>
          <t>e.satarov|r.sydykov</t>
        </is>
      </c>
      <c r="P113" s="12" t="inlineStr">
        <is>
          <t>Списание есть в ETM и продажа в реестре, но в 1С нет реализации по этим билетам — счёт не выставлен</t>
        </is>
      </c>
      <c r="Q113" s="8" t="inlineStr">
        <is>
          <t>57251200,57251174</t>
        </is>
      </c>
    </row>
    <row r="114">
      <c r="A114" s="8" t="inlineStr">
        <is>
          <t>G12961</t>
        </is>
      </c>
      <c r="B114" s="8" t="inlineStr">
        <is>
          <t>Сатар уулу Санжар</t>
        </is>
      </c>
      <c r="C114" s="8" t="inlineStr">
        <is>
          <t>2420846140|2420846141</t>
        </is>
      </c>
      <c r="D114" s="8" t="inlineStr">
        <is>
          <t>Сумма не сходится</t>
        </is>
      </c>
      <c r="E114" s="8" t="inlineStr">
        <is>
          <t>1С</t>
        </is>
      </c>
      <c r="F114" s="8" t="inlineStr">
        <is>
          <t>A</t>
        </is>
      </c>
      <c r="G114" s="14" t="n">
        <v>-49478.02</v>
      </c>
      <c r="H114" s="14" t="n">
        <v>0</v>
      </c>
      <c r="I114" s="14" t="n">
        <v>-0.001599999995960388</v>
      </c>
      <c r="J114" s="14" t="n">
        <v>-49478.02</v>
      </c>
      <c r="K114" s="21" t="n">
        <v>46129.56346064815</v>
      </c>
      <c r="L114" s="21" t="n">
        <v>46148</v>
      </c>
      <c r="M114" s="8" t="inlineStr"/>
      <c r="N114" s="8" t="inlineStr">
        <is>
          <t>Бухгалтер 1С</t>
        </is>
      </c>
      <c r="O114" s="8" t="inlineStr">
        <is>
          <t>k.dzhumaev|r.sydykov</t>
        </is>
      </c>
      <c r="P114" s="12" t="inlineStr">
        <is>
          <t>Реестр (-0.00) совпадает с ETM (-0.00), а в 1С -49,478.02: неверная сумма в 1С</t>
        </is>
      </c>
      <c r="Q114" s="8" t="inlineStr">
        <is>
          <t>57212772,57256783</t>
        </is>
      </c>
    </row>
    <row r="115">
      <c r="A115" s="8" t="inlineStr">
        <is>
          <t>G01139</t>
        </is>
      </c>
      <c r="B115" s="8" t="inlineStr">
        <is>
          <t>Karakol Express</t>
        </is>
      </c>
      <c r="C115" s="8" t="inlineStr">
        <is>
          <t>2416945535</t>
        </is>
      </c>
      <c r="D115" s="8" t="inlineStr">
        <is>
          <t>Двойное списание в ETM</t>
        </is>
      </c>
      <c r="E115" s="8" t="inlineStr">
        <is>
          <t>Бот ETM</t>
        </is>
      </c>
      <c r="F115" s="8" t="inlineStr">
        <is>
          <t>A</t>
        </is>
      </c>
      <c r="G115" s="14" t="n">
        <v>49046</v>
      </c>
      <c r="H115" s="14" t="n">
        <v>-98092</v>
      </c>
      <c r="I115" s="14" t="n">
        <v>49046</v>
      </c>
      <c r="J115" s="14" t="n">
        <v>-49046</v>
      </c>
      <c r="K115" s="21" t="n">
        <v>46195.61657407408</v>
      </c>
      <c r="L115" s="21" t="n">
        <v>46195</v>
      </c>
      <c r="M115" s="8" t="inlineStr"/>
      <c r="N115" s="8" t="inlineStr">
        <is>
          <t>Разработчик/поддержка бота ETM</t>
        </is>
      </c>
      <c r="O115" s="8" t="inlineStr">
        <is>
          <t>d.mambetova</t>
        </is>
      </c>
      <c r="P115" s="12" t="inlineStr">
        <is>
          <t>В ETM 1 лишн. списание(й) одного билета на 49,046.00; без дубля сумма совпадает с 1С</t>
        </is>
      </c>
      <c r="Q115" s="8" t="inlineStr">
        <is>
          <t>57390756,57390775</t>
        </is>
      </c>
    </row>
    <row r="116">
      <c r="A116" s="8" t="inlineStr">
        <is>
          <t>G03996</t>
        </is>
      </c>
      <c r="B116" s="8" t="inlineStr">
        <is>
          <t>Sunrise Tours</t>
        </is>
      </c>
      <c r="C116" s="8" t="inlineStr">
        <is>
          <t>2559102620</t>
        </is>
      </c>
      <c r="D116" s="8" t="inlineStr">
        <is>
          <t>Двойное списание в ETM</t>
        </is>
      </c>
      <c r="E116" s="8" t="inlineStr">
        <is>
          <t>Бот ETM</t>
        </is>
      </c>
      <c r="F116" s="8" t="inlineStr">
        <is>
          <t>A</t>
        </is>
      </c>
      <c r="G116" s="14" t="n">
        <v>48907.15</v>
      </c>
      <c r="H116" s="14" t="n">
        <v>-97814.3</v>
      </c>
      <c r="I116" s="14" t="n">
        <v>48907.15</v>
      </c>
      <c r="J116" s="14" t="n">
        <v>-48907.15</v>
      </c>
      <c r="K116" s="21" t="n">
        <v>46178.54952546296</v>
      </c>
      <c r="L116" s="21" t="n">
        <v>46178</v>
      </c>
      <c r="M116" s="8" t="inlineStr"/>
      <c r="N116" s="8" t="inlineStr">
        <is>
          <t>Разработчик/поддержка бота ETM</t>
        </is>
      </c>
      <c r="O116" s="8" t="inlineStr">
        <is>
          <t>k.dzhumaev</t>
        </is>
      </c>
      <c r="P116" s="12" t="inlineStr">
        <is>
          <t>В ETM 1 лишн. списание(й) одного билета на 48,907.15; без дубля сумма совпадает с 1С</t>
        </is>
      </c>
      <c r="Q116" s="8" t="inlineStr">
        <is>
          <t>57344592,57344575</t>
        </is>
      </c>
    </row>
    <row r="117">
      <c r="A117" s="8" t="inlineStr">
        <is>
          <t>G08372</t>
        </is>
      </c>
      <c r="B117" s="8" t="inlineStr">
        <is>
          <t>ИП Муратов Э. У.</t>
        </is>
      </c>
      <c r="C117" s="8" t="inlineStr">
        <is>
          <t>2459526554|2459526555</t>
        </is>
      </c>
      <c r="D117" s="8" t="inlineStr">
        <is>
          <t>Сумма не сходится</t>
        </is>
      </c>
      <c r="E117" s="8" t="inlineStr">
        <is>
          <t>1С</t>
        </is>
      </c>
      <c r="F117" s="8" t="inlineStr">
        <is>
          <t>A</t>
        </is>
      </c>
      <c r="G117" s="14" t="n">
        <v>-43929</v>
      </c>
      <c r="H117" s="14" t="n">
        <v>-4881</v>
      </c>
      <c r="I117" s="14" t="n">
        <v>4881</v>
      </c>
      <c r="J117" s="14" t="n">
        <v>-48810</v>
      </c>
      <c r="K117" s="21" t="n">
        <v>46090.7487962963</v>
      </c>
      <c r="L117" s="21" t="n">
        <v>46129</v>
      </c>
      <c r="M117" s="8" t="inlineStr"/>
      <c r="N117" s="8" t="inlineStr">
        <is>
          <t>Бухгалтер 1С</t>
        </is>
      </c>
      <c r="O117" s="8" t="inlineStr">
        <is>
          <t>b.isakov|k.dzhumaev</t>
        </is>
      </c>
      <c r="P117" s="12" t="inlineStr">
        <is>
          <t>Реестр (4,881.00) совпадает с ETM (4,881.00), а в 1С -43,929.00: неверная сумма в 1С</t>
        </is>
      </c>
      <c r="Q117" s="8" t="inlineStr">
        <is>
          <t>57133577,57133549,57211846</t>
        </is>
      </c>
    </row>
    <row r="118">
      <c r="A118" s="8" t="inlineStr">
        <is>
          <t>G06519</t>
        </is>
      </c>
      <c r="B118" s="8" t="inlineStr">
        <is>
          <t>Джолдошова Салтанат Сатаревна</t>
        </is>
      </c>
      <c r="C118" s="8" t="inlineStr">
        <is>
          <t>2416942385|2416942387</t>
        </is>
      </c>
      <c r="D118" s="8" t="inlineStr">
        <is>
          <t>Есть в ETM, нет в 1С</t>
        </is>
      </c>
      <c r="E118" s="8" t="inlineStr">
        <is>
          <t>1С</t>
        </is>
      </c>
      <c r="F118" s="8" t="inlineStr">
        <is>
          <t>A</t>
        </is>
      </c>
      <c r="G118" s="14" t="n">
        <v>0</v>
      </c>
      <c r="H118" s="14" t="n">
        <v>-48092.66</v>
      </c>
      <c r="I118" s="14" t="n">
        <v>822.3399999999892</v>
      </c>
      <c r="J118" s="14" t="n">
        <v>-48092.66</v>
      </c>
      <c r="K118" s="21" t="n">
        <v>46210.6216087963</v>
      </c>
      <c r="L118" s="21" t="n"/>
      <c r="M118" s="8" t="inlineStr"/>
      <c r="N118" s="8" t="inlineStr">
        <is>
          <t>Бухгалтер 1С</t>
        </is>
      </c>
      <c r="O118" s="8" t="inlineStr">
        <is>
          <t>d.mambetova|e.satarov</t>
        </is>
      </c>
      <c r="P118" s="12" t="inlineStr">
        <is>
          <t>Списание есть в ETM и продажа в реестре, но в 1С нет реализации по этим билетам — счёт не выставлен</t>
        </is>
      </c>
      <c r="Q118" s="8" t="inlineStr">
        <is>
          <t>57437083,57437099</t>
        </is>
      </c>
    </row>
    <row r="119">
      <c r="A119" s="8" t="inlineStr">
        <is>
          <t>G03816</t>
        </is>
      </c>
      <c r="B119" s="8" t="inlineStr">
        <is>
          <t>Steppe Travel</t>
        </is>
      </c>
      <c r="C119" s="8" t="inlineStr">
        <is>
          <t>2420845766|2420845767</t>
        </is>
      </c>
      <c r="D119" s="8" t="inlineStr">
        <is>
          <t>Есть в ETM, нет в 1С</t>
        </is>
      </c>
      <c r="E119" s="8" t="inlineStr">
        <is>
          <t>1С</t>
        </is>
      </c>
      <c r="F119" s="8" t="inlineStr">
        <is>
          <t>A</t>
        </is>
      </c>
      <c r="G119" s="14" t="n">
        <v>0</v>
      </c>
      <c r="H119" s="14" t="n">
        <v>-47406.96</v>
      </c>
      <c r="I119" s="14" t="n">
        <v>1000</v>
      </c>
      <c r="J119" s="14" t="n">
        <v>-47406.96</v>
      </c>
      <c r="K119" s="21" t="n">
        <v>46031.58615740741</v>
      </c>
      <c r="L119" s="21" t="n"/>
      <c r="M119" s="8" t="inlineStr"/>
      <c r="N119" s="8" t="inlineStr">
        <is>
          <t>Бухгалтер 1С</t>
        </is>
      </c>
      <c r="O119" s="8" t="inlineStr">
        <is>
          <t>a.toktosunova|k.dzhumaev</t>
        </is>
      </c>
      <c r="P119" s="12" t="inlineStr">
        <is>
          <t>Списание есть в ETM и продажа в реестре, но в 1С нет реализации по этим билетам — счёт не выставлен</t>
        </is>
      </c>
      <c r="Q119" s="8" t="inlineStr">
        <is>
          <t>57016650,57016681</t>
        </is>
      </c>
    </row>
    <row r="120">
      <c r="A120" s="8" t="inlineStr">
        <is>
          <t>G10547</t>
        </is>
      </c>
      <c r="B120" s="8" t="inlineStr">
        <is>
          <t>Манас Тур</t>
        </is>
      </c>
      <c r="C120" s="8" t="inlineStr">
        <is>
          <t>2459531864|2459531867|2459531870</t>
        </is>
      </c>
      <c r="D120" s="8" t="inlineStr">
        <is>
          <t>Есть в ETM, нет в 1С</t>
        </is>
      </c>
      <c r="E120" s="8" t="inlineStr">
        <is>
          <t>1С</t>
        </is>
      </c>
      <c r="F120" s="8" t="inlineStr">
        <is>
          <t>A</t>
        </is>
      </c>
      <c r="G120" s="14" t="n">
        <v>0</v>
      </c>
      <c r="H120" s="14" t="n">
        <v>-46923</v>
      </c>
      <c r="I120" s="14" t="n">
        <v>0</v>
      </c>
      <c r="J120" s="14" t="n">
        <v>-46923</v>
      </c>
      <c r="K120" s="21" t="n">
        <v>46148.52207175926</v>
      </c>
      <c r="L120" s="21" t="n"/>
      <c r="M120" s="8" t="inlineStr"/>
      <c r="N120" s="8" t="inlineStr">
        <is>
          <t>Бухгалтер 1С</t>
        </is>
      </c>
      <c r="O120" s="8" t="inlineStr">
        <is>
          <t>g.omurbekova|r.sydykov</t>
        </is>
      </c>
      <c r="P120" s="12" t="inlineStr">
        <is>
          <t>Списание есть в ETM и продажа в реестре, но в 1С нет реализации по этим билетам — счёт не выставлен</t>
        </is>
      </c>
      <c r="Q120" s="8" t="inlineStr">
        <is>
          <t>57259942,57259957,57259919</t>
        </is>
      </c>
    </row>
    <row r="121">
      <c r="A121" s="8" t="inlineStr">
        <is>
          <t>G12267</t>
        </is>
      </c>
      <c r="B121" s="8" t="inlineStr">
        <is>
          <t>САЛАМ ЭЙР</t>
        </is>
      </c>
      <c r="C121" s="8" t="inlineStr">
        <is>
          <t>2416942069|2416942072</t>
        </is>
      </c>
      <c r="D121" s="8" t="inlineStr">
        <is>
          <t>Есть в ETM, нет в 1С</t>
        </is>
      </c>
      <c r="E121" s="8" t="inlineStr">
        <is>
          <t>1С</t>
        </is>
      </c>
      <c r="F121" s="8" t="inlineStr">
        <is>
          <t>A</t>
        </is>
      </c>
      <c r="G121" s="14" t="n">
        <v>0</v>
      </c>
      <c r="H121" s="14" t="n">
        <v>-46848</v>
      </c>
      <c r="I121" s="14" t="n">
        <v>46848</v>
      </c>
      <c r="J121" s="14" t="n">
        <v>-46848</v>
      </c>
      <c r="K121" s="21" t="n">
        <v>46217.35038194444</v>
      </c>
      <c r="L121" s="21" t="n"/>
      <c r="M121" s="8" t="inlineStr"/>
      <c r="N121" s="8" t="inlineStr">
        <is>
          <t>Бухгалтер 1С</t>
        </is>
      </c>
      <c r="O121" s="8" t="inlineStr">
        <is>
          <t>e.satarov</t>
        </is>
      </c>
      <c r="P121" s="12" t="inlineStr">
        <is>
          <t>Списание есть в ETM и продажа в реестре, но в 1С нет реализации по этим билетам — счёт не выставлен</t>
        </is>
      </c>
      <c r="Q121" s="8" t="inlineStr">
        <is>
          <t>57457698,57457676</t>
        </is>
      </c>
    </row>
    <row r="122">
      <c r="A122" s="8" t="inlineStr">
        <is>
          <t>G04001</t>
        </is>
      </c>
      <c r="B122" s="8" t="inlineStr">
        <is>
          <t>Tengri Trip</t>
        </is>
      </c>
      <c r="C122" s="8" t="inlineStr">
        <is>
          <t>2416942394</t>
        </is>
      </c>
      <c r="D122" s="8" t="inlineStr">
        <is>
          <t>Есть в ETM, нет в 1С</t>
        </is>
      </c>
      <c r="E122" s="8" t="inlineStr">
        <is>
          <t>1С</t>
        </is>
      </c>
      <c r="F122" s="8" t="inlineStr">
        <is>
          <t>A</t>
        </is>
      </c>
      <c r="G122" s="14" t="n">
        <v>0</v>
      </c>
      <c r="H122" s="14" t="n">
        <v>-46773.84</v>
      </c>
      <c r="I122" s="14" t="n">
        <v>46773.84</v>
      </c>
      <c r="J122" s="14" t="n">
        <v>-46773.84</v>
      </c>
      <c r="K122" s="21" t="n">
        <v>46174.4087037037</v>
      </c>
      <c r="L122" s="21" t="n"/>
      <c r="M122" s="8" t="inlineStr"/>
      <c r="N122" s="8" t="inlineStr">
        <is>
          <t>Бухгалтер 1С</t>
        </is>
      </c>
      <c r="O122" s="8" t="inlineStr">
        <is>
          <t>r.sydykov</t>
        </is>
      </c>
      <c r="P122" s="12" t="inlineStr">
        <is>
          <t>Списание есть в ETM и продажа в реестре, но в 1С нет реализации по этим билетам — счёт не выставлен</t>
        </is>
      </c>
      <c r="Q122" s="8" t="inlineStr">
        <is>
          <t>57333218</t>
        </is>
      </c>
    </row>
    <row r="123">
      <c r="A123" s="8" t="inlineStr">
        <is>
          <t>G08650</t>
        </is>
      </c>
      <c r="B123" s="8" t="inlineStr">
        <is>
          <t>ИП Токтосун кызы Н.</t>
        </is>
      </c>
      <c r="C123" s="8" t="inlineStr">
        <is>
          <t>2476317188|2476317190</t>
        </is>
      </c>
      <c r="D123" s="8" t="inlineStr">
        <is>
          <t>Есть в ETM, нет в 1С</t>
        </is>
      </c>
      <c r="E123" s="8" t="inlineStr">
        <is>
          <t>1С</t>
        </is>
      </c>
      <c r="F123" s="8" t="inlineStr">
        <is>
          <t>A</t>
        </is>
      </c>
      <c r="G123" s="14" t="n">
        <v>0</v>
      </c>
      <c r="H123" s="14" t="n">
        <v>-46554.84</v>
      </c>
      <c r="I123" s="14" t="n">
        <v>1442.280000000006</v>
      </c>
      <c r="J123" s="14" t="n">
        <v>-46554.84</v>
      </c>
      <c r="K123" s="21" t="n">
        <v>46201.45215277778</v>
      </c>
      <c r="L123" s="21" t="n"/>
      <c r="M123" s="8" t="inlineStr"/>
      <c r="N123" s="8" t="inlineStr">
        <is>
          <t>Бухгалтер 1С</t>
        </is>
      </c>
      <c r="O123" s="8" t="inlineStr">
        <is>
          <t>d.mambetova|r.sydykov</t>
        </is>
      </c>
      <c r="P123" s="12" t="inlineStr">
        <is>
          <t>Списание есть в ETM и продажа в реестре, но в 1С нет реализации по этим билетам — счёт не выставлен</t>
        </is>
      </c>
      <c r="Q123" s="8" t="inlineStr">
        <is>
          <t>57408881,57408876</t>
        </is>
      </c>
    </row>
    <row r="124">
      <c r="A124" s="8" t="inlineStr">
        <is>
          <t>G10444</t>
        </is>
      </c>
      <c r="B124" s="8" t="inlineStr">
        <is>
          <t>Манас Тревел</t>
        </is>
      </c>
      <c r="C124" s="8" t="inlineStr">
        <is>
          <t>2552672361</t>
        </is>
      </c>
      <c r="D124" s="8" t="inlineStr">
        <is>
          <t>Есть в ETM, нет в 1С</t>
        </is>
      </c>
      <c r="E124" s="8" t="inlineStr">
        <is>
          <t>1С</t>
        </is>
      </c>
      <c r="F124" s="8" t="inlineStr">
        <is>
          <t>A</t>
        </is>
      </c>
      <c r="G124" s="14" t="n">
        <v>0</v>
      </c>
      <c r="H124" s="14" t="n">
        <v>-45787.81</v>
      </c>
      <c r="I124" s="14" t="n">
        <v>45787.815</v>
      </c>
      <c r="J124" s="14" t="n">
        <v>-45787.81</v>
      </c>
      <c r="K124" s="21" t="n">
        <v>46210.50266203703</v>
      </c>
      <c r="L124" s="21" t="n"/>
      <c r="M124" s="8" t="inlineStr"/>
      <c r="N124" s="8" t="inlineStr">
        <is>
          <t>Бухгалтер 1С</t>
        </is>
      </c>
      <c r="O124" s="8" t="inlineStr">
        <is>
          <t>k.dzhumaev</t>
        </is>
      </c>
      <c r="P124" s="12" t="inlineStr">
        <is>
          <t>Списание есть в ETM и продажа в реестре, но в 1С нет реализации по этим билетам — счёт не выставлен</t>
        </is>
      </c>
      <c r="Q124" s="8" t="inlineStr">
        <is>
          <t>57438502</t>
        </is>
      </c>
    </row>
    <row r="125">
      <c r="A125" s="8" t="inlineStr">
        <is>
          <t>G05370</t>
        </is>
      </c>
      <c r="B125" s="8" t="inlineStr">
        <is>
          <t>Ак-Куу Авиа</t>
        </is>
      </c>
      <c r="C125" s="8" t="inlineStr">
        <is>
          <t>2559099092</t>
        </is>
      </c>
      <c r="D125" s="8" t="inlineStr">
        <is>
          <t>Есть в ETM, нет в 1С</t>
        </is>
      </c>
      <c r="E125" s="8" t="inlineStr">
        <is>
          <t>1С</t>
        </is>
      </c>
      <c r="F125" s="8" t="inlineStr">
        <is>
          <t>A</t>
        </is>
      </c>
      <c r="G125" s="14" t="n">
        <v>0</v>
      </c>
      <c r="H125" s="14" t="n">
        <v>-45687.28</v>
      </c>
      <c r="I125" s="14" t="n">
        <v>500</v>
      </c>
      <c r="J125" s="14" t="n">
        <v>-45687.28</v>
      </c>
      <c r="K125" s="21" t="n">
        <v>46089.73731481482</v>
      </c>
      <c r="L125" s="21" t="n"/>
      <c r="M125" s="8" t="inlineStr"/>
      <c r="N125" s="8" t="inlineStr">
        <is>
          <t>Бухгалтер 1С</t>
        </is>
      </c>
      <c r="O125" s="8" t="inlineStr">
        <is>
          <t>g.omurbekova|n.abdyldaeva</t>
        </is>
      </c>
      <c r="P125" s="12" t="inlineStr">
        <is>
          <t>Списание есть в ETM и продажа в реестре, но в 1С нет реализации по этим билетам — счёт не выставлен</t>
        </is>
      </c>
      <c r="Q125" s="8" t="inlineStr">
        <is>
          <t>57131667</t>
        </is>
      </c>
    </row>
    <row r="126">
      <c r="A126" s="8" t="inlineStr">
        <is>
          <t>G05492</t>
        </is>
      </c>
      <c r="B126" s="8" t="inlineStr">
        <is>
          <t>Ак-Куу Тур</t>
        </is>
      </c>
      <c r="C126" s="8" t="inlineStr">
        <is>
          <t>2420845798</t>
        </is>
      </c>
      <c r="D126" s="8" t="inlineStr">
        <is>
          <t>Сумма не сходится</t>
        </is>
      </c>
      <c r="E126" s="8" t="inlineStr">
        <is>
          <t>Бот ETM</t>
        </is>
      </c>
      <c r="F126" s="8" t="inlineStr">
        <is>
          <t>A</t>
        </is>
      </c>
      <c r="G126" s="14" t="n">
        <v>27077.85</v>
      </c>
      <c r="H126" s="14" t="n">
        <v>-72077.85000000001</v>
      </c>
      <c r="I126" s="14" t="n">
        <v>27077.8519</v>
      </c>
      <c r="J126" s="14" t="n">
        <v>-45000.00000000001</v>
      </c>
      <c r="K126" s="21" t="n">
        <v>46055.70815972222</v>
      </c>
      <c r="L126" s="21" t="n">
        <v>46055</v>
      </c>
      <c r="M126" s="8" t="inlineStr">
        <is>
          <t>TRANSPOSITION</t>
        </is>
      </c>
      <c r="N126" s="8" t="inlineStr">
        <is>
          <t>Разработчик/поддержка бота ETM</t>
        </is>
      </c>
      <c r="O126" s="8" t="inlineStr">
        <is>
          <t>g.omurbekova</t>
        </is>
      </c>
      <c r="P126" s="12" t="inlineStr">
        <is>
          <t>Реестр (27,077.85) совпадает с 1С (27,077.85), а в ETM 72,077.85: бот перенёс неверную сумму</t>
        </is>
      </c>
      <c r="Q126" s="8" t="inlineStr">
        <is>
          <t>57069225</t>
        </is>
      </c>
    </row>
    <row r="127">
      <c r="A127" s="8" t="inlineStr">
        <is>
          <t>G07624</t>
        </is>
      </c>
      <c r="B127" s="8" t="inlineStr">
        <is>
          <t>Жумабек кызы Умут</t>
        </is>
      </c>
      <c r="C127" s="8" t="inlineStr">
        <is>
          <t>2459531326|2459531328|2459531330</t>
        </is>
      </c>
      <c r="D127" s="8" t="inlineStr">
        <is>
          <t>Сумма не сходится</t>
        </is>
      </c>
      <c r="E127" s="8" t="inlineStr">
        <is>
          <t>1С</t>
        </is>
      </c>
      <c r="F127" s="8" t="inlineStr">
        <is>
          <t>A</t>
        </is>
      </c>
      <c r="G127" s="14" t="n">
        <v>49755</v>
      </c>
      <c r="H127" s="14" t="n">
        <v>-94755</v>
      </c>
      <c r="I127" s="14" t="n">
        <v>94755</v>
      </c>
      <c r="J127" s="14" t="n">
        <v>-45000</v>
      </c>
      <c r="K127" s="21" t="n">
        <v>46083.49429398148</v>
      </c>
      <c r="L127" s="21" t="n">
        <v>46083</v>
      </c>
      <c r="M127" s="8" t="inlineStr">
        <is>
          <t>TRANSPOSITION</t>
        </is>
      </c>
      <c r="N127" s="8" t="inlineStr">
        <is>
          <t>Бухгалтер 1С</t>
        </is>
      </c>
      <c r="O127" s="8" t="inlineStr">
        <is>
          <t>a.toktosunova</t>
        </is>
      </c>
      <c r="P127" s="12" t="inlineStr">
        <is>
          <t>Реестр (94,755.00) совпадает с ETM (94,755.00), а в 1С 49,755.00: неверная сумма в 1С</t>
        </is>
      </c>
      <c r="Q127" s="8" t="inlineStr">
        <is>
          <t>57118980</t>
        </is>
      </c>
    </row>
    <row r="128">
      <c r="A128" s="8" t="inlineStr">
        <is>
          <t>G13973</t>
        </is>
      </c>
      <c r="B128" s="8" t="inlineStr">
        <is>
          <t>ТЯНЬ-ШАНЬ ЭКСПРЕСС</t>
        </is>
      </c>
      <c r="C128" s="8" t="inlineStr">
        <is>
          <t>2559099461</t>
        </is>
      </c>
      <c r="D128" s="8" t="inlineStr">
        <is>
          <t>Сумма не сходится</t>
        </is>
      </c>
      <c r="E128" s="8" t="inlineStr">
        <is>
          <t>Бот ETM</t>
        </is>
      </c>
      <c r="F128" s="8" t="inlineStr">
        <is>
          <t>A</t>
        </is>
      </c>
      <c r="G128" s="14" t="n">
        <v>27697.16</v>
      </c>
      <c r="H128" s="14" t="n">
        <v>-72697.16</v>
      </c>
      <c r="I128" s="14" t="n">
        <v>27697.155</v>
      </c>
      <c r="J128" s="14" t="n">
        <v>-45000</v>
      </c>
      <c r="K128" s="21" t="n">
        <v>46188.67511574074</v>
      </c>
      <c r="L128" s="21" t="n">
        <v>46188</v>
      </c>
      <c r="M128" s="8" t="inlineStr">
        <is>
          <t>TRANSPOSITION</t>
        </is>
      </c>
      <c r="N128" s="8" t="inlineStr">
        <is>
          <t>Разработчик/поддержка бота ETM</t>
        </is>
      </c>
      <c r="O128" s="8" t="inlineStr">
        <is>
          <t>k.dzhumaev</t>
        </is>
      </c>
      <c r="P128" s="12" t="inlineStr">
        <is>
          <t>Реестр (27,697.15) совпадает с 1С (27,697.16), а в ETM 72,697.16: бот перенёс неверную сумму</t>
        </is>
      </c>
      <c r="Q128" s="8" t="inlineStr">
        <is>
          <t>57368825</t>
        </is>
      </c>
    </row>
    <row r="129">
      <c r="A129" s="8" t="inlineStr">
        <is>
          <t>G09899</t>
        </is>
      </c>
      <c r="B129" s="8" t="inlineStr">
        <is>
          <t>Кенешова Чолпон Таалайовна</t>
        </is>
      </c>
      <c r="C129" s="8" t="inlineStr">
        <is>
          <t>2559100867</t>
        </is>
      </c>
      <c r="D129" s="8" t="inlineStr">
        <is>
          <t>Сумма не сходится</t>
        </is>
      </c>
      <c r="E129" s="8" t="inlineStr">
        <is>
          <t>1С</t>
        </is>
      </c>
      <c r="F129" s="8" t="inlineStr">
        <is>
          <t>A</t>
        </is>
      </c>
      <c r="G129" s="14" t="n">
        <v>27539.43</v>
      </c>
      <c r="H129" s="14" t="n">
        <v>-72539.42999999999</v>
      </c>
      <c r="I129" s="14" t="n">
        <v>72539.5698</v>
      </c>
      <c r="J129" s="14" t="n">
        <v>-44999.99999999999</v>
      </c>
      <c r="K129" s="21" t="n">
        <v>46155.53806712963</v>
      </c>
      <c r="L129" s="21" t="n">
        <v>46155</v>
      </c>
      <c r="M129" s="8" t="inlineStr">
        <is>
          <t>TRANSPOSITION</t>
        </is>
      </c>
      <c r="N129" s="8" t="inlineStr">
        <is>
          <t>Бухгалтер 1С</t>
        </is>
      </c>
      <c r="O129" s="8" t="inlineStr">
        <is>
          <t>a.toktosunova</t>
        </is>
      </c>
      <c r="P129" s="12" t="inlineStr">
        <is>
          <t>Реестр (72,539.57) совпадает с ETM (72,539.43), а в 1С 27,539.43: неверная сумма в 1С</t>
        </is>
      </c>
      <c r="Q129" s="8" t="inlineStr">
        <is>
          <t>57279717</t>
        </is>
      </c>
    </row>
    <row r="130">
      <c r="A130" s="8" t="inlineStr">
        <is>
          <t>G02355</t>
        </is>
      </c>
      <c r="B130" s="8" t="inlineStr">
        <is>
          <t>SkyWay Travel</t>
        </is>
      </c>
      <c r="C130" s="8" t="inlineStr">
        <is>
          <t>2416945033</t>
        </is>
      </c>
      <c r="D130" s="8" t="inlineStr">
        <is>
          <t>Есть в реестре и 1С, нет в ETM</t>
        </is>
      </c>
      <c r="E130" s="8" t="inlineStr">
        <is>
          <t>Бот ETM</t>
        </is>
      </c>
      <c r="F130" s="8" t="inlineStr">
        <is>
          <t>A</t>
        </is>
      </c>
      <c r="G130" s="14" t="n">
        <v>44979.88</v>
      </c>
      <c r="H130" s="14" t="n">
        <v>0</v>
      </c>
      <c r="I130" s="14" t="n">
        <v>44979.875</v>
      </c>
      <c r="J130" s="14" t="n">
        <v>44979.88</v>
      </c>
      <c r="K130" s="21" t="n"/>
      <c r="L130" s="21" t="n">
        <v>46136</v>
      </c>
      <c r="M130" s="8" t="inlineStr"/>
      <c r="N130" s="8" t="inlineStr">
        <is>
          <t>Разработчик/поддержка бота ETM</t>
        </is>
      </c>
      <c r="O130" s="8" t="inlineStr">
        <is>
          <t>b.isakov</t>
        </is>
      </c>
      <c r="P130" s="12" t="inlineStr">
        <is>
          <t>Продажа есть в реестре и в 1С, но бот не перенёс её на баланс ETM — списания нет</t>
        </is>
      </c>
      <c r="Q130" s="8" t="inlineStr"/>
    </row>
    <row r="131">
      <c r="A131" s="8" t="inlineStr">
        <is>
          <t>G04095</t>
        </is>
      </c>
      <c r="B131" s="8" t="inlineStr">
        <is>
          <t>Tengri Trip</t>
        </is>
      </c>
      <c r="C131" s="8" t="inlineStr">
        <is>
          <t>2559098827|2559098829</t>
        </is>
      </c>
      <c r="D131" s="8" t="inlineStr">
        <is>
          <t>Есть в ETM, нет в 1С</t>
        </is>
      </c>
      <c r="E131" s="8" t="inlineStr">
        <is>
          <t>1С</t>
        </is>
      </c>
      <c r="F131" s="8" t="inlineStr">
        <is>
          <t>A</t>
        </is>
      </c>
      <c r="G131" s="14" t="n">
        <v>0</v>
      </c>
      <c r="H131" s="14" t="n">
        <v>-44918</v>
      </c>
      <c r="I131" s="14" t="n">
        <v>44918</v>
      </c>
      <c r="J131" s="14" t="n">
        <v>-44918</v>
      </c>
      <c r="K131" s="21" t="n">
        <v>46205.75569444444</v>
      </c>
      <c r="L131" s="21" t="n"/>
      <c r="M131" s="8" t="inlineStr"/>
      <c r="N131" s="8" t="inlineStr">
        <is>
          <t>Бухгалтер 1С</t>
        </is>
      </c>
      <c r="O131" s="8" t="inlineStr">
        <is>
          <t>k.dzhumaev</t>
        </is>
      </c>
      <c r="P131" s="12" t="inlineStr">
        <is>
          <t>Списание есть в ETM и продажа в реестре, но в 1С нет реализации по этим билетам — счёт не выставлен</t>
        </is>
      </c>
      <c r="Q131" s="8" t="inlineStr">
        <is>
          <t>57419806,57419815</t>
        </is>
      </c>
    </row>
    <row r="132">
      <c r="A132" s="8" t="inlineStr">
        <is>
          <t>G13854</t>
        </is>
      </c>
      <c r="B132" s="8" t="inlineStr">
        <is>
          <t>ТАЛАС ЭЙР</t>
        </is>
      </c>
      <c r="C132" s="8" t="inlineStr">
        <is>
          <t>2552671424</t>
        </is>
      </c>
      <c r="D132" s="8" t="inlineStr">
        <is>
          <t>Двойное списание в ETM</t>
        </is>
      </c>
      <c r="E132" s="8" t="inlineStr">
        <is>
          <t>Бот ETM</t>
        </is>
      </c>
      <c r="F132" s="8" t="inlineStr">
        <is>
          <t>A</t>
        </is>
      </c>
      <c r="G132" s="14" t="n">
        <v>44913.25</v>
      </c>
      <c r="H132" s="14" t="n">
        <v>-89826.5</v>
      </c>
      <c r="I132" s="14" t="n">
        <v>44913.255</v>
      </c>
      <c r="J132" s="14" t="n">
        <v>-44913.25</v>
      </c>
      <c r="K132" s="21" t="n">
        <v>46195.78738425926</v>
      </c>
      <c r="L132" s="21" t="n">
        <v>46195</v>
      </c>
      <c r="M132" s="8" t="inlineStr"/>
      <c r="N132" s="8" t="inlineStr">
        <is>
          <t>Разработчик/поддержка бота ETM</t>
        </is>
      </c>
      <c r="O132" s="8" t="inlineStr">
        <is>
          <t>a.toktosunova</t>
        </is>
      </c>
      <c r="P132" s="12" t="inlineStr">
        <is>
          <t>В ETM 1 лишн. списание(й) одного билета на 44,913.25; без дубля сумма совпадает с 1С</t>
        </is>
      </c>
      <c r="Q132" s="8" t="inlineStr">
        <is>
          <t>57390261,57390247</t>
        </is>
      </c>
    </row>
    <row r="133">
      <c r="A133" s="8" t="inlineStr">
        <is>
          <t>G11207</t>
        </is>
      </c>
      <c r="B133" s="8" t="inlineStr">
        <is>
          <t>ОсОО Алтын Эйр</t>
        </is>
      </c>
      <c r="C133" s="8" t="inlineStr">
        <is>
          <t>2459530054</t>
        </is>
      </c>
      <c r="D133" s="8" t="inlineStr">
        <is>
          <t>Есть в ETM, нет в 1С</t>
        </is>
      </c>
      <c r="E133" s="8" t="inlineStr">
        <is>
          <t>1С</t>
        </is>
      </c>
      <c r="F133" s="8" t="inlineStr">
        <is>
          <t>A</t>
        </is>
      </c>
      <c r="G133" s="14" t="n">
        <v>0</v>
      </c>
      <c r="H133" s="14" t="n">
        <v>-44701</v>
      </c>
      <c r="I133" s="14" t="n">
        <v>44701</v>
      </c>
      <c r="J133" s="14" t="n">
        <v>-44701</v>
      </c>
      <c r="K133" s="21" t="n">
        <v>46183.48307870371</v>
      </c>
      <c r="L133" s="21" t="n"/>
      <c r="M133" s="8" t="inlineStr"/>
      <c r="N133" s="8" t="inlineStr">
        <is>
          <t>Бухгалтер 1С</t>
        </is>
      </c>
      <c r="O133" s="8" t="inlineStr">
        <is>
          <t>e.satarov</t>
        </is>
      </c>
      <c r="P133" s="12" t="inlineStr">
        <is>
          <t>Списание есть в ETM и продажа в реестре, но в 1С нет реализации по этим билетам — счёт не выставлен</t>
        </is>
      </c>
      <c r="Q133" s="8" t="inlineStr">
        <is>
          <t>57357035</t>
        </is>
      </c>
    </row>
    <row r="134">
      <c r="A134" s="8" t="inlineStr">
        <is>
          <t>G12310</t>
        </is>
      </c>
      <c r="B134" s="8" t="inlineStr">
        <is>
          <t>САЛАМ ЭЙР</t>
        </is>
      </c>
      <c r="C134" s="8" t="inlineStr">
        <is>
          <t>2459528124</t>
        </is>
      </c>
      <c r="D134" s="8" t="inlineStr">
        <is>
          <t>Есть в ETM, нет в 1С</t>
        </is>
      </c>
      <c r="E134" s="8" t="inlineStr">
        <is>
          <t>1С</t>
        </is>
      </c>
      <c r="F134" s="8" t="inlineStr">
        <is>
          <t>A</t>
        </is>
      </c>
      <c r="G134" s="14" t="n">
        <v>0</v>
      </c>
      <c r="H134" s="14" t="n">
        <v>-44528</v>
      </c>
      <c r="I134" s="14" t="n"/>
      <c r="J134" s="14" t="n">
        <v>-44528</v>
      </c>
      <c r="K134" s="21" t="n">
        <v>46037.47612268518</v>
      </c>
      <c r="L134" s="21" t="n"/>
      <c r="M134" s="8" t="inlineStr"/>
      <c r="N134" s="8" t="inlineStr">
        <is>
          <t>Бухгалтер 1С</t>
        </is>
      </c>
      <c r="O134" s="8" t="inlineStr"/>
      <c r="P134" s="12" t="inlineStr">
        <is>
          <t>Списание есть в ETM, но в 1С нет реализации по этим билетам — счёт не выставлен</t>
        </is>
      </c>
      <c r="Q134" s="8" t="inlineStr">
        <is>
          <t>57029229</t>
        </is>
      </c>
    </row>
    <row r="135">
      <c r="A135" s="8" t="inlineStr">
        <is>
          <t>G11812</t>
        </is>
      </c>
      <c r="B135" s="8" t="inlineStr">
        <is>
          <t>ОсОО Кок-Жайык Лайн</t>
        </is>
      </c>
      <c r="C135" s="8" t="inlineStr">
        <is>
          <t>2460736877</t>
        </is>
      </c>
      <c r="D135" s="8" t="inlineStr">
        <is>
          <t>Есть в ETM, нет в 1С</t>
        </is>
      </c>
      <c r="E135" s="8" t="inlineStr">
        <is>
          <t>1С</t>
        </is>
      </c>
      <c r="F135" s="8" t="inlineStr">
        <is>
          <t>A</t>
        </is>
      </c>
      <c r="G135" s="14" t="n">
        <v>0</v>
      </c>
      <c r="H135" s="14" t="n">
        <v>-44424</v>
      </c>
      <c r="I135" s="14" t="n">
        <v>1500</v>
      </c>
      <c r="J135" s="14" t="n">
        <v>-44424</v>
      </c>
      <c r="K135" s="21" t="n">
        <v>46215.65560185185</v>
      </c>
      <c r="L135" s="21" t="n"/>
      <c r="M135" s="8" t="inlineStr"/>
      <c r="N135" s="8" t="inlineStr">
        <is>
          <t>Бухгалтер 1С</t>
        </is>
      </c>
      <c r="O135" s="8" t="inlineStr">
        <is>
          <t>d.mambetova|k.dzhumaev</t>
        </is>
      </c>
      <c r="P135" s="12" t="inlineStr">
        <is>
          <t>Списание есть в ETM и продажа в реестре, но в 1С нет реализации по этим билетам — счёт не выставлен</t>
        </is>
      </c>
      <c r="Q135" s="8" t="inlineStr">
        <is>
          <t>57453377</t>
        </is>
      </c>
    </row>
    <row r="136">
      <c r="A136" s="8" t="inlineStr">
        <is>
          <t>G03480</t>
        </is>
      </c>
      <c r="B136" s="8" t="inlineStr">
        <is>
          <t>SkyWay Travel</t>
        </is>
      </c>
      <c r="C136" s="8" t="inlineStr">
        <is>
          <t>2552670403|2552670405</t>
        </is>
      </c>
      <c r="D136" s="8" t="inlineStr">
        <is>
          <t>Есть в ETM, нет в 1С</t>
        </is>
      </c>
      <c r="E136" s="8" t="inlineStr">
        <is>
          <t>1С</t>
        </is>
      </c>
      <c r="F136" s="8" t="inlineStr">
        <is>
          <t>A</t>
        </is>
      </c>
      <c r="G136" s="14" t="n">
        <v>0</v>
      </c>
      <c r="H136" s="14" t="n">
        <v>-44361.32</v>
      </c>
      <c r="I136" s="14" t="n">
        <v>1041.895000000004</v>
      </c>
      <c r="J136" s="14" t="n">
        <v>-44361.32</v>
      </c>
      <c r="K136" s="21" t="n">
        <v>46098.38520833333</v>
      </c>
      <c r="L136" s="21" t="n"/>
      <c r="M136" s="8" t="inlineStr"/>
      <c r="N136" s="8" t="inlineStr">
        <is>
          <t>Бухгалтер 1С</t>
        </is>
      </c>
      <c r="O136" s="8" t="inlineStr">
        <is>
          <t>n.abdyldaeva|r.sydykov</t>
        </is>
      </c>
      <c r="P136" s="12" t="inlineStr">
        <is>
          <t>Списание есть в ETM и продажа в реестре, но в 1С нет реализации по этим билетам — счёт не выставлен</t>
        </is>
      </c>
      <c r="Q136" s="8" t="inlineStr">
        <is>
          <t>57153757,57153754</t>
        </is>
      </c>
    </row>
    <row r="137">
      <c r="A137" s="8" t="inlineStr">
        <is>
          <t>G02820</t>
        </is>
      </c>
      <c r="B137" s="8" t="inlineStr">
        <is>
          <t>SkyWay Travel</t>
        </is>
      </c>
      <c r="C137" s="8" t="inlineStr">
        <is>
          <t>2460733803</t>
        </is>
      </c>
      <c r="D137" s="8" t="inlineStr">
        <is>
          <t>Есть в реестре и 1С, нет в ETM</t>
        </is>
      </c>
      <c r="E137" s="8" t="inlineStr">
        <is>
          <t>Бот ETM</t>
        </is>
      </c>
      <c r="F137" s="8" t="inlineStr">
        <is>
          <t>A</t>
        </is>
      </c>
      <c r="G137" s="14" t="n">
        <v>44312</v>
      </c>
      <c r="H137" s="14" t="n">
        <v>0</v>
      </c>
      <c r="I137" s="14" t="n">
        <v>44312</v>
      </c>
      <c r="J137" s="14" t="n">
        <v>44312</v>
      </c>
      <c r="K137" s="21" t="n"/>
      <c r="L137" s="21" t="n">
        <v>46105</v>
      </c>
      <c r="M137" s="8" t="inlineStr"/>
      <c r="N137" s="8" t="inlineStr">
        <is>
          <t>Разработчик/поддержка бота ETM</t>
        </is>
      </c>
      <c r="O137" s="8" t="inlineStr">
        <is>
          <t>k.dzhumaev</t>
        </is>
      </c>
      <c r="P137" s="12" t="inlineStr">
        <is>
          <t>Продажа есть в реестре и в 1С, но бот не перенёс её на баланс ETM — списания нет</t>
        </is>
      </c>
      <c r="Q137" s="8" t="inlineStr"/>
    </row>
    <row r="138">
      <c r="A138" s="8" t="inlineStr">
        <is>
          <t>G14532</t>
        </is>
      </c>
      <c r="B138" s="8" t="inlineStr">
        <is>
          <t>Чынар уулу Эмир</t>
        </is>
      </c>
      <c r="C138" s="8" t="inlineStr">
        <is>
          <t>2459531343</t>
        </is>
      </c>
      <c r="D138" s="8" t="inlineStr">
        <is>
          <t>Есть в ETM, нет в 1С</t>
        </is>
      </c>
      <c r="E138" s="8" t="inlineStr">
        <is>
          <t>1С</t>
        </is>
      </c>
      <c r="F138" s="8" t="inlineStr">
        <is>
          <t>A</t>
        </is>
      </c>
      <c r="G138" s="14" t="n">
        <v>0</v>
      </c>
      <c r="H138" s="14" t="n">
        <v>-44158</v>
      </c>
      <c r="I138" s="14" t="n"/>
      <c r="J138" s="14" t="n">
        <v>-44158</v>
      </c>
      <c r="K138" s="21" t="n">
        <v>46209.34027777778</v>
      </c>
      <c r="L138" s="21" t="n"/>
      <c r="M138" s="8" t="inlineStr"/>
      <c r="N138" s="8" t="inlineStr">
        <is>
          <t>Бухгалтер 1С</t>
        </is>
      </c>
      <c r="O138" s="8" t="inlineStr"/>
      <c r="P138" s="12" t="inlineStr">
        <is>
          <t>Списание есть в ETM, но в 1С нет реализации по этим билетам — счёт не выставлен</t>
        </is>
      </c>
      <c r="Q138" s="8" t="inlineStr">
        <is>
          <t>57435392</t>
        </is>
      </c>
    </row>
    <row r="139">
      <c r="A139" s="8" t="inlineStr">
        <is>
          <t>G10350</t>
        </is>
      </c>
      <c r="B139" s="8" t="inlineStr">
        <is>
          <t>Манас Тревел</t>
        </is>
      </c>
      <c r="C139" s="8" t="inlineStr">
        <is>
          <t>2461882438|2461882440|2461882442|2461882444</t>
        </is>
      </c>
      <c r="D139" s="8" t="inlineStr">
        <is>
          <t>Есть в ETM, нет в 1С</t>
        </is>
      </c>
      <c r="E139" s="8" t="inlineStr">
        <is>
          <t>1С</t>
        </is>
      </c>
      <c r="F139" s="8" t="inlineStr">
        <is>
          <t>A</t>
        </is>
      </c>
      <c r="G139" s="14" t="n">
        <v>0</v>
      </c>
      <c r="H139" s="14" t="n">
        <v>-44148</v>
      </c>
      <c r="I139" s="14" t="n"/>
      <c r="J139" s="14" t="n">
        <v>-44148</v>
      </c>
      <c r="K139" s="21" t="n">
        <v>46198.34788194444</v>
      </c>
      <c r="L139" s="21" t="n"/>
      <c r="M139" s="8" t="inlineStr"/>
      <c r="N139" s="8" t="inlineStr">
        <is>
          <t>Бухгалтер 1С</t>
        </is>
      </c>
      <c r="O139" s="8" t="inlineStr"/>
      <c r="P139" s="12" t="inlineStr">
        <is>
          <t>Списание есть в ETM, но в 1С нет реализации по этим билетам — счёт не выставлен</t>
        </is>
      </c>
      <c r="Q139" s="8" t="inlineStr">
        <is>
          <t>57399338</t>
        </is>
      </c>
    </row>
    <row r="140">
      <c r="A140" s="8" t="inlineStr">
        <is>
          <t>G06934</t>
        </is>
      </c>
      <c r="B140" s="8" t="inlineStr">
        <is>
          <t>Жибек Авиакасса</t>
        </is>
      </c>
      <c r="C140" s="8" t="inlineStr">
        <is>
          <t>2459530149</t>
        </is>
      </c>
      <c r="D140" s="8" t="inlineStr">
        <is>
          <t>Двойное списание в ETM</t>
        </is>
      </c>
      <c r="E140" s="8" t="inlineStr">
        <is>
          <t>Бот ETM</t>
        </is>
      </c>
      <c r="F140" s="8" t="inlineStr">
        <is>
          <t>A</t>
        </is>
      </c>
      <c r="G140" s="14" t="n">
        <v>43866</v>
      </c>
      <c r="H140" s="14" t="n">
        <v>-87732</v>
      </c>
      <c r="I140" s="14" t="n">
        <v>43866</v>
      </c>
      <c r="J140" s="14" t="n">
        <v>-43866</v>
      </c>
      <c r="K140" s="21" t="n">
        <v>46052.43043981482</v>
      </c>
      <c r="L140" s="21" t="n">
        <v>46052</v>
      </c>
      <c r="M140" s="8" t="inlineStr"/>
      <c r="N140" s="8" t="inlineStr">
        <is>
          <t>Разработчик/поддержка бота ETM</t>
        </is>
      </c>
      <c r="O140" s="8" t="inlineStr">
        <is>
          <t>a.toktosunova</t>
        </is>
      </c>
      <c r="P140" s="12" t="inlineStr">
        <is>
          <t>В ETM 1 лишн. списание(й) одного билета на 43,866.00; без дубля сумма совпадает с 1С</t>
        </is>
      </c>
      <c r="Q140" s="8" t="inlineStr">
        <is>
          <t>57064516,57064544</t>
        </is>
      </c>
    </row>
    <row r="141">
      <c r="A141" s="8" t="inlineStr">
        <is>
          <t>G05553</t>
        </is>
      </c>
      <c r="B141" s="8" t="inlineStr">
        <is>
          <t>Ак-Куу Тур</t>
        </is>
      </c>
      <c r="C141" s="8" t="inlineStr">
        <is>
          <t>2460736592</t>
        </is>
      </c>
      <c r="D141" s="8" t="inlineStr">
        <is>
          <t>Есть в ETM, нет в 1С</t>
        </is>
      </c>
      <c r="E141" s="8" t="inlineStr">
        <is>
          <t>1С</t>
        </is>
      </c>
      <c r="F141" s="8" t="inlineStr">
        <is>
          <t>A</t>
        </is>
      </c>
      <c r="G141" s="14" t="n">
        <v>0</v>
      </c>
      <c r="H141" s="14" t="n">
        <v>-43765</v>
      </c>
      <c r="I141" s="14" t="n"/>
      <c r="J141" s="14" t="n">
        <v>-43765</v>
      </c>
      <c r="K141" s="21" t="n">
        <v>46115.75510416667</v>
      </c>
      <c r="L141" s="21" t="n"/>
      <c r="M141" s="8" t="inlineStr"/>
      <c r="N141" s="8" t="inlineStr">
        <is>
          <t>Бухгалтер 1С</t>
        </is>
      </c>
      <c r="O141" s="8" t="inlineStr"/>
      <c r="P141" s="12" t="inlineStr">
        <is>
          <t>Списание есть в ETM, но в 1С нет реализации по этим билетам — счёт не выставлен</t>
        </is>
      </c>
      <c r="Q141" s="8" t="inlineStr">
        <is>
          <t>57188475</t>
        </is>
      </c>
    </row>
    <row r="142">
      <c r="A142" s="8" t="inlineStr">
        <is>
          <t>G02585</t>
        </is>
      </c>
      <c r="B142" s="8" t="inlineStr">
        <is>
          <t>SkyWay Travel</t>
        </is>
      </c>
      <c r="C142" s="8" t="inlineStr">
        <is>
          <t>2420848376|2420848378</t>
        </is>
      </c>
      <c r="D142" s="8" t="inlineStr">
        <is>
          <t>Есть в ETM, нет в 1С</t>
        </is>
      </c>
      <c r="E142" s="8" t="inlineStr">
        <is>
          <t>1С</t>
        </is>
      </c>
      <c r="F142" s="8" t="inlineStr">
        <is>
          <t>A</t>
        </is>
      </c>
      <c r="G142" s="14" t="n">
        <v>0</v>
      </c>
      <c r="H142" s="14" t="n">
        <v>-43739.36</v>
      </c>
      <c r="I142" s="14" t="n">
        <v>1705.941199999994</v>
      </c>
      <c r="J142" s="14" t="n">
        <v>-43739.36</v>
      </c>
      <c r="K142" s="21" t="n">
        <v>46152.44574074074</v>
      </c>
      <c r="L142" s="21" t="n"/>
      <c r="M142" s="8" t="inlineStr"/>
      <c r="N142" s="8" t="inlineStr">
        <is>
          <t>Бухгалтер 1С</t>
        </is>
      </c>
      <c r="O142" s="8" t="inlineStr">
        <is>
          <t>a.toktosunova|e.satarov</t>
        </is>
      </c>
      <c r="P142" s="12" t="inlineStr">
        <is>
          <t>Списание есть в ETM и продажа в реестре, но в 1С нет реализации по этим билетам — счёт не выставлен</t>
        </is>
      </c>
      <c r="Q142" s="8" t="inlineStr">
        <is>
          <t>57270682,57270692</t>
        </is>
      </c>
    </row>
    <row r="143">
      <c r="A143" s="8" t="inlineStr">
        <is>
          <t>G03044</t>
        </is>
      </c>
      <c r="B143" s="8" t="inlineStr">
        <is>
          <t>SkyWay Travel</t>
        </is>
      </c>
      <c r="C143" s="8" t="inlineStr">
        <is>
          <t>2461882573</t>
        </is>
      </c>
      <c r="D143" s="8" t="inlineStr">
        <is>
          <t>Есть в ETM, нет в 1С</t>
        </is>
      </c>
      <c r="E143" s="8" t="inlineStr">
        <is>
          <t>1С</t>
        </is>
      </c>
      <c r="F143" s="8" t="inlineStr">
        <is>
          <t>A</t>
        </is>
      </c>
      <c r="G143" s="14" t="n">
        <v>0</v>
      </c>
      <c r="H143" s="14" t="n">
        <v>-43657</v>
      </c>
      <c r="I143" s="14" t="n"/>
      <c r="J143" s="14" t="n">
        <v>-43657</v>
      </c>
      <c r="K143" s="21" t="n">
        <v>46070.45103009259</v>
      </c>
      <c r="L143" s="21" t="n"/>
      <c r="M143" s="8" t="inlineStr"/>
      <c r="N143" s="8" t="inlineStr">
        <is>
          <t>Бухгалтер 1С</t>
        </is>
      </c>
      <c r="O143" s="8" t="inlineStr"/>
      <c r="P143" s="12" t="inlineStr">
        <is>
          <t>Списание есть в ETM, но в 1С нет реализации по этим билетам — счёт не выставлен</t>
        </is>
      </c>
      <c r="Q143" s="8" t="inlineStr">
        <is>
          <t>57094630</t>
        </is>
      </c>
    </row>
    <row r="144">
      <c r="A144" s="8" t="inlineStr">
        <is>
          <t>G03865</t>
        </is>
      </c>
      <c r="B144" s="8" t="inlineStr">
        <is>
          <t>Steppe Travel</t>
        </is>
      </c>
      <c r="C144" s="8" t="inlineStr">
        <is>
          <t>2476316941|2476316943</t>
        </is>
      </c>
      <c r="D144" s="8" t="inlineStr">
        <is>
          <t>Есть в реестре и 1С, нет в ETM</t>
        </is>
      </c>
      <c r="E144" s="8" t="inlineStr">
        <is>
          <t>Бот ETM</t>
        </is>
      </c>
      <c r="F144" s="8" t="inlineStr">
        <is>
          <t>A</t>
        </is>
      </c>
      <c r="G144" s="14" t="n">
        <v>43556.5</v>
      </c>
      <c r="H144" s="14" t="n">
        <v>0</v>
      </c>
      <c r="I144" s="14" t="n">
        <v>43556.5</v>
      </c>
      <c r="J144" s="14" t="n">
        <v>43556.5</v>
      </c>
      <c r="K144" s="21" t="n"/>
      <c r="L144" s="21" t="n">
        <v>46164</v>
      </c>
      <c r="M144" s="8" t="inlineStr"/>
      <c r="N144" s="8" t="inlineStr">
        <is>
          <t>Разработчик/поддержка бота ETM</t>
        </is>
      </c>
      <c r="O144" s="8" t="inlineStr">
        <is>
          <t>n.abdyldaeva</t>
        </is>
      </c>
      <c r="P144" s="12" t="inlineStr">
        <is>
          <t>Продажа есть в реестре и в 1С, но бот не перенёс её на баланс ETM — списания нет</t>
        </is>
      </c>
      <c r="Q144" s="8" t="inlineStr"/>
    </row>
    <row r="145">
      <c r="A145" s="8" t="inlineStr">
        <is>
          <t>G06046</t>
        </is>
      </c>
      <c r="B145" s="8" t="inlineStr">
        <is>
          <t>Байтур Трип</t>
        </is>
      </c>
      <c r="C145" s="8" t="inlineStr">
        <is>
          <t>2460732890</t>
        </is>
      </c>
      <c r="D145" s="8" t="inlineStr">
        <is>
          <t>Есть в ETM, нет в 1С</t>
        </is>
      </c>
      <c r="E145" s="8" t="inlineStr">
        <is>
          <t>1С</t>
        </is>
      </c>
      <c r="F145" s="8" t="inlineStr">
        <is>
          <t>A</t>
        </is>
      </c>
      <c r="G145" s="14" t="n">
        <v>0</v>
      </c>
      <c r="H145" s="14" t="n">
        <v>-43532</v>
      </c>
      <c r="I145" s="14" t="n">
        <v>300</v>
      </c>
      <c r="J145" s="14" t="n">
        <v>-43532</v>
      </c>
      <c r="K145" s="21" t="n">
        <v>46189.64630787037</v>
      </c>
      <c r="L145" s="21" t="n"/>
      <c r="M145" s="8" t="inlineStr"/>
      <c r="N145" s="8" t="inlineStr">
        <is>
          <t>Бухгалтер 1С</t>
        </is>
      </c>
      <c r="O145" s="8" t="inlineStr">
        <is>
          <t>a.toktosunova|k.dzhumaev</t>
        </is>
      </c>
      <c r="P145" s="12" t="inlineStr">
        <is>
          <t>Списание есть в ETM и продажа в реестре, но в 1С нет реализации по этим билетам — счёт не выставлен</t>
        </is>
      </c>
      <c r="Q145" s="8" t="inlineStr">
        <is>
          <t>57371899</t>
        </is>
      </c>
    </row>
    <row r="146">
      <c r="A146" s="8" t="inlineStr">
        <is>
          <t>G13931</t>
        </is>
      </c>
      <c r="B146" s="8" t="inlineStr">
        <is>
          <t>ТЯНЬ-ШАНЬ ЭКСПРЕСС</t>
        </is>
      </c>
      <c r="C146" s="8" t="inlineStr">
        <is>
          <t>2460737732</t>
        </is>
      </c>
      <c r="D146" s="8" t="inlineStr">
        <is>
          <t>Есть в ETM, нет в 1С</t>
        </is>
      </c>
      <c r="E146" s="8" t="inlineStr">
        <is>
          <t>1С</t>
        </is>
      </c>
      <c r="F146" s="8" t="inlineStr">
        <is>
          <t>A</t>
        </is>
      </c>
      <c r="G146" s="14" t="n">
        <v>0</v>
      </c>
      <c r="H146" s="14" t="n">
        <v>-43514</v>
      </c>
      <c r="I146" s="14" t="n">
        <v>500</v>
      </c>
      <c r="J146" s="14" t="n">
        <v>-43514</v>
      </c>
      <c r="K146" s="21" t="n">
        <v>46159.51019675926</v>
      </c>
      <c r="L146" s="21" t="n"/>
      <c r="M146" s="8" t="inlineStr"/>
      <c r="N146" s="8" t="inlineStr">
        <is>
          <t>Бухгалтер 1С</t>
        </is>
      </c>
      <c r="O146" s="8" t="inlineStr">
        <is>
          <t>g.omurbekova</t>
        </is>
      </c>
      <c r="P146" s="12" t="inlineStr">
        <is>
          <t>Списание есть в ETM и продажа в реестре, но в 1С нет реализации по этим билетам — счёт не выставлен</t>
        </is>
      </c>
      <c r="Q146" s="8" t="inlineStr">
        <is>
          <t>57293883</t>
        </is>
      </c>
    </row>
    <row r="147">
      <c r="A147" s="8" t="inlineStr">
        <is>
          <t>G01441</t>
        </is>
      </c>
      <c r="B147" s="8" t="inlineStr">
        <is>
          <t>Karakol Express</t>
        </is>
      </c>
      <c r="C147" s="8" t="inlineStr">
        <is>
          <t>2460734672|2460734675|2460734676|2460734678</t>
        </is>
      </c>
      <c r="D147" s="8" t="inlineStr">
        <is>
          <t>Есть в ETM, нет в 1С</t>
        </is>
      </c>
      <c r="E147" s="8" t="inlineStr">
        <is>
          <t>1С</t>
        </is>
      </c>
      <c r="F147" s="8" t="inlineStr">
        <is>
          <t>A</t>
        </is>
      </c>
      <c r="G147" s="14" t="n">
        <v>0</v>
      </c>
      <c r="H147" s="14" t="n">
        <v>-43512</v>
      </c>
      <c r="I147" s="14" t="n">
        <v>4000</v>
      </c>
      <c r="J147" s="14" t="n">
        <v>-43512</v>
      </c>
      <c r="K147" s="21" t="n">
        <v>46161.49899305555</v>
      </c>
      <c r="L147" s="21" t="n"/>
      <c r="M147" s="8" t="inlineStr"/>
      <c r="N147" s="8" t="inlineStr">
        <is>
          <t>Бухгалтер 1С</t>
        </is>
      </c>
      <c r="O147" s="8" t="inlineStr">
        <is>
          <t>a.toktosunova|k.dzhumaev</t>
        </is>
      </c>
      <c r="P147" s="12" t="inlineStr">
        <is>
          <t>Списание есть в ETM и продажа в реестре, но в 1С нет реализации по этим билетам — счёт не выставлен</t>
        </is>
      </c>
      <c r="Q147" s="8" t="inlineStr">
        <is>
          <t>57298294</t>
        </is>
      </c>
    </row>
    <row r="148">
      <c r="A148" s="8" t="inlineStr">
        <is>
          <t>G10878</t>
        </is>
      </c>
      <c r="B148" s="8" t="inlineStr">
        <is>
          <t>Ниязбекова Асель Сатаровна</t>
        </is>
      </c>
      <c r="C148" s="8" t="inlineStr">
        <is>
          <t>2461881399</t>
        </is>
      </c>
      <c r="D148" s="8" t="inlineStr">
        <is>
          <t>Есть в ETM, нет в 1С</t>
        </is>
      </c>
      <c r="E148" s="8" t="inlineStr">
        <is>
          <t>1С</t>
        </is>
      </c>
      <c r="F148" s="8" t="inlineStr">
        <is>
          <t>A</t>
        </is>
      </c>
      <c r="G148" s="14" t="n">
        <v>0</v>
      </c>
      <c r="H148" s="14" t="n">
        <v>-43404</v>
      </c>
      <c r="I148" s="14" t="n">
        <v>43404</v>
      </c>
      <c r="J148" s="14" t="n">
        <v>-43404</v>
      </c>
      <c r="K148" s="21" t="n">
        <v>46038.36524305555</v>
      </c>
      <c r="L148" s="21" t="n"/>
      <c r="M148" s="8" t="inlineStr"/>
      <c r="N148" s="8" t="inlineStr">
        <is>
          <t>Бухгалтер 1С</t>
        </is>
      </c>
      <c r="O148" s="8" t="inlineStr">
        <is>
          <t>e.satarov</t>
        </is>
      </c>
      <c r="P148" s="12" t="inlineStr">
        <is>
          <t>Списание есть в ETM и продажа в реестре, но в 1С нет реализации по этим билетам — счёт не выставлен</t>
        </is>
      </c>
      <c r="Q148" s="8" t="inlineStr">
        <is>
          <t>57031341</t>
        </is>
      </c>
    </row>
    <row r="149">
      <c r="A149" s="8" t="inlineStr">
        <is>
          <t>G00259</t>
        </is>
      </c>
      <c r="B149" s="8" t="inlineStr">
        <is>
          <t>Aylana Tour</t>
        </is>
      </c>
      <c r="C149" s="8" t="inlineStr">
        <is>
          <t>2559102553</t>
        </is>
      </c>
      <c r="D149" s="8" t="inlineStr">
        <is>
          <t>Есть в реестре и 1С, нет в ETM</t>
        </is>
      </c>
      <c r="E149" s="8" t="inlineStr">
        <is>
          <t>Бот ETM</t>
        </is>
      </c>
      <c r="F149" s="8" t="inlineStr">
        <is>
          <t>A</t>
        </is>
      </c>
      <c r="G149" s="14" t="n">
        <v>43175.56</v>
      </c>
      <c r="H149" s="14" t="n">
        <v>0</v>
      </c>
      <c r="I149" s="14" t="n">
        <v>43175.56</v>
      </c>
      <c r="J149" s="14" t="n">
        <v>43175.56</v>
      </c>
      <c r="K149" s="21" t="n"/>
      <c r="L149" s="21" t="n">
        <v>46149</v>
      </c>
      <c r="M149" s="8" t="inlineStr"/>
      <c r="N149" s="8" t="inlineStr">
        <is>
          <t>Разработчик/поддержка бота ETM</t>
        </is>
      </c>
      <c r="O149" s="8" t="inlineStr">
        <is>
          <t>k.dzhumaev</t>
        </is>
      </c>
      <c r="P149" s="12" t="inlineStr">
        <is>
          <t>Продажа есть в реестре и в 1С, но бот не перенёс её на баланс ETM — списания нет</t>
        </is>
      </c>
      <c r="Q149" s="8" t="inlineStr"/>
    </row>
    <row r="150">
      <c r="A150" s="8" t="inlineStr">
        <is>
          <t>G15036</t>
        </is>
      </c>
      <c r="B150" s="8" t="inlineStr">
        <is>
          <t>Ыйык Тур</t>
        </is>
      </c>
      <c r="C150" s="8" t="inlineStr">
        <is>
          <t>2459530582</t>
        </is>
      </c>
      <c r="D150" s="8" t="inlineStr">
        <is>
          <t>Есть в ETM, нет в 1С</t>
        </is>
      </c>
      <c r="E150" s="8" t="inlineStr">
        <is>
          <t>1С</t>
        </is>
      </c>
      <c r="F150" s="8" t="inlineStr">
        <is>
          <t>A</t>
        </is>
      </c>
      <c r="G150" s="14" t="n">
        <v>0</v>
      </c>
      <c r="H150" s="14" t="n">
        <v>-42944</v>
      </c>
      <c r="I150" s="14" t="n">
        <v>42944</v>
      </c>
      <c r="J150" s="14" t="n">
        <v>-42944</v>
      </c>
      <c r="K150" s="21" t="n">
        <v>46079.71113425926</v>
      </c>
      <c r="L150" s="21" t="n"/>
      <c r="M150" s="8" t="inlineStr"/>
      <c r="N150" s="8" t="inlineStr">
        <is>
          <t>Бухгалтер 1С</t>
        </is>
      </c>
      <c r="O150" s="8" t="inlineStr">
        <is>
          <t>g.omurbekova</t>
        </is>
      </c>
      <c r="P150" s="12" t="inlineStr">
        <is>
          <t>Списание есть в ETM и продажа в реестре, но в 1С нет реализации по этим билетам — счёт не выставлен</t>
        </is>
      </c>
      <c r="Q150" s="8" t="inlineStr">
        <is>
          <t>57110933</t>
        </is>
      </c>
    </row>
    <row r="151">
      <c r="A151" s="8" t="inlineStr">
        <is>
          <t>G01448</t>
        </is>
      </c>
      <c r="B151" s="8" t="inlineStr">
        <is>
          <t>Karakol Express</t>
        </is>
      </c>
      <c r="C151" s="8" t="inlineStr">
        <is>
          <t>2460735175</t>
        </is>
      </c>
      <c r="D151" s="8" t="inlineStr">
        <is>
          <t>Есть в ETM, нет в 1С</t>
        </is>
      </c>
      <c r="E151" s="8" t="inlineStr">
        <is>
          <t>1С</t>
        </is>
      </c>
      <c r="F151" s="8" t="inlineStr">
        <is>
          <t>A</t>
        </is>
      </c>
      <c r="G151" s="14" t="n">
        <v>0</v>
      </c>
      <c r="H151" s="14" t="n">
        <v>-42932</v>
      </c>
      <c r="I151" s="14" t="n"/>
      <c r="J151" s="14" t="n">
        <v>-42932</v>
      </c>
      <c r="K151" s="21" t="n">
        <v>46079.59828703704</v>
      </c>
      <c r="L151" s="21" t="n"/>
      <c r="M151" s="8" t="inlineStr"/>
      <c r="N151" s="8" t="inlineStr">
        <is>
          <t>Бухгалтер 1С</t>
        </is>
      </c>
      <c r="O151" s="8" t="inlineStr"/>
      <c r="P151" s="12" t="inlineStr">
        <is>
          <t>Списание есть в ETM, но в 1С нет реализации по этим билетам — счёт не выставлен</t>
        </is>
      </c>
      <c r="Q151" s="8" t="inlineStr">
        <is>
          <t>57110573</t>
        </is>
      </c>
    </row>
    <row r="152">
      <c r="A152" s="8" t="inlineStr">
        <is>
          <t>G01449</t>
        </is>
      </c>
      <c r="B152" s="8" t="inlineStr">
        <is>
          <t>Karakol Express</t>
        </is>
      </c>
      <c r="C152" s="8" t="inlineStr">
        <is>
          <t>2460735177</t>
        </is>
      </c>
      <c r="D152" s="8" t="inlineStr">
        <is>
          <t>Есть в ETM, нет в 1С</t>
        </is>
      </c>
      <c r="E152" s="8" t="inlineStr">
        <is>
          <t>1С</t>
        </is>
      </c>
      <c r="F152" s="8" t="inlineStr">
        <is>
          <t>A</t>
        </is>
      </c>
      <c r="G152" s="14" t="n">
        <v>0</v>
      </c>
      <c r="H152" s="14" t="n">
        <v>-42932</v>
      </c>
      <c r="I152" s="14" t="n"/>
      <c r="J152" s="14" t="n">
        <v>-42932</v>
      </c>
      <c r="K152" s="21" t="n">
        <v>46079.58186342593</v>
      </c>
      <c r="L152" s="21" t="n"/>
      <c r="M152" s="8" t="inlineStr"/>
      <c r="N152" s="8" t="inlineStr">
        <is>
          <t>Бухгалтер 1С</t>
        </is>
      </c>
      <c r="O152" s="8" t="inlineStr"/>
      <c r="P152" s="12" t="inlineStr">
        <is>
          <t>Списание есть в ETM, но в 1С нет реализации по этим билетам — счёт не выставлен</t>
        </is>
      </c>
      <c r="Q152" s="8" t="inlineStr">
        <is>
          <t>57110581</t>
        </is>
      </c>
    </row>
    <row r="153">
      <c r="A153" s="8" t="inlineStr">
        <is>
          <t>G13933</t>
        </is>
      </c>
      <c r="B153" s="8" t="inlineStr">
        <is>
          <t>ТЯНЬ-ШАНЬ ЭКСПРЕСС</t>
        </is>
      </c>
      <c r="C153" s="8" t="inlineStr">
        <is>
          <t>2461881466</t>
        </is>
      </c>
      <c r="D153" s="8" t="inlineStr">
        <is>
          <t>Есть в реестре и 1С, нет в ETM</t>
        </is>
      </c>
      <c r="E153" s="8" t="inlineStr">
        <is>
          <t>Бот ETM</t>
        </is>
      </c>
      <c r="F153" s="8" t="inlineStr">
        <is>
          <t>A</t>
        </is>
      </c>
      <c r="G153" s="14" t="n">
        <v>42841</v>
      </c>
      <c r="H153" s="14" t="n">
        <v>0</v>
      </c>
      <c r="I153" s="14" t="n">
        <v>42841</v>
      </c>
      <c r="J153" s="14" t="n">
        <v>42841</v>
      </c>
      <c r="K153" s="21" t="n"/>
      <c r="L153" s="21" t="n">
        <v>46216</v>
      </c>
      <c r="M153" s="8" t="inlineStr"/>
      <c r="N153" s="8" t="inlineStr">
        <is>
          <t>Разработчик/поддержка бота ETM</t>
        </is>
      </c>
      <c r="O153" s="8" t="inlineStr">
        <is>
          <t>r.sydykov</t>
        </is>
      </c>
      <c r="P153" s="12" t="inlineStr">
        <is>
          <t>Продажа есть в реестре и в 1С, но бот не перенёс её на баланс ETM — списания нет</t>
        </is>
      </c>
      <c r="Q153" s="8" t="inlineStr"/>
    </row>
    <row r="154">
      <c r="A154" s="8" t="inlineStr">
        <is>
          <t>G14843</t>
        </is>
      </c>
      <c r="B154" s="8" t="inlineStr">
        <is>
          <t>Ыйык Авиакасса</t>
        </is>
      </c>
      <c r="C154" s="8" t="inlineStr">
        <is>
          <t>2416942096|2416942098</t>
        </is>
      </c>
      <c r="D154" s="8" t="inlineStr">
        <is>
          <t>Есть в реестре и 1С, нет в ETM</t>
        </is>
      </c>
      <c r="E154" s="8" t="inlineStr">
        <is>
          <t>Бот ETM</t>
        </is>
      </c>
      <c r="F154" s="8" t="inlineStr">
        <is>
          <t>A</t>
        </is>
      </c>
      <c r="G154" s="14" t="n">
        <v>42824.08</v>
      </c>
      <c r="H154" s="14" t="n">
        <v>0</v>
      </c>
      <c r="I154" s="14" t="n">
        <v>42824.08</v>
      </c>
      <c r="J154" s="14" t="n">
        <v>42824.08</v>
      </c>
      <c r="K154" s="21" t="n"/>
      <c r="L154" s="21" t="n">
        <v>46228</v>
      </c>
      <c r="M154" s="8" t="inlineStr"/>
      <c r="N154" s="8" t="inlineStr">
        <is>
          <t>Разработчик/поддержка бота ETM</t>
        </is>
      </c>
      <c r="O154" s="8" t="inlineStr">
        <is>
          <t>a.toktosunova</t>
        </is>
      </c>
      <c r="P154" s="12" t="inlineStr">
        <is>
          <t>Продажа есть в реестре и в 1С, но бот не перенёс её на баланс ETM — списания нет</t>
        </is>
      </c>
      <c r="Q154" s="8" t="inlineStr"/>
    </row>
    <row r="155">
      <c r="A155" s="8" t="inlineStr">
        <is>
          <t>G12883</t>
        </is>
      </c>
      <c r="B155" s="8" t="inlineStr">
        <is>
          <t>Сатар уулу Санжар</t>
        </is>
      </c>
      <c r="C155" s="8" t="inlineStr">
        <is>
          <t>2416943773</t>
        </is>
      </c>
      <c r="D155" s="8" t="inlineStr">
        <is>
          <t>Двойное списание в ETM</t>
        </is>
      </c>
      <c r="E155" s="8" t="inlineStr">
        <is>
          <t>Бот ETM</t>
        </is>
      </c>
      <c r="F155" s="8" t="inlineStr">
        <is>
          <t>A</t>
        </is>
      </c>
      <c r="G155" s="14" t="n">
        <v>42702.56</v>
      </c>
      <c r="H155" s="14" t="n">
        <v>-85405.12</v>
      </c>
      <c r="I155" s="14" t="n">
        <v>42702.555</v>
      </c>
      <c r="J155" s="14" t="n">
        <v>-42702.56</v>
      </c>
      <c r="K155" s="21" t="n">
        <v>46071.65696759259</v>
      </c>
      <c r="L155" s="21" t="n">
        <v>46071</v>
      </c>
      <c r="M155" s="8" t="inlineStr"/>
      <c r="N155" s="8" t="inlineStr">
        <is>
          <t>Разработчик/поддержка бота ETM</t>
        </is>
      </c>
      <c r="O155" s="8" t="inlineStr">
        <is>
          <t>k.dzhumaev</t>
        </is>
      </c>
      <c r="P155" s="12" t="inlineStr">
        <is>
          <t>В ETM 1 лишн. списание(й) одного билета на 42,702.56; без дубля сумма совпадает с 1С</t>
        </is>
      </c>
      <c r="Q155" s="8" t="inlineStr">
        <is>
          <t>57096403,57096405</t>
        </is>
      </c>
    </row>
    <row r="156">
      <c r="A156" s="8" t="inlineStr">
        <is>
          <t>G05306</t>
        </is>
      </c>
      <c r="B156" s="8" t="inlineStr">
        <is>
          <t>Ак-Куу Авиа</t>
        </is>
      </c>
      <c r="C156" s="8" t="inlineStr">
        <is>
          <t>2552669807</t>
        </is>
      </c>
      <c r="D156" s="8" t="inlineStr">
        <is>
          <t>Есть в реестре и 1С, нет в ETM</t>
        </is>
      </c>
      <c r="E156" s="8" t="inlineStr">
        <is>
          <t>Бот ETM</t>
        </is>
      </c>
      <c r="F156" s="8" t="inlineStr">
        <is>
          <t>A</t>
        </is>
      </c>
      <c r="G156" s="14" t="n">
        <v>42589.5</v>
      </c>
      <c r="H156" s="14" t="n">
        <v>0</v>
      </c>
      <c r="I156" s="14" t="n">
        <v>42589.5</v>
      </c>
      <c r="J156" s="14" t="n">
        <v>42589.5</v>
      </c>
      <c r="K156" s="21" t="n"/>
      <c r="L156" s="21" t="n">
        <v>46200</v>
      </c>
      <c r="M156" s="8" t="inlineStr"/>
      <c r="N156" s="8" t="inlineStr">
        <is>
          <t>Разработчик/поддержка бота ETM</t>
        </is>
      </c>
      <c r="O156" s="8" t="inlineStr">
        <is>
          <t>k.dzhumaev</t>
        </is>
      </c>
      <c r="P156" s="12" t="inlineStr">
        <is>
          <t>Продажа есть в реестре и в 1С, но бот не перенёс её на баланс ETM — списания нет</t>
        </is>
      </c>
      <c r="Q156" s="8" t="inlineStr"/>
    </row>
    <row r="157">
      <c r="A157" s="8" t="inlineStr">
        <is>
          <t>G05481</t>
        </is>
      </c>
      <c r="B157" s="8" t="inlineStr">
        <is>
          <t>Ак-Куу Тур</t>
        </is>
      </c>
      <c r="C157" s="8" t="inlineStr">
        <is>
          <t>2420843396|2420843397</t>
        </is>
      </c>
      <c r="D157" s="8" t="inlineStr">
        <is>
          <t>Сумма не сходится</t>
        </is>
      </c>
      <c r="E157" s="8" t="inlineStr">
        <is>
          <t>1С</t>
        </is>
      </c>
      <c r="F157" s="8" t="inlineStr">
        <is>
          <t>A</t>
        </is>
      </c>
      <c r="G157" s="14" t="n">
        <v>-31622.4</v>
      </c>
      <c r="H157" s="14" t="n">
        <v>-10540.8</v>
      </c>
      <c r="I157" s="14" t="n">
        <v>10540.8</v>
      </c>
      <c r="J157" s="14" t="n">
        <v>-42163.2</v>
      </c>
      <c r="K157" s="21" t="n">
        <v>46146.43466435185</v>
      </c>
      <c r="L157" s="21" t="n">
        <v>46158</v>
      </c>
      <c r="M157" s="8" t="inlineStr"/>
      <c r="N157" s="8" t="inlineStr">
        <is>
          <t>Бухгалтер 1С</t>
        </is>
      </c>
      <c r="O157" s="8" t="inlineStr">
        <is>
          <t>n.abdyldaeva|r.sydykov</t>
        </is>
      </c>
      <c r="P157" s="12" t="inlineStr">
        <is>
          <t>Реестр (10,540.80) совпадает с ETM (10,540.80), а в 1С -31,622.40: неверная сумма в 1С</t>
        </is>
      </c>
      <c r="Q157" s="8" t="inlineStr">
        <is>
          <t>57250257,57250279,57288732</t>
        </is>
      </c>
    </row>
    <row r="158">
      <c r="A158" s="8" t="inlineStr">
        <is>
          <t>G02298</t>
        </is>
      </c>
      <c r="B158" s="8" t="inlineStr">
        <is>
          <t>SkyWay Travel</t>
        </is>
      </c>
      <c r="C158" s="8" t="inlineStr">
        <is>
          <t>2416943225</t>
        </is>
      </c>
      <c r="D158" s="8" t="inlineStr">
        <is>
          <t>Есть в ETM, нет в 1С</t>
        </is>
      </c>
      <c r="E158" s="8" t="inlineStr">
        <is>
          <t>1С</t>
        </is>
      </c>
      <c r="F158" s="8" t="inlineStr">
        <is>
          <t>A</t>
        </is>
      </c>
      <c r="G158" s="14" t="n">
        <v>0</v>
      </c>
      <c r="H158" s="14" t="n">
        <v>-41977.95</v>
      </c>
      <c r="I158" s="14" t="n">
        <v>41977.95</v>
      </c>
      <c r="J158" s="14" t="n">
        <v>-41977.95</v>
      </c>
      <c r="K158" s="21" t="n">
        <v>46151.66922453704</v>
      </c>
      <c r="L158" s="21" t="n"/>
      <c r="M158" s="8" t="inlineStr"/>
      <c r="N158" s="8" t="inlineStr">
        <is>
          <t>Бухгалтер 1С</t>
        </is>
      </c>
      <c r="O158" s="8" t="inlineStr">
        <is>
          <t>n.abdyldaeva</t>
        </is>
      </c>
      <c r="P158" s="12" t="inlineStr">
        <is>
          <t>Списание есть в ETM и продажа в реестре, но в 1С нет реализации по этим билетам — счёт не выставлен</t>
        </is>
      </c>
      <c r="Q158" s="8" t="inlineStr">
        <is>
          <t>57267781</t>
        </is>
      </c>
    </row>
    <row r="159">
      <c r="A159" s="8" t="inlineStr">
        <is>
          <t>G04753</t>
        </is>
      </c>
      <c r="B159" s="8" t="inlineStr">
        <is>
          <t>Ак-Куу Авиа</t>
        </is>
      </c>
      <c r="C159" s="8" t="inlineStr">
        <is>
          <t>2416942632</t>
        </is>
      </c>
      <c r="D159" s="8" t="inlineStr">
        <is>
          <t>Есть в ETM, нет в 1С</t>
        </is>
      </c>
      <c r="E159" s="8" t="inlineStr">
        <is>
          <t>1С</t>
        </is>
      </c>
      <c r="F159" s="8" t="inlineStr">
        <is>
          <t>A</t>
        </is>
      </c>
      <c r="G159" s="14" t="n">
        <v>0</v>
      </c>
      <c r="H159" s="14" t="n">
        <v>-41829.9</v>
      </c>
      <c r="I159" s="14" t="n">
        <v>41829.89999999999</v>
      </c>
      <c r="J159" s="14" t="n">
        <v>-41829.9</v>
      </c>
      <c r="K159" s="21" t="n">
        <v>46219.59391203704</v>
      </c>
      <c r="L159" s="21" t="n"/>
      <c r="M159" s="8" t="inlineStr"/>
      <c r="N159" s="8" t="inlineStr">
        <is>
          <t>Бухгалтер 1С</t>
        </is>
      </c>
      <c r="O159" s="8" t="inlineStr">
        <is>
          <t>g.omurbekova</t>
        </is>
      </c>
      <c r="P159" s="12" t="inlineStr">
        <is>
          <t>Списание есть в ETM и продажа в реестре, но в 1С нет реализации по этим билетам — счёт не выставлен</t>
        </is>
      </c>
      <c r="Q159" s="8" t="inlineStr">
        <is>
          <t>57463987</t>
        </is>
      </c>
    </row>
    <row r="160">
      <c r="A160" s="8" t="inlineStr">
        <is>
          <t>G08495</t>
        </is>
      </c>
      <c r="B160" s="8" t="inlineStr">
        <is>
          <t>ИП Токтосун кызы Н.</t>
        </is>
      </c>
      <c r="C160" s="8" t="inlineStr">
        <is>
          <t>2416942127|2416942128|2416942129|2416942132</t>
        </is>
      </c>
      <c r="D160" s="8" t="inlineStr">
        <is>
          <t>Двойное списание в ETM</t>
        </is>
      </c>
      <c r="E160" s="8" t="inlineStr">
        <is>
          <t>Бот ETM</t>
        </is>
      </c>
      <c r="F160" s="8" t="inlineStr">
        <is>
          <t>A</t>
        </is>
      </c>
      <c r="G160" s="14" t="n">
        <v>167316.68</v>
      </c>
      <c r="H160" s="14" t="n">
        <v>-209145.85</v>
      </c>
      <c r="I160" s="14" t="n">
        <v>167316.68</v>
      </c>
      <c r="J160" s="14" t="n">
        <v>-41829.16999999998</v>
      </c>
      <c r="K160" s="21" t="n">
        <v>46034.41726851852</v>
      </c>
      <c r="L160" s="21" t="n">
        <v>46034</v>
      </c>
      <c r="M160" s="8" t="inlineStr"/>
      <c r="N160" s="8" t="inlineStr">
        <is>
          <t>Разработчик/поддержка бота ETM</t>
        </is>
      </c>
      <c r="O160" s="8" t="inlineStr">
        <is>
          <t>r.sydykov</t>
        </is>
      </c>
      <c r="P160" s="12" t="inlineStr">
        <is>
          <t>В ETM 1 лишн. списание(й) одного билета на 41,829.17; без дубля сумма совпадает с 1С</t>
        </is>
      </c>
      <c r="Q160" s="8" t="inlineStr">
        <is>
          <t>57021855,57021885,57021840,57021863,57021824</t>
        </is>
      </c>
    </row>
    <row r="161">
      <c r="A161" s="8" t="inlineStr">
        <is>
          <t>G15399</t>
        </is>
      </c>
      <c r="B161" s="8" t="inlineStr">
        <is>
          <t>Эсенбеков Кубат Элдияревич</t>
        </is>
      </c>
      <c r="C161" s="8" t="inlineStr">
        <is>
          <t>2461884401|2461884403</t>
        </is>
      </c>
      <c r="D161" s="8" t="inlineStr">
        <is>
          <t>Есть в ETM, нет в 1С</t>
        </is>
      </c>
      <c r="E161" s="8" t="inlineStr">
        <is>
          <t>1С</t>
        </is>
      </c>
      <c r="F161" s="8" t="inlineStr">
        <is>
          <t>A</t>
        </is>
      </c>
      <c r="G161" s="14" t="n">
        <v>0</v>
      </c>
      <c r="H161" s="14" t="n">
        <v>-41724</v>
      </c>
      <c r="I161" s="14" t="n">
        <v>41724</v>
      </c>
      <c r="J161" s="14" t="n">
        <v>-41724</v>
      </c>
      <c r="K161" s="21" t="n">
        <v>46048.73297453704</v>
      </c>
      <c r="L161" s="21" t="n"/>
      <c r="M161" s="8" t="inlineStr"/>
      <c r="N161" s="8" t="inlineStr">
        <is>
          <t>Бухгалтер 1С</t>
        </is>
      </c>
      <c r="O161" s="8" t="inlineStr">
        <is>
          <t>b.isakov</t>
        </is>
      </c>
      <c r="P161" s="12" t="inlineStr">
        <is>
          <t>Списание есть в ETM и продажа в реестре, но в 1С нет реализации по этим билетам — счёт не выставлен</t>
        </is>
      </c>
      <c r="Q161" s="8" t="inlineStr">
        <is>
          <t>57054523</t>
        </is>
      </c>
    </row>
    <row r="162">
      <c r="A162" s="8" t="inlineStr">
        <is>
          <t>G10165</t>
        </is>
      </c>
      <c r="B162" s="8" t="inlineStr">
        <is>
          <t>Манас Вояж</t>
        </is>
      </c>
      <c r="C162" s="8" t="inlineStr">
        <is>
          <t>2559099825</t>
        </is>
      </c>
      <c r="D162" s="8" t="inlineStr">
        <is>
          <t>Есть в ETM, нет в 1С</t>
        </is>
      </c>
      <c r="E162" s="8" t="inlineStr">
        <is>
          <t>1С</t>
        </is>
      </c>
      <c r="F162" s="8" t="inlineStr">
        <is>
          <t>A</t>
        </is>
      </c>
      <c r="G162" s="14" t="n">
        <v>0</v>
      </c>
      <c r="H162" s="14" t="n">
        <v>-41514.08</v>
      </c>
      <c r="I162" s="14" t="n">
        <v>901.5</v>
      </c>
      <c r="J162" s="14" t="n">
        <v>-41514.08</v>
      </c>
      <c r="K162" s="21" t="n">
        <v>46232.72185185185</v>
      </c>
      <c r="L162" s="21" t="n"/>
      <c r="M162" s="8" t="inlineStr"/>
      <c r="N162" s="8" t="inlineStr">
        <is>
          <t>Бухгалтер 1С</t>
        </is>
      </c>
      <c r="O162" s="8" t="inlineStr">
        <is>
          <t>n.abdyldaeva|r.sydykov</t>
        </is>
      </c>
      <c r="P162" s="12" t="inlineStr">
        <is>
          <t>Списание есть в ETM и продажа в реестре, но в 1С нет реализации по этим билетам — счёт не выставлен</t>
        </is>
      </c>
      <c r="Q162" s="8" t="inlineStr">
        <is>
          <t>57496642</t>
        </is>
      </c>
    </row>
    <row r="163">
      <c r="A163" s="8" t="inlineStr">
        <is>
          <t>G15452</t>
        </is>
      </c>
      <c r="B163" s="8" t="inlineStr">
        <is>
          <t>Эсенбекова Айгуль Нурбекевна</t>
        </is>
      </c>
      <c r="C163" s="8" t="inlineStr">
        <is>
          <t>2416944552|2416944555</t>
        </is>
      </c>
      <c r="D163" s="8" t="inlineStr">
        <is>
          <t>Есть в ETM, нет в 1С</t>
        </is>
      </c>
      <c r="E163" s="8" t="inlineStr">
        <is>
          <t>1С</t>
        </is>
      </c>
      <c r="F163" s="8" t="inlineStr">
        <is>
          <t>A</t>
        </is>
      </c>
      <c r="G163" s="14" t="n">
        <v>0</v>
      </c>
      <c r="H163" s="14" t="n">
        <v>-40641.86</v>
      </c>
      <c r="I163" s="14" t="n"/>
      <c r="J163" s="14" t="n">
        <v>-40641.86</v>
      </c>
      <c r="K163" s="21" t="n">
        <v>46028.72028935186</v>
      </c>
      <c r="L163" s="21" t="n"/>
      <c r="M163" s="8" t="inlineStr"/>
      <c r="N163" s="8" t="inlineStr">
        <is>
          <t>Бухгалтер 1С</t>
        </is>
      </c>
      <c r="O163" s="8" t="inlineStr"/>
      <c r="P163" s="12" t="inlineStr">
        <is>
          <t>Списание есть в ETM, но в 1С нет реализации по этим билетам — счёт не выставлен</t>
        </is>
      </c>
      <c r="Q163" s="8" t="inlineStr">
        <is>
          <t>57010521</t>
        </is>
      </c>
    </row>
    <row r="164">
      <c r="A164" s="8" t="inlineStr">
        <is>
          <t>G09310</t>
        </is>
      </c>
      <c r="B164" s="8" t="inlineStr">
        <is>
          <t>ИССЫК ТРИП</t>
        </is>
      </c>
      <c r="C164" s="8" t="inlineStr">
        <is>
          <t>2552671606</t>
        </is>
      </c>
      <c r="D164" s="8" t="inlineStr">
        <is>
          <t>Двойное списание в ETM</t>
        </is>
      </c>
      <c r="E164" s="8" t="inlineStr">
        <is>
          <t>Бот ETM</t>
        </is>
      </c>
      <c r="F164" s="8" t="inlineStr">
        <is>
          <t>A</t>
        </is>
      </c>
      <c r="G164" s="14" t="n">
        <v>40443.92000000001</v>
      </c>
      <c r="H164" s="14" t="n">
        <v>-80887.84</v>
      </c>
      <c r="I164" s="14" t="n">
        <v>40443.9225</v>
      </c>
      <c r="J164" s="14" t="n">
        <v>-40443.91999999999</v>
      </c>
      <c r="K164" s="21" t="n">
        <v>46116.43193287037</v>
      </c>
      <c r="L164" s="21" t="n">
        <v>46116</v>
      </c>
      <c r="M164" s="8" t="inlineStr"/>
      <c r="N164" s="8" t="inlineStr">
        <is>
          <t>Разработчик/поддержка бота ETM</t>
        </is>
      </c>
      <c r="O164" s="8" t="inlineStr">
        <is>
          <t>b.isakov</t>
        </is>
      </c>
      <c r="P164" s="12" t="inlineStr">
        <is>
          <t>В ETM 1 лишн. списание(й) одного билета на 40,443.92; без дубля сумма совпадает с 1С</t>
        </is>
      </c>
      <c r="Q164" s="8" t="inlineStr">
        <is>
          <t>57190435,57190475</t>
        </is>
      </c>
    </row>
    <row r="165">
      <c r="A165" s="8" t="inlineStr">
        <is>
          <t>G08449</t>
        </is>
      </c>
      <c r="B165" s="8" t="inlineStr">
        <is>
          <t>ИП Муратов Э. У.</t>
        </is>
      </c>
      <c r="C165" s="8" t="inlineStr">
        <is>
          <t>2552668609</t>
        </is>
      </c>
      <c r="D165" s="8" t="inlineStr">
        <is>
          <t>Сумма не сходится</t>
        </is>
      </c>
      <c r="E165" s="8" t="inlineStr">
        <is>
          <t>Бот ETM</t>
        </is>
      </c>
      <c r="F165" s="8" t="inlineStr">
        <is>
          <t>A</t>
        </is>
      </c>
      <c r="G165" s="14" t="n">
        <v>4036.029999999999</v>
      </c>
      <c r="H165" s="14" t="n">
        <v>36324.23</v>
      </c>
      <c r="I165" s="14" t="n">
        <v>4036.032500000001</v>
      </c>
      <c r="J165" s="14" t="n">
        <v>40360.26</v>
      </c>
      <c r="K165" s="21" t="n">
        <v>46157.41206018518</v>
      </c>
      <c r="L165" s="21" t="n">
        <v>46152</v>
      </c>
      <c r="M165" s="8" t="inlineStr"/>
      <c r="N165" s="8" t="inlineStr">
        <is>
          <t>Разработчик/поддержка бота ETM</t>
        </is>
      </c>
      <c r="O165" s="8" t="inlineStr">
        <is>
          <t>a.toktosunova|r.sydykov</t>
        </is>
      </c>
      <c r="P165" s="12" t="inlineStr">
        <is>
          <t>Реестр (4,036.03) совпадает с 1С (4,036.03), а в ETM -36,324.23: бот перенёс неверную сумму</t>
        </is>
      </c>
      <c r="Q165" s="8" t="inlineStr">
        <is>
          <t>57285500</t>
        </is>
      </c>
    </row>
    <row r="166">
      <c r="A166" s="8" t="inlineStr">
        <is>
          <t>G12236</t>
        </is>
      </c>
      <c r="B166" s="8" t="inlineStr">
        <is>
          <t>САЛАМ ВОЯЖ</t>
        </is>
      </c>
      <c r="C166" s="8" t="inlineStr">
        <is>
          <t>2460737771|2460737772</t>
        </is>
      </c>
      <c r="D166" s="8" t="inlineStr">
        <is>
          <t>Есть в ETM, нет в 1С</t>
        </is>
      </c>
      <c r="E166" s="8" t="inlineStr">
        <is>
          <t>1С</t>
        </is>
      </c>
      <c r="F166" s="8" t="inlineStr">
        <is>
          <t>A</t>
        </is>
      </c>
      <c r="G166" s="14" t="n">
        <v>0</v>
      </c>
      <c r="H166" s="14" t="n">
        <v>-40282</v>
      </c>
      <c r="I166" s="14" t="n">
        <v>40282</v>
      </c>
      <c r="J166" s="14" t="n">
        <v>-40282</v>
      </c>
      <c r="K166" s="21" t="n">
        <v>46182.4078125</v>
      </c>
      <c r="L166" s="21" t="n"/>
      <c r="M166" s="8" t="inlineStr"/>
      <c r="N166" s="8" t="inlineStr">
        <is>
          <t>Бухгалтер 1С</t>
        </is>
      </c>
      <c r="O166" s="8" t="inlineStr">
        <is>
          <t>g.omurbekova</t>
        </is>
      </c>
      <c r="P166" s="12" t="inlineStr">
        <is>
          <t>Списание есть в ETM и продажа в реестре, но в 1С нет реализации по этим билетам — счёт не выставлен</t>
        </is>
      </c>
      <c r="Q166" s="8" t="inlineStr">
        <is>
          <t>57355072,57355067</t>
        </is>
      </c>
    </row>
    <row r="167">
      <c r="A167" s="8" t="inlineStr">
        <is>
          <t>G07156</t>
        </is>
      </c>
      <c r="B167" s="8" t="inlineStr">
        <is>
          <t>Жибек Эйр</t>
        </is>
      </c>
      <c r="C167" s="8" t="inlineStr">
        <is>
          <t>2416944449</t>
        </is>
      </c>
      <c r="D167" s="8" t="inlineStr">
        <is>
          <t>Сумма не сходится</t>
        </is>
      </c>
      <c r="E167" s="8" t="inlineStr">
        <is>
          <t>1С</t>
        </is>
      </c>
      <c r="F167" s="8" t="inlineStr">
        <is>
          <t>A</t>
        </is>
      </c>
      <c r="G167" s="14" t="n">
        <v>53586.2</v>
      </c>
      <c r="H167" s="14" t="n">
        <v>-13396.55</v>
      </c>
      <c r="I167" s="14" t="n">
        <v>13396.55</v>
      </c>
      <c r="J167" s="14" t="n">
        <v>40189.65</v>
      </c>
      <c r="K167" s="21" t="n">
        <v>46103.5661574074</v>
      </c>
      <c r="L167" s="21" t="n">
        <v>46103</v>
      </c>
      <c r="M167" s="8" t="inlineStr"/>
      <c r="N167" s="8" t="inlineStr">
        <is>
          <t>Бухгалтер 1С</t>
        </is>
      </c>
      <c r="O167" s="8" t="inlineStr">
        <is>
          <t>d.mambetova|n.abdyldaeva</t>
        </is>
      </c>
      <c r="P167" s="12" t="inlineStr">
        <is>
          <t>Реестр (13,396.55) совпадает с ETM (13,396.55), а в 1С 53,586.20: неверная сумма в 1С</t>
        </is>
      </c>
      <c r="Q167" s="8" t="inlineStr">
        <is>
          <t>57164496,57221313</t>
        </is>
      </c>
    </row>
    <row r="168">
      <c r="A168" s="8" t="inlineStr">
        <is>
          <t>G04395</t>
        </is>
      </c>
      <c r="B168" s="8" t="inlineStr">
        <is>
          <t>Абдылда уулу Б.</t>
        </is>
      </c>
      <c r="C168" s="8" t="inlineStr">
        <is>
          <t>2461886039|2461886040</t>
        </is>
      </c>
      <c r="D168" s="8" t="inlineStr">
        <is>
          <t>Есть в реестре и 1С, нет в ETM</t>
        </is>
      </c>
      <c r="E168" s="8" t="inlineStr">
        <is>
          <t>Бот ETM</t>
        </is>
      </c>
      <c r="F168" s="8" t="inlineStr">
        <is>
          <t>A</t>
        </is>
      </c>
      <c r="G168" s="14" t="n">
        <v>39888</v>
      </c>
      <c r="H168" s="14" t="n">
        <v>0</v>
      </c>
      <c r="I168" s="14" t="n">
        <v>39888</v>
      </c>
      <c r="J168" s="14" t="n">
        <v>39888</v>
      </c>
      <c r="K168" s="21" t="n"/>
      <c r="L168" s="21" t="n">
        <v>46066</v>
      </c>
      <c r="M168" s="8" t="inlineStr"/>
      <c r="N168" s="8" t="inlineStr">
        <is>
          <t>Разработчик/поддержка бота ETM</t>
        </is>
      </c>
      <c r="O168" s="8" t="inlineStr">
        <is>
          <t>b.isakov</t>
        </is>
      </c>
      <c r="P168" s="12" t="inlineStr">
        <is>
          <t>Продажа есть в реестре и в 1С, но бот не перенёс её на баланс ETM — списания нет</t>
        </is>
      </c>
      <c r="Q168" s="8" t="inlineStr"/>
    </row>
    <row r="169">
      <c r="A169" s="8" t="inlineStr">
        <is>
          <t>G13072</t>
        </is>
      </c>
      <c r="B169" s="8" t="inlineStr">
        <is>
          <t>Сатар уулу Санжар</t>
        </is>
      </c>
      <c r="C169" s="8" t="inlineStr">
        <is>
          <t>2460733322</t>
        </is>
      </c>
      <c r="D169" s="8" t="inlineStr">
        <is>
          <t>Сумма не сходится</t>
        </is>
      </c>
      <c r="E169" s="8" t="inlineStr">
        <is>
          <t>1С</t>
        </is>
      </c>
      <c r="F169" s="8" t="inlineStr">
        <is>
          <t>A</t>
        </is>
      </c>
      <c r="G169" s="14" t="n">
        <v>44058</v>
      </c>
      <c r="H169" s="14" t="n">
        <v>-4405.800000000003</v>
      </c>
      <c r="I169" s="14" t="n">
        <v>4405.800000000003</v>
      </c>
      <c r="J169" s="14" t="n">
        <v>39652.2</v>
      </c>
      <c r="K169" s="21" t="n">
        <v>46086.65081018519</v>
      </c>
      <c r="L169" s="21" t="n">
        <v>46086</v>
      </c>
      <c r="M169" s="8" t="inlineStr"/>
      <c r="N169" s="8" t="inlineStr">
        <is>
          <t>Бухгалтер 1С</t>
        </is>
      </c>
      <c r="O169" s="8" t="inlineStr">
        <is>
          <t>k.dzhumaev|r.sydykov</t>
        </is>
      </c>
      <c r="P169" s="12" t="inlineStr">
        <is>
          <t>Реестр (4,405.80) совпадает с ETM (4,405.80), а в 1С 44,058.00: неверная сумма в 1С</t>
        </is>
      </c>
      <c r="Q169" s="8" t="inlineStr">
        <is>
          <t>57124653,57193941</t>
        </is>
      </c>
    </row>
    <row r="170">
      <c r="A170" s="8" t="inlineStr">
        <is>
          <t>G02618</t>
        </is>
      </c>
      <c r="B170" s="8" t="inlineStr">
        <is>
          <t>SkyWay Travel</t>
        </is>
      </c>
      <c r="C170" s="8" t="inlineStr">
        <is>
          <t>2459527214|2459527216|2459527219</t>
        </is>
      </c>
      <c r="D170" s="8" t="inlineStr">
        <is>
          <t>Есть в ETM, нет в 1С</t>
        </is>
      </c>
      <c r="E170" s="8" t="inlineStr">
        <is>
          <t>1С</t>
        </is>
      </c>
      <c r="F170" s="8" t="inlineStr">
        <is>
          <t>A</t>
        </is>
      </c>
      <c r="G170" s="14" t="n">
        <v>0</v>
      </c>
      <c r="H170" s="14" t="n">
        <v>-39579</v>
      </c>
      <c r="I170" s="14" t="n"/>
      <c r="J170" s="14" t="n">
        <v>-39579</v>
      </c>
      <c r="K170" s="21" t="n">
        <v>46198.5665162037</v>
      </c>
      <c r="L170" s="21" t="n"/>
      <c r="M170" s="8" t="inlineStr"/>
      <c r="N170" s="8" t="inlineStr">
        <is>
          <t>Бухгалтер 1С</t>
        </is>
      </c>
      <c r="O170" s="8" t="inlineStr"/>
      <c r="P170" s="12" t="inlineStr">
        <is>
          <t>Списание есть в ETM, но в 1С нет реализации по этим билетам — счёт не выставлен</t>
        </is>
      </c>
      <c r="Q170" s="8" t="inlineStr">
        <is>
          <t>57398547</t>
        </is>
      </c>
    </row>
    <row r="171">
      <c r="A171" s="8" t="inlineStr">
        <is>
          <t>G14063</t>
        </is>
      </c>
      <c r="B171" s="8" t="inlineStr">
        <is>
          <t>Урматов Эрлан Сагынович</t>
        </is>
      </c>
      <c r="C171" s="8" t="inlineStr">
        <is>
          <t>2416945405</t>
        </is>
      </c>
      <c r="D171" s="8" t="inlineStr">
        <is>
          <t>Двойное списание в ETM</t>
        </is>
      </c>
      <c r="E171" s="8" t="inlineStr">
        <is>
          <t>Бот ETM</t>
        </is>
      </c>
      <c r="F171" s="8" t="inlineStr">
        <is>
          <t>A</t>
        </is>
      </c>
      <c r="G171" s="14" t="n">
        <v>39376.3</v>
      </c>
      <c r="H171" s="14" t="n">
        <v>-78752.60000000001</v>
      </c>
      <c r="I171" s="14" t="n">
        <v>39376.295</v>
      </c>
      <c r="J171" s="14" t="n">
        <v>-39376.3</v>
      </c>
      <c r="K171" s="21" t="n">
        <v>46199.55763888889</v>
      </c>
      <c r="L171" s="21" t="n">
        <v>46199</v>
      </c>
      <c r="M171" s="8" t="inlineStr"/>
      <c r="N171" s="8" t="inlineStr">
        <is>
          <t>Разработчик/поддержка бота ETM</t>
        </is>
      </c>
      <c r="O171" s="8" t="inlineStr">
        <is>
          <t>a.toktosunova</t>
        </is>
      </c>
      <c r="P171" s="12" t="inlineStr">
        <is>
          <t>В ETM 1 лишн. списание(й) одного билета на 39,376.30; без дубля сумма совпадает с 1С</t>
        </is>
      </c>
      <c r="Q171" s="8" t="inlineStr">
        <is>
          <t>57403994,57404023</t>
        </is>
      </c>
    </row>
    <row r="172">
      <c r="A172" s="8" t="inlineStr">
        <is>
          <t>G13526</t>
        </is>
      </c>
      <c r="B172" s="8" t="inlineStr">
        <is>
          <t>Сыдыков С. У.</t>
        </is>
      </c>
      <c r="C172" s="8" t="inlineStr">
        <is>
          <t>2416942275|2416942278</t>
        </is>
      </c>
      <c r="D172" s="8" t="inlineStr">
        <is>
          <t>Есть в ETM, нет в 1С</t>
        </is>
      </c>
      <c r="E172" s="8" t="inlineStr">
        <is>
          <t>1С</t>
        </is>
      </c>
      <c r="F172" s="8" t="inlineStr">
        <is>
          <t>A</t>
        </is>
      </c>
      <c r="G172" s="14" t="n">
        <v>0</v>
      </c>
      <c r="H172" s="14" t="n">
        <v>-39348</v>
      </c>
      <c r="I172" s="14" t="n">
        <v>39348</v>
      </c>
      <c r="J172" s="14" t="n">
        <v>-39348</v>
      </c>
      <c r="K172" s="21" t="n">
        <v>46075.33638888889</v>
      </c>
      <c r="L172" s="21" t="n"/>
      <c r="M172" s="8" t="inlineStr"/>
      <c r="N172" s="8" t="inlineStr">
        <is>
          <t>Бухгалтер 1С</t>
        </is>
      </c>
      <c r="O172" s="8" t="inlineStr">
        <is>
          <t>e.satarov</t>
        </is>
      </c>
      <c r="P172" s="12" t="inlineStr">
        <is>
          <t>Списание есть в ETM и продажа в реестре, но в 1С нет реализации по этим билетам — счёт не выставлен</t>
        </is>
      </c>
      <c r="Q172" s="8" t="inlineStr">
        <is>
          <t>57103175,57103162</t>
        </is>
      </c>
    </row>
    <row r="173">
      <c r="A173" s="8" t="inlineStr">
        <is>
          <t>G12700</t>
        </is>
      </c>
      <c r="B173" s="8" t="inlineStr">
        <is>
          <t>Салам Авиакасса</t>
        </is>
      </c>
      <c r="C173" s="8" t="inlineStr">
        <is>
          <t>2552671574|2552671575</t>
        </is>
      </c>
      <c r="D173" s="8" t="inlineStr">
        <is>
          <t>Двойное списание в ETM</t>
        </is>
      </c>
      <c r="E173" s="8" t="inlineStr">
        <is>
          <t>Бот ETM</t>
        </is>
      </c>
      <c r="F173" s="8" t="inlineStr">
        <is>
          <t>A</t>
        </is>
      </c>
      <c r="G173" s="14" t="n">
        <v>78322.7</v>
      </c>
      <c r="H173" s="14" t="n">
        <v>-117484.05</v>
      </c>
      <c r="I173" s="14" t="n">
        <v>78322.7</v>
      </c>
      <c r="J173" s="14" t="n">
        <v>-39161.34999999999</v>
      </c>
      <c r="K173" s="21" t="n">
        <v>46194.52050925926</v>
      </c>
      <c r="L173" s="21" t="n">
        <v>46194</v>
      </c>
      <c r="M173" s="8" t="inlineStr"/>
      <c r="N173" s="8" t="inlineStr">
        <is>
          <t>Разработчик/поддержка бота ETM</t>
        </is>
      </c>
      <c r="O173" s="8" t="inlineStr">
        <is>
          <t>k.dzhumaev</t>
        </is>
      </c>
      <c r="P173" s="12" t="inlineStr">
        <is>
          <t>В ETM 1 лишн. списание(й) одного билета на 39,161.35; без дубля сумма совпадает с 1С</t>
        </is>
      </c>
      <c r="Q173" s="8" t="inlineStr">
        <is>
          <t>57387355,57387322,57387285</t>
        </is>
      </c>
    </row>
    <row r="174">
      <c r="A174" s="8" t="inlineStr">
        <is>
          <t>G01802</t>
        </is>
      </c>
      <c r="B174" s="8" t="inlineStr">
        <is>
          <t>Karakol Express</t>
        </is>
      </c>
      <c r="C174" s="8" t="inlineStr">
        <is>
          <t>2552669457</t>
        </is>
      </c>
      <c r="D174" s="8" t="inlineStr">
        <is>
          <t>Есть в ETM, нет в 1С</t>
        </is>
      </c>
      <c r="E174" s="8" t="inlineStr">
        <is>
          <t>1С</t>
        </is>
      </c>
      <c r="F174" s="8" t="inlineStr">
        <is>
          <t>A</t>
        </is>
      </c>
      <c r="G174" s="14" t="n">
        <v>0</v>
      </c>
      <c r="H174" s="14" t="n">
        <v>-39014.35</v>
      </c>
      <c r="I174" s="14" t="n">
        <v>39014.3475</v>
      </c>
      <c r="J174" s="14" t="n">
        <v>-39014.35</v>
      </c>
      <c r="K174" s="21" t="n">
        <v>46121.79144675926</v>
      </c>
      <c r="L174" s="21" t="n"/>
      <c r="M174" s="8" t="inlineStr"/>
      <c r="N174" s="8" t="inlineStr">
        <is>
          <t>Бухгалтер 1С</t>
        </is>
      </c>
      <c r="O174" s="8" t="inlineStr">
        <is>
          <t>e.satarov</t>
        </is>
      </c>
      <c r="P174" s="12" t="inlineStr">
        <is>
          <t>Списание есть в ETM и продажа в реестре, но в 1С нет реализации по этим билетам — счёт не выставлен</t>
        </is>
      </c>
      <c r="Q174" s="8" t="inlineStr">
        <is>
          <t>57198574</t>
        </is>
      </c>
    </row>
    <row r="175">
      <c r="A175" s="8" t="inlineStr">
        <is>
          <t>G01538</t>
        </is>
      </c>
      <c r="B175" s="8" t="inlineStr">
        <is>
          <t>Karakol Express</t>
        </is>
      </c>
      <c r="C175" s="8" t="inlineStr">
        <is>
          <t>2461881297|2461881300</t>
        </is>
      </c>
      <c r="D175" s="8" t="inlineStr">
        <is>
          <t>Есть в ETM, нет в 1С</t>
        </is>
      </c>
      <c r="E175" s="8" t="inlineStr">
        <is>
          <t>1С</t>
        </is>
      </c>
      <c r="F175" s="8" t="inlineStr">
        <is>
          <t>A</t>
        </is>
      </c>
      <c r="G175" s="14" t="n">
        <v>0</v>
      </c>
      <c r="H175" s="14" t="n">
        <v>-38718</v>
      </c>
      <c r="I175" s="14" t="n">
        <v>0</v>
      </c>
      <c r="J175" s="14" t="n">
        <v>-38718</v>
      </c>
      <c r="K175" s="21" t="n">
        <v>46085.35819444444</v>
      </c>
      <c r="L175" s="21" t="n"/>
      <c r="M175" s="8" t="inlineStr"/>
      <c r="N175" s="8" t="inlineStr">
        <is>
          <t>Бухгалтер 1С</t>
        </is>
      </c>
      <c r="O175" s="8" t="inlineStr">
        <is>
          <t>e.satarov</t>
        </is>
      </c>
      <c r="P175" s="12" t="inlineStr">
        <is>
          <t>Списание есть в ETM и продажа в реестре, но в 1С нет реализации по этим билетам — счёт не выставлен</t>
        </is>
      </c>
      <c r="Q175" s="8" t="inlineStr">
        <is>
          <t>57122059,57122076</t>
        </is>
      </c>
    </row>
    <row r="176">
      <c r="A176" s="8" t="inlineStr">
        <is>
          <t>G14318</t>
        </is>
      </c>
      <c r="B176" s="8" t="inlineStr">
        <is>
          <t>ЧОЛПОН ТУР</t>
        </is>
      </c>
      <c r="C176" s="8" t="inlineStr">
        <is>
          <t>2476317425|2476317426</t>
        </is>
      </c>
      <c r="D176" s="8" t="inlineStr">
        <is>
          <t>Сумма не сходится</t>
        </is>
      </c>
      <c r="E176" s="8" t="inlineStr">
        <is>
          <t>1С</t>
        </is>
      </c>
      <c r="F176" s="8" t="inlineStr">
        <is>
          <t>A</t>
        </is>
      </c>
      <c r="G176" s="14" t="n">
        <v>-19356.38</v>
      </c>
      <c r="H176" s="14" t="n">
        <v>-19356.38</v>
      </c>
      <c r="I176" s="14" t="n">
        <v>19356.38</v>
      </c>
      <c r="J176" s="14" t="n">
        <v>-38712.76</v>
      </c>
      <c r="K176" s="21" t="n">
        <v>46113.55328703704</v>
      </c>
      <c r="L176" s="21" t="n">
        <v>46166</v>
      </c>
      <c r="M176" s="8" t="inlineStr"/>
      <c r="N176" s="8" t="inlineStr">
        <is>
          <t>Бухгалтер 1С</t>
        </is>
      </c>
      <c r="O176" s="8" t="inlineStr">
        <is>
          <t>d.mambetova</t>
        </is>
      </c>
      <c r="P176" s="12" t="inlineStr">
        <is>
          <t>Реестр (19,356.38) совпадает с ETM (19,356.38), а в 1С -19,356.38: неверная сумма в 1С</t>
        </is>
      </c>
      <c r="Q176" s="8" t="inlineStr">
        <is>
          <t>57184715,57184748,57311977</t>
        </is>
      </c>
    </row>
    <row r="177">
      <c r="A177" s="8" t="inlineStr">
        <is>
          <t>G14333</t>
        </is>
      </c>
      <c r="B177" s="8" t="inlineStr">
        <is>
          <t>ЧОЛПОН ТУР</t>
        </is>
      </c>
      <c r="C177" s="8" t="inlineStr">
        <is>
          <t>2552668794</t>
        </is>
      </c>
      <c r="D177" s="8" t="inlineStr">
        <is>
          <t>Сумма не сходится</t>
        </is>
      </c>
      <c r="E177" s="8" t="inlineStr">
        <is>
          <t>1С</t>
        </is>
      </c>
      <c r="F177" s="8" t="inlineStr">
        <is>
          <t>A</t>
        </is>
      </c>
      <c r="G177" s="14" t="n">
        <v>-19208.76</v>
      </c>
      <c r="H177" s="14" t="n">
        <v>-19229.42</v>
      </c>
      <c r="I177" s="14" t="n">
        <v>19208.77</v>
      </c>
      <c r="J177" s="14" t="n">
        <v>-38438.18</v>
      </c>
      <c r="K177" s="21" t="n">
        <v>46141.6208912037</v>
      </c>
      <c r="L177" s="21" t="n">
        <v>46159</v>
      </c>
      <c r="M177" s="8" t="inlineStr"/>
      <c r="N177" s="8" t="inlineStr">
        <is>
          <t>Бухгалтер 1С</t>
        </is>
      </c>
      <c r="O177" s="8" t="inlineStr">
        <is>
          <t>k.dzhumaev</t>
        </is>
      </c>
      <c r="P177" s="12" t="inlineStr">
        <is>
          <t>Реестр (19,208.77) совпадает с ETM (19,229.42), а в 1С -19,208.76: неверная сумма в 1С</t>
        </is>
      </c>
      <c r="Q177" s="8" t="inlineStr">
        <is>
          <t>57231992,57291725</t>
        </is>
      </c>
    </row>
    <row r="178">
      <c r="A178" s="8" t="inlineStr">
        <is>
          <t>G01682</t>
        </is>
      </c>
      <c r="B178" s="8" t="inlineStr">
        <is>
          <t>Karakol Express</t>
        </is>
      </c>
      <c r="C178" s="8" t="inlineStr">
        <is>
          <t>2476316792|2476316793</t>
        </is>
      </c>
      <c r="D178" s="8" t="inlineStr">
        <is>
          <t>Есть в ETM, нет в 1С</t>
        </is>
      </c>
      <c r="E178" s="8" t="inlineStr">
        <is>
          <t>1С</t>
        </is>
      </c>
      <c r="F178" s="8" t="inlineStr">
        <is>
          <t>A</t>
        </is>
      </c>
      <c r="G178" s="14" t="n">
        <v>0</v>
      </c>
      <c r="H178" s="14" t="n">
        <v>-38340.92</v>
      </c>
      <c r="I178" s="14" t="n">
        <v>38340.92</v>
      </c>
      <c r="J178" s="14" t="n">
        <v>-38340.92</v>
      </c>
      <c r="K178" s="21" t="n">
        <v>46234.52351851852</v>
      </c>
      <c r="L178" s="21" t="n"/>
      <c r="M178" s="8" t="inlineStr"/>
      <c r="N178" s="8" t="inlineStr">
        <is>
          <t>Бухгалтер 1С</t>
        </is>
      </c>
      <c r="O178" s="8" t="inlineStr">
        <is>
          <t>g.omurbekova</t>
        </is>
      </c>
      <c r="P178" s="12" t="inlineStr">
        <is>
          <t>Списание есть в ETM и продажа в реестре, но в 1С нет реализации по этим билетам — счёт не выставлен</t>
        </is>
      </c>
      <c r="Q178" s="8" t="inlineStr">
        <is>
          <t>57502263</t>
        </is>
      </c>
    </row>
    <row r="179">
      <c r="A179" s="8" t="inlineStr">
        <is>
          <t>G07888</t>
        </is>
      </c>
      <c r="B179" s="8" t="inlineStr">
        <is>
          <t>ИП Асанов К. Б.</t>
        </is>
      </c>
      <c r="C179" s="8" t="inlineStr">
        <is>
          <t>2559100211</t>
        </is>
      </c>
      <c r="D179" s="8" t="inlineStr">
        <is>
          <t>Есть в ETM, нет в 1С</t>
        </is>
      </c>
      <c r="E179" s="8" t="inlineStr">
        <is>
          <t>1С</t>
        </is>
      </c>
      <c r="F179" s="8" t="inlineStr">
        <is>
          <t>A</t>
        </is>
      </c>
      <c r="G179" s="14" t="n">
        <v>0</v>
      </c>
      <c r="H179" s="14" t="n">
        <v>-37967.19</v>
      </c>
      <c r="I179" s="14" t="n">
        <v>37967.19</v>
      </c>
      <c r="J179" s="14" t="n">
        <v>-37967.19</v>
      </c>
      <c r="K179" s="21" t="n">
        <v>46225.78385416666</v>
      </c>
      <c r="L179" s="21" t="n"/>
      <c r="M179" s="8" t="inlineStr"/>
      <c r="N179" s="8" t="inlineStr">
        <is>
          <t>Бухгалтер 1С</t>
        </is>
      </c>
      <c r="O179" s="8" t="inlineStr">
        <is>
          <t>k.dzhumaev</t>
        </is>
      </c>
      <c r="P179" s="12" t="inlineStr">
        <is>
          <t>Списание есть в ETM и продажа в реестре, но в 1С нет реализации по этим билетам — счёт не выставлен</t>
        </is>
      </c>
      <c r="Q179" s="8" t="inlineStr">
        <is>
          <t>57478717</t>
        </is>
      </c>
    </row>
    <row r="180">
      <c r="A180" s="8" t="inlineStr">
        <is>
          <t>G08562</t>
        </is>
      </c>
      <c r="B180" s="8" t="inlineStr">
        <is>
          <t>ИП Токтосун кызы Н.</t>
        </is>
      </c>
      <c r="C180" s="8" t="inlineStr">
        <is>
          <t>2459531178|2459531179|2459531180</t>
        </is>
      </c>
      <c r="D180" s="8" t="inlineStr">
        <is>
          <t>Сумма не сходится</t>
        </is>
      </c>
      <c r="E180" s="8" t="inlineStr">
        <is>
          <t>1С</t>
        </is>
      </c>
      <c r="F180" s="8" t="inlineStr">
        <is>
          <t>A</t>
        </is>
      </c>
      <c r="G180" s="14" t="n">
        <v>-28390.5</v>
      </c>
      <c r="H180" s="14" t="n">
        <v>-9463.5</v>
      </c>
      <c r="I180" s="14" t="n">
        <v>9463.5</v>
      </c>
      <c r="J180" s="14" t="n">
        <v>-37854</v>
      </c>
      <c r="K180" s="21" t="n">
        <v>46062.35613425926</v>
      </c>
      <c r="L180" s="21" t="n">
        <v>46101</v>
      </c>
      <c r="M180" s="8" t="inlineStr"/>
      <c r="N180" s="8" t="inlineStr">
        <is>
          <t>Бухгалтер 1С</t>
        </is>
      </c>
      <c r="O180" s="8" t="inlineStr">
        <is>
          <t>n.abdyldaeva|r.sydykov</t>
        </is>
      </c>
      <c r="P180" s="12" t="inlineStr">
        <is>
          <t>Реестр (9,463.50) совпадает с ETM (9,463.50), а в 1С -28,390.50: неверная сумма в 1С</t>
        </is>
      </c>
      <c r="Q180" s="8" t="inlineStr">
        <is>
          <t>57081697,57081719,57081661,57159250</t>
        </is>
      </c>
    </row>
    <row r="181">
      <c r="A181" s="8" t="inlineStr">
        <is>
          <t>G13751</t>
        </is>
      </c>
      <c r="B181" s="8" t="inlineStr">
        <is>
          <t>ТАЛАС ЛАЙН</t>
        </is>
      </c>
      <c r="C181" s="8" t="inlineStr">
        <is>
          <t>2476315205|2476315207</t>
        </is>
      </c>
      <c r="D181" s="8" t="inlineStr">
        <is>
          <t>Есть в ETM, нет в 1С</t>
        </is>
      </c>
      <c r="E181" s="8" t="inlineStr">
        <is>
          <t>1С</t>
        </is>
      </c>
      <c r="F181" s="8" t="inlineStr">
        <is>
          <t>A</t>
        </is>
      </c>
      <c r="G181" s="14" t="n">
        <v>0</v>
      </c>
      <c r="H181" s="14" t="n">
        <v>-37315.46</v>
      </c>
      <c r="I181" s="14" t="n">
        <v>37315.46</v>
      </c>
      <c r="J181" s="14" t="n">
        <v>-37315.46</v>
      </c>
      <c r="K181" s="21" t="n">
        <v>46210.65583333333</v>
      </c>
      <c r="L181" s="21" t="n"/>
      <c r="M181" s="8" t="inlineStr"/>
      <c r="N181" s="8" t="inlineStr">
        <is>
          <t>Бухгалтер 1С</t>
        </is>
      </c>
      <c r="O181" s="8" t="inlineStr">
        <is>
          <t>b.isakov</t>
        </is>
      </c>
      <c r="P181" s="12" t="inlineStr">
        <is>
          <t>Списание есть в ETM и продажа в реестре, но в 1С нет реализации по этим билетам — счёт не выставлен</t>
        </is>
      </c>
      <c r="Q181" s="8" t="inlineStr">
        <is>
          <t>57436835,57436822</t>
        </is>
      </c>
    </row>
    <row r="182">
      <c r="A182" s="8" t="inlineStr">
        <is>
          <t>G12877</t>
        </is>
      </c>
      <c r="B182" s="8" t="inlineStr">
        <is>
          <t>Сатар уулу Санжар</t>
        </is>
      </c>
      <c r="C182" s="8" t="inlineStr">
        <is>
          <t>2416943060</t>
        </is>
      </c>
      <c r="D182" s="8" t="inlineStr">
        <is>
          <t>Сумма не сходится</t>
        </is>
      </c>
      <c r="E182" s="8" t="inlineStr">
        <is>
          <t>1С</t>
        </is>
      </c>
      <c r="F182" s="8" t="inlineStr">
        <is>
          <t>A</t>
        </is>
      </c>
      <c r="G182" s="14" t="n">
        <v>-33541.29</v>
      </c>
      <c r="H182" s="14" t="n">
        <v>-3726.809999999998</v>
      </c>
      <c r="I182" s="14" t="n">
        <v>3726.809999999998</v>
      </c>
      <c r="J182" s="14" t="n">
        <v>-37268.1</v>
      </c>
      <c r="K182" s="21" t="n">
        <v>46137.39201388889</v>
      </c>
      <c r="L182" s="21" t="n">
        <v>46165</v>
      </c>
      <c r="M182" s="8" t="inlineStr"/>
      <c r="N182" s="8" t="inlineStr">
        <is>
          <t>Бухгалтер 1С</t>
        </is>
      </c>
      <c r="O182" s="8" t="inlineStr">
        <is>
          <t>a.toktosunova|b.isakov</t>
        </is>
      </c>
      <c r="P182" s="12" t="inlineStr">
        <is>
          <t>Реестр (3,726.81) совпадает с ETM (3,726.81), а в 1С -33,541.29: неверная сумма в 1С</t>
        </is>
      </c>
      <c r="Q182" s="8" t="inlineStr">
        <is>
          <t>57228651,57309549</t>
        </is>
      </c>
    </row>
    <row r="183">
      <c r="A183" s="8" t="inlineStr">
        <is>
          <t>G00451</t>
        </is>
      </c>
      <c r="B183" s="8" t="inlineStr">
        <is>
          <t>Blue Bird Travel</t>
        </is>
      </c>
      <c r="C183" s="8" t="inlineStr">
        <is>
          <t>2552671615</t>
        </is>
      </c>
      <c r="D183" s="8" t="inlineStr">
        <is>
          <t>Есть в ETM, нет в 1С</t>
        </is>
      </c>
      <c r="E183" s="8" t="inlineStr">
        <is>
          <t>1С</t>
        </is>
      </c>
      <c r="F183" s="8" t="inlineStr">
        <is>
          <t>A</t>
        </is>
      </c>
      <c r="G183" s="14" t="n">
        <v>0</v>
      </c>
      <c r="H183" s="14" t="n">
        <v>-36564.48</v>
      </c>
      <c r="I183" s="14" t="n">
        <v>36564.48</v>
      </c>
      <c r="J183" s="14" t="n">
        <v>-36564.48</v>
      </c>
      <c r="K183" s="21" t="n">
        <v>46102.36459490741</v>
      </c>
      <c r="L183" s="21" t="n"/>
      <c r="M183" s="8" t="inlineStr"/>
      <c r="N183" s="8" t="inlineStr">
        <is>
          <t>Бухгалтер 1С</t>
        </is>
      </c>
      <c r="O183" s="8" t="inlineStr">
        <is>
          <t>a.toktosunova</t>
        </is>
      </c>
      <c r="P183" s="12" t="inlineStr">
        <is>
          <t>Списание есть в ETM и продажа в реестре, но в 1С нет реализации по этим билетам — счёт не выставлен</t>
        </is>
      </c>
      <c r="Q183" s="8" t="inlineStr">
        <is>
          <t>57162736</t>
        </is>
      </c>
    </row>
    <row r="184">
      <c r="A184" s="8" t="inlineStr">
        <is>
          <t>G11331</t>
        </is>
      </c>
      <c r="B184" s="8" t="inlineStr">
        <is>
          <t>ОсОО Иссык Тур</t>
        </is>
      </c>
      <c r="C184" s="8" t="inlineStr">
        <is>
          <t>2416945224</t>
        </is>
      </c>
      <c r="D184" s="8" t="inlineStr">
        <is>
          <t>Есть в ETM, нет в 1С</t>
        </is>
      </c>
      <c r="E184" s="8" t="inlineStr">
        <is>
          <t>1С</t>
        </is>
      </c>
      <c r="F184" s="8" t="inlineStr">
        <is>
          <t>A</t>
        </is>
      </c>
      <c r="G184" s="14" t="n">
        <v>0</v>
      </c>
      <c r="H184" s="14" t="n">
        <v>-36366.4</v>
      </c>
      <c r="I184" s="14" t="n">
        <v>36366.405</v>
      </c>
      <c r="J184" s="14" t="n">
        <v>-36366.4</v>
      </c>
      <c r="K184" s="21" t="n">
        <v>46152.45436342592</v>
      </c>
      <c r="L184" s="21" t="n"/>
      <c r="M184" s="8" t="inlineStr"/>
      <c r="N184" s="8" t="inlineStr">
        <is>
          <t>Бухгалтер 1С</t>
        </is>
      </c>
      <c r="O184" s="8" t="inlineStr">
        <is>
          <t>k.dzhumaev</t>
        </is>
      </c>
      <c r="P184" s="12" t="inlineStr">
        <is>
          <t>Списание есть в ETM и продажа в реестре, но в 1С нет реализации по этим билетам — счёт не выставлен</t>
        </is>
      </c>
      <c r="Q184" s="8" t="inlineStr">
        <is>
          <t>57270302</t>
        </is>
      </c>
    </row>
    <row r="185">
      <c r="A185" s="8" t="inlineStr">
        <is>
          <t>G12076</t>
        </is>
      </c>
      <c r="B185" s="8" t="inlineStr">
        <is>
          <t>ОсОО Чолпон Авиакасса</t>
        </is>
      </c>
      <c r="C185" s="8" t="inlineStr">
        <is>
          <t>2552669209</t>
        </is>
      </c>
      <c r="D185" s="8" t="inlineStr">
        <is>
          <t>Есть в ETM, нет в 1С</t>
        </is>
      </c>
      <c r="E185" s="8" t="inlineStr">
        <is>
          <t>1С</t>
        </is>
      </c>
      <c r="F185" s="8" t="inlineStr">
        <is>
          <t>A</t>
        </is>
      </c>
      <c r="G185" s="14" t="n">
        <v>0</v>
      </c>
      <c r="H185" s="14" t="n">
        <v>-36165.44</v>
      </c>
      <c r="I185" s="14" t="n">
        <v>36165.4425</v>
      </c>
      <c r="J185" s="14" t="n">
        <v>-36165.44</v>
      </c>
      <c r="K185" s="21" t="n">
        <v>46204.57555555556</v>
      </c>
      <c r="L185" s="21" t="n"/>
      <c r="M185" s="8" t="inlineStr"/>
      <c r="N185" s="8" t="inlineStr">
        <is>
          <t>Бухгалтер 1С</t>
        </is>
      </c>
      <c r="O185" s="8" t="inlineStr">
        <is>
          <t>r.sydykov</t>
        </is>
      </c>
      <c r="P185" s="12" t="inlineStr">
        <is>
          <t>Списание есть в ETM и продажа в реестре, но в 1С нет реализации по этим билетам — счёт не выставлен</t>
        </is>
      </c>
      <c r="Q185" s="8" t="inlineStr">
        <is>
          <t>57417360</t>
        </is>
      </c>
    </row>
    <row r="186">
      <c r="A186" s="8" t="inlineStr">
        <is>
          <t>G01411</t>
        </is>
      </c>
      <c r="B186" s="8" t="inlineStr">
        <is>
          <t>Karakol Express</t>
        </is>
      </c>
      <c r="C186" s="8" t="inlineStr">
        <is>
          <t>2460733233|2460733234</t>
        </is>
      </c>
      <c r="D186" s="8" t="inlineStr">
        <is>
          <t>Сумма не сходится</t>
        </is>
      </c>
      <c r="E186" s="8" t="inlineStr">
        <is>
          <t>1С</t>
        </is>
      </c>
      <c r="F186" s="8" t="inlineStr">
        <is>
          <t>A</t>
        </is>
      </c>
      <c r="G186" s="14" t="n">
        <v>51350</v>
      </c>
      <c r="H186" s="14" t="n">
        <v>-15350</v>
      </c>
      <c r="I186" s="14" t="n">
        <v>15350</v>
      </c>
      <c r="J186" s="14" t="n">
        <v>36000</v>
      </c>
      <c r="K186" s="21" t="n">
        <v>46211.42373842592</v>
      </c>
      <c r="L186" s="21" t="n">
        <v>46211</v>
      </c>
      <c r="M186" s="8" t="inlineStr">
        <is>
          <t>TRANSPOSITION</t>
        </is>
      </c>
      <c r="N186" s="8" t="inlineStr">
        <is>
          <t>Бухгалтер 1С</t>
        </is>
      </c>
      <c r="O186" s="8" t="inlineStr">
        <is>
          <t>k.dzhumaev</t>
        </is>
      </c>
      <c r="P186" s="12" t="inlineStr">
        <is>
          <t>Реестр (15,350.00) совпадает с ETM (15,350.00), а в 1С 51,350.00: неверная сумма в 1С</t>
        </is>
      </c>
      <c r="Q186" s="8" t="inlineStr">
        <is>
          <t>57439280,57439246</t>
        </is>
      </c>
    </row>
    <row r="187">
      <c r="A187" s="8" t="inlineStr">
        <is>
          <t>G04756</t>
        </is>
      </c>
      <c r="B187" s="8" t="inlineStr">
        <is>
          <t>Ак-Куу Авиа</t>
        </is>
      </c>
      <c r="C187" s="8" t="inlineStr">
        <is>
          <t>2416942722|2416942724</t>
        </is>
      </c>
      <c r="D187" s="8" t="inlineStr">
        <is>
          <t>Сумма не сходится</t>
        </is>
      </c>
      <c r="E187" s="8" t="inlineStr">
        <is>
          <t>1С</t>
        </is>
      </c>
      <c r="F187" s="8" t="inlineStr">
        <is>
          <t>A</t>
        </is>
      </c>
      <c r="G187" s="14" t="n">
        <v>62853.72</v>
      </c>
      <c r="H187" s="14" t="n">
        <v>-26853.72</v>
      </c>
      <c r="I187" s="14" t="n">
        <v>26853.7704</v>
      </c>
      <c r="J187" s="14" t="n">
        <v>36000</v>
      </c>
      <c r="K187" s="21" t="n">
        <v>46062.56800925926</v>
      </c>
      <c r="L187" s="21" t="n">
        <v>46062</v>
      </c>
      <c r="M187" s="8" t="inlineStr">
        <is>
          <t>TRANSPOSITION</t>
        </is>
      </c>
      <c r="N187" s="8" t="inlineStr">
        <is>
          <t>Бухгалтер 1С</t>
        </is>
      </c>
      <c r="O187" s="8" t="inlineStr">
        <is>
          <t>k.dzhumaev</t>
        </is>
      </c>
      <c r="P187" s="12" t="inlineStr">
        <is>
          <t>Реестр (26,853.77) совпадает с ETM (26,853.72), а в 1С 62,853.72: неверная сумма в 1С</t>
        </is>
      </c>
      <c r="Q187" s="8" t="inlineStr">
        <is>
          <t>57080552,57080557</t>
        </is>
      </c>
    </row>
    <row r="188">
      <c r="A188" s="8" t="inlineStr">
        <is>
          <t>G09230</t>
        </is>
      </c>
      <c r="B188" s="8" t="inlineStr">
        <is>
          <t>ИССЫК ТРИП</t>
        </is>
      </c>
      <c r="C188" s="8" t="inlineStr">
        <is>
          <t>2476318125</t>
        </is>
      </c>
      <c r="D188" s="8" t="inlineStr">
        <is>
          <t>Сумма не сходится</t>
        </is>
      </c>
      <c r="E188" s="8" t="inlineStr">
        <is>
          <t>Бот ETM</t>
        </is>
      </c>
      <c r="F188" s="8" t="inlineStr">
        <is>
          <t>A</t>
        </is>
      </c>
      <c r="G188" s="14" t="n">
        <v>26919.94</v>
      </c>
      <c r="H188" s="14" t="n">
        <v>-62919.94</v>
      </c>
      <c r="I188" s="14" t="n">
        <v>26919.94</v>
      </c>
      <c r="J188" s="14" t="n">
        <v>-36000</v>
      </c>
      <c r="K188" s="21" t="n">
        <v>46106.59484953704</v>
      </c>
      <c r="L188" s="21" t="n">
        <v>46106</v>
      </c>
      <c r="M188" s="8" t="inlineStr">
        <is>
          <t>TRANSPOSITION</t>
        </is>
      </c>
      <c r="N188" s="8" t="inlineStr">
        <is>
          <t>Разработчик/поддержка бота ETM</t>
        </is>
      </c>
      <c r="O188" s="8" t="inlineStr">
        <is>
          <t>b.isakov</t>
        </is>
      </c>
      <c r="P188" s="12" t="inlineStr">
        <is>
          <t>Реестр (26,919.94) совпадает с 1С (26,919.94), а в ETM 62,919.94: бот перенёс неверную сумму</t>
        </is>
      </c>
      <c r="Q188" s="8" t="inlineStr">
        <is>
          <t>57171138</t>
        </is>
      </c>
    </row>
    <row r="189">
      <c r="A189" s="8" t="inlineStr">
        <is>
          <t>G10573</t>
        </is>
      </c>
      <c r="B189" s="8" t="inlineStr">
        <is>
          <t>Манас Тур</t>
        </is>
      </c>
      <c r="C189" s="8" t="inlineStr">
        <is>
          <t>2461883286|2461883288</t>
        </is>
      </c>
      <c r="D189" s="8" t="inlineStr">
        <is>
          <t>Сумма не сходится</t>
        </is>
      </c>
      <c r="E189" s="8" t="inlineStr">
        <is>
          <t>1С</t>
        </is>
      </c>
      <c r="F189" s="8" t="inlineStr">
        <is>
          <t>A</t>
        </is>
      </c>
      <c r="G189" s="14" t="n">
        <v>40228</v>
      </c>
      <c r="H189" s="14" t="n">
        <v>-4228</v>
      </c>
      <c r="I189" s="14" t="n">
        <v>4228</v>
      </c>
      <c r="J189" s="14" t="n">
        <v>36000</v>
      </c>
      <c r="K189" s="21" t="n">
        <v>46131.62774305556</v>
      </c>
      <c r="L189" s="21" t="n">
        <v>46131</v>
      </c>
      <c r="M189" s="8" t="inlineStr"/>
      <c r="N189" s="8" t="inlineStr">
        <is>
          <t>Бухгалтер 1С</t>
        </is>
      </c>
      <c r="O189" s="8" t="inlineStr">
        <is>
          <t>b.isakov</t>
        </is>
      </c>
      <c r="P189" s="12" t="inlineStr">
        <is>
          <t>Реестр (4,228.00) совпадает с ETM (4,228.00), а в 1С 40,228.00: неверная сумма в 1С</t>
        </is>
      </c>
      <c r="Q189" s="8" t="inlineStr">
        <is>
          <t>57215634,57215671</t>
        </is>
      </c>
    </row>
    <row r="190">
      <c r="A190" s="8" t="inlineStr">
        <is>
          <t>G13696</t>
        </is>
      </c>
      <c r="B190" s="8" t="inlineStr">
        <is>
          <t>ТАЛАС ЛАЙН</t>
        </is>
      </c>
      <c r="C190" s="8" t="inlineStr">
        <is>
          <t>2459529412</t>
        </is>
      </c>
      <c r="D190" s="8" t="inlineStr">
        <is>
          <t>Сумма не сходится</t>
        </is>
      </c>
      <c r="E190" s="8" t="inlineStr">
        <is>
          <t>1С</t>
        </is>
      </c>
      <c r="F190" s="8" t="inlineStr">
        <is>
          <t>A</t>
        </is>
      </c>
      <c r="G190" s="14" t="n">
        <v>15668</v>
      </c>
      <c r="H190" s="14" t="n">
        <v>-51668</v>
      </c>
      <c r="I190" s="14" t="n">
        <v>51668</v>
      </c>
      <c r="J190" s="14" t="n">
        <v>-36000</v>
      </c>
      <c r="K190" s="21" t="n">
        <v>46087.49252314815</v>
      </c>
      <c r="L190" s="21" t="n">
        <v>46087</v>
      </c>
      <c r="M190" s="8" t="inlineStr">
        <is>
          <t>TRANSPOSITION</t>
        </is>
      </c>
      <c r="N190" s="8" t="inlineStr">
        <is>
          <t>Бухгалтер 1С</t>
        </is>
      </c>
      <c r="O190" s="8" t="inlineStr">
        <is>
          <t>d.mambetova</t>
        </is>
      </c>
      <c r="P190" s="12" t="inlineStr">
        <is>
          <t>Реестр (51,668.00) совпадает с ETM (51,668.00), а в 1С 15,668.00: неверная сумма в 1С</t>
        </is>
      </c>
      <c r="Q190" s="8" t="inlineStr">
        <is>
          <t>57127776</t>
        </is>
      </c>
    </row>
    <row r="191">
      <c r="A191" s="8" t="inlineStr">
        <is>
          <t>G10712</t>
        </is>
      </c>
      <c r="B191" s="8" t="inlineStr">
        <is>
          <t>Манас Туризм</t>
        </is>
      </c>
      <c r="C191" s="8" t="inlineStr">
        <is>
          <t>2559101924|2559101925</t>
        </is>
      </c>
      <c r="D191" s="8" t="inlineStr">
        <is>
          <t>Сумма не сходится</t>
        </is>
      </c>
      <c r="E191" s="8" t="inlineStr">
        <is>
          <t>1С</t>
        </is>
      </c>
      <c r="F191" s="8" t="inlineStr">
        <is>
          <t>A</t>
        </is>
      </c>
      <c r="G191" s="14" t="n">
        <v>48897.54</v>
      </c>
      <c r="H191" s="14" t="n">
        <v>-84897.53999999999</v>
      </c>
      <c r="I191" s="14" t="n">
        <v>84897.6966</v>
      </c>
      <c r="J191" s="14" t="n">
        <v>-35999.99999999999</v>
      </c>
      <c r="K191" s="21" t="n">
        <v>46076.75112268519</v>
      </c>
      <c r="L191" s="21" t="n">
        <v>46076</v>
      </c>
      <c r="M191" s="8" t="inlineStr">
        <is>
          <t>TRANSPOSITION</t>
        </is>
      </c>
      <c r="N191" s="8" t="inlineStr">
        <is>
          <t>Бухгалтер 1С</t>
        </is>
      </c>
      <c r="O191" s="8" t="inlineStr">
        <is>
          <t>k.dzhumaev</t>
        </is>
      </c>
      <c r="P191" s="12" t="inlineStr">
        <is>
          <t>Реестр (84,897.70) совпадает с ETM (84,897.54), а в 1С 48,897.54: неверная сумма в 1С</t>
        </is>
      </c>
      <c r="Q191" s="8" t="inlineStr">
        <is>
          <t>57105008,57105048</t>
        </is>
      </c>
    </row>
    <row r="192">
      <c r="A192" s="8" t="inlineStr">
        <is>
          <t>G04837</t>
        </is>
      </c>
      <c r="B192" s="8" t="inlineStr">
        <is>
          <t>Ак-Куу Авиа</t>
        </is>
      </c>
      <c r="C192" s="8" t="inlineStr">
        <is>
          <t>2420844450|2420844452</t>
        </is>
      </c>
      <c r="D192" s="8" t="inlineStr">
        <is>
          <t>Есть в реестре и 1С, нет в ETM</t>
        </is>
      </c>
      <c r="E192" s="8" t="inlineStr">
        <is>
          <t>Бот ETM</t>
        </is>
      </c>
      <c r="F192" s="8" t="inlineStr">
        <is>
          <t>A</t>
        </is>
      </c>
      <c r="G192" s="14" t="n">
        <v>35344.74</v>
      </c>
      <c r="H192" s="14" t="n">
        <v>0</v>
      </c>
      <c r="I192" s="14" t="n">
        <v>35344.7388</v>
      </c>
      <c r="J192" s="14" t="n">
        <v>35344.74</v>
      </c>
      <c r="K192" s="21" t="n"/>
      <c r="L192" s="21" t="n">
        <v>46101</v>
      </c>
      <c r="M192" s="8" t="inlineStr"/>
      <c r="N192" s="8" t="inlineStr">
        <is>
          <t>Разработчик/поддержка бота ETM</t>
        </is>
      </c>
      <c r="O192" s="8" t="inlineStr">
        <is>
          <t>a.toktosunova</t>
        </is>
      </c>
      <c r="P192" s="12" t="inlineStr">
        <is>
          <t>Продажа есть в реестре и в 1С, но бот не перенёс её на баланс ETM — списания нет</t>
        </is>
      </c>
      <c r="Q192" s="8" t="inlineStr"/>
    </row>
    <row r="193">
      <c r="A193" s="8" t="inlineStr">
        <is>
          <t>G05703</t>
        </is>
      </c>
      <c r="B193" s="8" t="inlineStr">
        <is>
          <t>Ала-Арча Авиакасса</t>
        </is>
      </c>
      <c r="C193" s="8" t="inlineStr">
        <is>
          <t>2416942888</t>
        </is>
      </c>
      <c r="D193" s="8" t="inlineStr">
        <is>
          <t>Есть в реестре и 1С, нет в ETM</t>
        </is>
      </c>
      <c r="E193" s="8" t="inlineStr">
        <is>
          <t>Бот ETM</t>
        </is>
      </c>
      <c r="F193" s="8" t="inlineStr">
        <is>
          <t>A</t>
        </is>
      </c>
      <c r="G193" s="14" t="n">
        <v>35207.46</v>
      </c>
      <c r="H193" s="14" t="n">
        <v>0</v>
      </c>
      <c r="I193" s="14" t="n"/>
      <c r="J193" s="14" t="n">
        <v>35207.46</v>
      </c>
      <c r="K193" s="21" t="n"/>
      <c r="L193" s="21" t="n">
        <v>46182</v>
      </c>
      <c r="M193" s="8" t="inlineStr"/>
      <c r="N193" s="8" t="inlineStr">
        <is>
          <t>Разработчик/поддержка бота ETM</t>
        </is>
      </c>
      <c r="O193" s="8" t="inlineStr">
        <is>
          <t>b.isakov</t>
        </is>
      </c>
      <c r="P193" s="12" t="inlineStr">
        <is>
          <t>Продажа есть в реестре и в 1С, но бот не перенёс её на баланс ETM — списания нет</t>
        </is>
      </c>
      <c r="Q193" s="8" t="inlineStr"/>
    </row>
    <row r="194">
      <c r="A194" s="8" t="inlineStr">
        <is>
          <t>G15395</t>
        </is>
      </c>
      <c r="B194" s="8" t="inlineStr">
        <is>
          <t>Эсенбеков Кубат Элдияревич</t>
        </is>
      </c>
      <c r="C194" s="8" t="inlineStr">
        <is>
          <t>2461881978|2461881979|2461881982</t>
        </is>
      </c>
      <c r="D194" s="8" t="inlineStr">
        <is>
          <t>Есть в реестре и 1С, нет в ETM</t>
        </is>
      </c>
      <c r="E194" s="8" t="inlineStr">
        <is>
          <t>Бот ETM</t>
        </is>
      </c>
      <c r="F194" s="8" t="inlineStr">
        <is>
          <t>A</t>
        </is>
      </c>
      <c r="G194" s="14" t="n">
        <v>35181</v>
      </c>
      <c r="H194" s="14" t="n">
        <v>0</v>
      </c>
      <c r="I194" s="14" t="n">
        <v>35181</v>
      </c>
      <c r="J194" s="14" t="n">
        <v>35181</v>
      </c>
      <c r="K194" s="21" t="n"/>
      <c r="L194" s="21" t="n">
        <v>46187</v>
      </c>
      <c r="M194" s="8" t="inlineStr"/>
      <c r="N194" s="8" t="inlineStr">
        <is>
          <t>Разработчик/поддержка бота ETM</t>
        </is>
      </c>
      <c r="O194" s="8" t="inlineStr">
        <is>
          <t>n.abdyldaeva</t>
        </is>
      </c>
      <c r="P194" s="12" t="inlineStr">
        <is>
          <t>Продажа есть в реестре и в 1С, но бот не перенёс её на баланс ETM — списания нет</t>
        </is>
      </c>
      <c r="Q194" s="8" t="inlineStr"/>
    </row>
    <row r="195">
      <c r="A195" s="8" t="inlineStr">
        <is>
          <t>G03620</t>
        </is>
      </c>
      <c r="B195" s="8" t="inlineStr">
        <is>
          <t>SkyWay Travel</t>
        </is>
      </c>
      <c r="C195" s="8" t="inlineStr">
        <is>
          <t>2559099364</t>
        </is>
      </c>
      <c r="D195" s="8" t="inlineStr">
        <is>
          <t>Есть в ETM, нет в 1С</t>
        </is>
      </c>
      <c r="E195" s="8" t="inlineStr">
        <is>
          <t>1С</t>
        </is>
      </c>
      <c r="F195" s="8" t="inlineStr">
        <is>
          <t>A</t>
        </is>
      </c>
      <c r="G195" s="14" t="n">
        <v>0</v>
      </c>
      <c r="H195" s="14" t="n">
        <v>-35005.3</v>
      </c>
      <c r="I195" s="14" t="n">
        <v>1358.550000000003</v>
      </c>
      <c r="J195" s="14" t="n">
        <v>-35005.3</v>
      </c>
      <c r="K195" s="21" t="n">
        <v>46210.57603009259</v>
      </c>
      <c r="L195" s="21" t="n"/>
      <c r="M195" s="8" t="inlineStr"/>
      <c r="N195" s="8" t="inlineStr">
        <is>
          <t>Бухгалтер 1С</t>
        </is>
      </c>
      <c r="O195" s="8" t="inlineStr">
        <is>
          <t>k.dzhumaev|r.sydykov</t>
        </is>
      </c>
      <c r="P195" s="12" t="inlineStr">
        <is>
          <t>Списание есть в ETM и продажа в реестре, но в 1С нет реализации по этим билетам — счёт не выставлен</t>
        </is>
      </c>
      <c r="Q195" s="8" t="inlineStr">
        <is>
          <t>57436725</t>
        </is>
      </c>
    </row>
    <row r="196">
      <c r="A196" s="8" t="inlineStr">
        <is>
          <t>G01086</t>
        </is>
      </c>
      <c r="B196" s="8" t="inlineStr">
        <is>
          <t>Karakol Express</t>
        </is>
      </c>
      <c r="C196" s="8" t="inlineStr">
        <is>
          <t>2416943013</t>
        </is>
      </c>
      <c r="D196" s="8" t="inlineStr">
        <is>
          <t>Есть в ETM, нет в 1С</t>
        </is>
      </c>
      <c r="E196" s="8" t="inlineStr">
        <is>
          <t>1С</t>
        </is>
      </c>
      <c r="F196" s="8" t="inlineStr">
        <is>
          <t>A</t>
        </is>
      </c>
      <c r="G196" s="14" t="n">
        <v>0</v>
      </c>
      <c r="H196" s="14" t="n">
        <v>-34952.38</v>
      </c>
      <c r="I196" s="14" t="n">
        <v>34952.38</v>
      </c>
      <c r="J196" s="14" t="n">
        <v>-34952.38</v>
      </c>
      <c r="K196" s="21" t="n">
        <v>46045.6755787037</v>
      </c>
      <c r="L196" s="21" t="n"/>
      <c r="M196" s="8" t="inlineStr"/>
      <c r="N196" s="8" t="inlineStr">
        <is>
          <t>Бухгалтер 1С</t>
        </is>
      </c>
      <c r="O196" s="8" t="inlineStr">
        <is>
          <t>n.abdyldaeva</t>
        </is>
      </c>
      <c r="P196" s="12" t="inlineStr">
        <is>
          <t>Списание есть в ETM и продажа в реестре, но в 1С нет реализации по этим билетам — счёт не выставлен</t>
        </is>
      </c>
      <c r="Q196" s="8" t="inlineStr">
        <is>
          <t>57047343</t>
        </is>
      </c>
    </row>
    <row r="197">
      <c r="A197" s="8" t="inlineStr">
        <is>
          <t>G10980</t>
        </is>
      </c>
      <c r="B197" s="8" t="inlineStr">
        <is>
          <t>ОсОО Ала-Арча Авиа</t>
        </is>
      </c>
      <c r="C197" s="8" t="inlineStr">
        <is>
          <t>2559102038</t>
        </is>
      </c>
      <c r="D197" s="8" t="inlineStr">
        <is>
          <t>Есть в ETM, нет в 1С</t>
        </is>
      </c>
      <c r="E197" s="8" t="inlineStr">
        <is>
          <t>1С</t>
        </is>
      </c>
      <c r="F197" s="8" t="inlineStr">
        <is>
          <t>A</t>
        </is>
      </c>
      <c r="G197" s="14" t="n">
        <v>0</v>
      </c>
      <c r="H197" s="14" t="n">
        <v>-34280.4</v>
      </c>
      <c r="I197" s="14" t="n">
        <v>1045.600000000006</v>
      </c>
      <c r="J197" s="14" t="n">
        <v>-34280.4</v>
      </c>
      <c r="K197" s="21" t="n">
        <v>46057.68354166667</v>
      </c>
      <c r="L197" s="21" t="n"/>
      <c r="M197" s="8" t="inlineStr"/>
      <c r="N197" s="8" t="inlineStr">
        <is>
          <t>Бухгалтер 1С</t>
        </is>
      </c>
      <c r="O197" s="8" t="inlineStr">
        <is>
          <t>g.omurbekova|r.sydykov</t>
        </is>
      </c>
      <c r="P197" s="12" t="inlineStr">
        <is>
          <t>Списание есть в ETM и продажа в реестре, но в 1С нет реализации по этим билетам — счёт не выставлен</t>
        </is>
      </c>
      <c r="Q197" s="8" t="inlineStr">
        <is>
          <t>57073247</t>
        </is>
      </c>
    </row>
    <row r="198">
      <c r="A198" s="8" t="inlineStr">
        <is>
          <t>G07150</t>
        </is>
      </c>
      <c r="B198" s="8" t="inlineStr">
        <is>
          <t>Жибек Эйр</t>
        </is>
      </c>
      <c r="C198" s="8" t="inlineStr">
        <is>
          <t>2416943637</t>
        </is>
      </c>
      <c r="D198" s="8" t="inlineStr">
        <is>
          <t>Есть в реестре и 1С, нет в ETM</t>
        </is>
      </c>
      <c r="E198" s="8" t="inlineStr">
        <is>
          <t>Бот ETM</t>
        </is>
      </c>
      <c r="F198" s="8" t="inlineStr">
        <is>
          <t>A</t>
        </is>
      </c>
      <c r="G198" s="14" t="n">
        <v>34165.12</v>
      </c>
      <c r="H198" s="14" t="n">
        <v>0</v>
      </c>
      <c r="I198" s="14" t="n">
        <v>34165.12</v>
      </c>
      <c r="J198" s="14" t="n">
        <v>34165.12</v>
      </c>
      <c r="K198" s="21" t="n"/>
      <c r="L198" s="21" t="n">
        <v>46044</v>
      </c>
      <c r="M198" s="8" t="inlineStr"/>
      <c r="N198" s="8" t="inlineStr">
        <is>
          <t>Разработчик/поддержка бота ETM</t>
        </is>
      </c>
      <c r="O198" s="8" t="inlineStr">
        <is>
          <t>e.satarov</t>
        </is>
      </c>
      <c r="P198" s="12" t="inlineStr">
        <is>
          <t>Продажа есть в реестре и в 1С, но бот не перенёс её на баланс ETM — списания нет</t>
        </is>
      </c>
      <c r="Q198" s="8" t="inlineStr"/>
    </row>
    <row r="199">
      <c r="A199" s="8" t="inlineStr">
        <is>
          <t>G03029</t>
        </is>
      </c>
      <c r="B199" s="8" t="inlineStr">
        <is>
          <t>SkyWay Travel</t>
        </is>
      </c>
      <c r="C199" s="8" t="inlineStr">
        <is>
          <t>2461882057|2461882058|2461882060</t>
        </is>
      </c>
      <c r="D199" s="8" t="inlineStr">
        <is>
          <t>Есть в ETM, нет в 1С</t>
        </is>
      </c>
      <c r="E199" s="8" t="inlineStr">
        <is>
          <t>1С</t>
        </is>
      </c>
      <c r="F199" s="8" t="inlineStr">
        <is>
          <t>A</t>
        </is>
      </c>
      <c r="G199" s="14" t="n">
        <v>0</v>
      </c>
      <c r="H199" s="14" t="n">
        <v>-34023</v>
      </c>
      <c r="I199" s="14" t="n">
        <v>34023</v>
      </c>
      <c r="J199" s="14" t="n">
        <v>-34023</v>
      </c>
      <c r="K199" s="21" t="n">
        <v>46098.36130787037</v>
      </c>
      <c r="L199" s="21" t="n"/>
      <c r="M199" s="8" t="inlineStr"/>
      <c r="N199" s="8" t="inlineStr">
        <is>
          <t>Бухгалтер 1С</t>
        </is>
      </c>
      <c r="O199" s="8" t="inlineStr">
        <is>
          <t>k.dzhumaev</t>
        </is>
      </c>
      <c r="P199" s="12" t="inlineStr">
        <is>
          <t>Списание есть в ETM и продажа в реестре, но в 1С нет реализации по этим билетам — счёт не выставлен</t>
        </is>
      </c>
      <c r="Q199" s="8" t="inlineStr">
        <is>
          <t>57153107,57153073,57153131</t>
        </is>
      </c>
    </row>
    <row r="200">
      <c r="A200" s="8" t="inlineStr">
        <is>
          <t>G06521</t>
        </is>
      </c>
      <c r="B200" s="8" t="inlineStr">
        <is>
          <t>Джолдошова Салтанат Сатаревна</t>
        </is>
      </c>
      <c r="C200" s="8" t="inlineStr">
        <is>
          <t>2416942621</t>
        </is>
      </c>
      <c r="D200" s="8" t="inlineStr">
        <is>
          <t>Есть в реестре и 1С, нет в ETM</t>
        </is>
      </c>
      <c r="E200" s="8" t="inlineStr">
        <is>
          <t>Бот ETM</t>
        </is>
      </c>
      <c r="F200" s="8" t="inlineStr">
        <is>
          <t>A</t>
        </is>
      </c>
      <c r="G200" s="14" t="n">
        <v>33198.24</v>
      </c>
      <c r="H200" s="14" t="n">
        <v>0</v>
      </c>
      <c r="I200" s="14" t="n">
        <v>33198.235</v>
      </c>
      <c r="J200" s="14" t="n">
        <v>33198.24</v>
      </c>
      <c r="K200" s="21" t="n"/>
      <c r="L200" s="21" t="n">
        <v>46152</v>
      </c>
      <c r="M200" s="8" t="inlineStr"/>
      <c r="N200" s="8" t="inlineStr">
        <is>
          <t>Разработчик/поддержка бота ETM</t>
        </is>
      </c>
      <c r="O200" s="8" t="inlineStr">
        <is>
          <t>k.dzhumaev</t>
        </is>
      </c>
      <c r="P200" s="12" t="inlineStr">
        <is>
          <t>Продажа есть в реестре и в 1С, но бот не перенёс её на баланс ETM — списания нет</t>
        </is>
      </c>
      <c r="Q200" s="8" t="inlineStr"/>
    </row>
    <row r="201">
      <c r="A201" s="8" t="inlineStr">
        <is>
          <t>G13257</t>
        </is>
      </c>
      <c r="B201" s="8" t="inlineStr">
        <is>
          <t>Сатар уулу Санжар</t>
        </is>
      </c>
      <c r="C201" s="8" t="inlineStr">
        <is>
          <t>2476319646</t>
        </is>
      </c>
      <c r="D201" s="8" t="inlineStr">
        <is>
          <t>Сумма не сходится</t>
        </is>
      </c>
      <c r="E201" s="8" t="inlineStr">
        <is>
          <t>1С</t>
        </is>
      </c>
      <c r="F201" s="8" t="inlineStr">
        <is>
          <t>A</t>
        </is>
      </c>
      <c r="G201" s="14" t="n">
        <v>33015</v>
      </c>
      <c r="H201" s="14" t="n">
        <v>0</v>
      </c>
      <c r="I201" s="14" t="n">
        <v>0</v>
      </c>
      <c r="J201" s="14" t="n">
        <v>33015</v>
      </c>
      <c r="K201" s="21" t="n">
        <v>46147.78265046296</v>
      </c>
      <c r="L201" s="21" t="n">
        <v>46147</v>
      </c>
      <c r="M201" s="8" t="inlineStr"/>
      <c r="N201" s="8" t="inlineStr">
        <is>
          <t>Бухгалтер 1С</t>
        </is>
      </c>
      <c r="O201" s="8" t="inlineStr">
        <is>
          <t>e.satarov|r.sydykov</t>
        </is>
      </c>
      <c r="P201" s="12" t="inlineStr">
        <is>
          <t>Реестр (0.00) совпадает с ETM (-0.00), а в 1С 33,015.00: неверная сумма в 1С</t>
        </is>
      </c>
      <c r="Q201" s="8" t="inlineStr">
        <is>
          <t>57256206,57348223</t>
        </is>
      </c>
    </row>
    <row r="202">
      <c r="A202" s="8" t="inlineStr">
        <is>
          <t>G07575</t>
        </is>
      </c>
      <c r="B202" s="8" t="inlineStr">
        <is>
          <t>Жолчу кызы А.</t>
        </is>
      </c>
      <c r="C202" s="8" t="inlineStr">
        <is>
          <t>2559099323</t>
        </is>
      </c>
      <c r="D202" s="8" t="inlineStr">
        <is>
          <t>Сумма не сходится</t>
        </is>
      </c>
      <c r="E202" s="8" t="inlineStr">
        <is>
          <t>1С</t>
        </is>
      </c>
      <c r="F202" s="8" t="inlineStr">
        <is>
          <t>A</t>
        </is>
      </c>
      <c r="G202" s="14" t="n">
        <v>43877</v>
      </c>
      <c r="H202" s="14" t="n">
        <v>-10969.25</v>
      </c>
      <c r="I202" s="14" t="n">
        <v>10969.25</v>
      </c>
      <c r="J202" s="14" t="n">
        <v>32907.75</v>
      </c>
      <c r="K202" s="21" t="n">
        <v>46129.39300925926</v>
      </c>
      <c r="L202" s="21" t="n">
        <v>46129</v>
      </c>
      <c r="M202" s="8" t="inlineStr"/>
      <c r="N202" s="8" t="inlineStr">
        <is>
          <t>Бухгалтер 1С</t>
        </is>
      </c>
      <c r="O202" s="8" t="inlineStr">
        <is>
          <t>b.isakov|e.satarov</t>
        </is>
      </c>
      <c r="P202" s="12" t="inlineStr">
        <is>
          <t>Реестр (10,969.25) совпадает с ETM (10,969.25), а в 1С 43,877.00: неверная сумма в 1С</t>
        </is>
      </c>
      <c r="Q202" s="8" t="inlineStr">
        <is>
          <t>57212262,57335129</t>
        </is>
      </c>
    </row>
    <row r="203">
      <c r="A203" s="8" t="inlineStr">
        <is>
          <t>G07015</t>
        </is>
      </c>
      <c r="B203" s="8" t="inlineStr">
        <is>
          <t>Жибек Авиакасса</t>
        </is>
      </c>
      <c r="C203" s="8" t="inlineStr">
        <is>
          <t>2476318915</t>
        </is>
      </c>
      <c r="D203" s="8" t="inlineStr">
        <is>
          <t>Есть в реестре и 1С, нет в ETM</t>
        </is>
      </c>
      <c r="E203" s="8" t="inlineStr">
        <is>
          <t>Бот ETM</t>
        </is>
      </c>
      <c r="F203" s="8" t="inlineStr">
        <is>
          <t>A</t>
        </is>
      </c>
      <c r="G203" s="14" t="n">
        <v>32895.77</v>
      </c>
      <c r="H203" s="14" t="n">
        <v>0</v>
      </c>
      <c r="I203" s="14" t="n">
        <v>32895.77</v>
      </c>
      <c r="J203" s="14" t="n">
        <v>32895.77</v>
      </c>
      <c r="K203" s="21" t="n"/>
      <c r="L203" s="21" t="n">
        <v>46234</v>
      </c>
      <c r="M203" s="8" t="inlineStr"/>
      <c r="N203" s="8" t="inlineStr">
        <is>
          <t>Разработчик/поддержка бота ETM</t>
        </is>
      </c>
      <c r="O203" s="8" t="inlineStr">
        <is>
          <t>b.isakov</t>
        </is>
      </c>
      <c r="P203" s="12" t="inlineStr">
        <is>
          <t>Продажа есть в реестре и в 1С, но бот не перенёс её на баланс ETM — списания нет</t>
        </is>
      </c>
      <c r="Q203" s="8" t="inlineStr"/>
    </row>
    <row r="204">
      <c r="A204" s="8" t="inlineStr">
        <is>
          <t>G13926</t>
        </is>
      </c>
      <c r="B204" s="8" t="inlineStr">
        <is>
          <t>ТЯНЬ-ШАНЬ ЭКСПРЕСС</t>
        </is>
      </c>
      <c r="C204" s="8" t="inlineStr">
        <is>
          <t>2460733783</t>
        </is>
      </c>
      <c r="D204" s="8" t="inlineStr">
        <is>
          <t>Есть в реестре и 1С, нет в ETM</t>
        </is>
      </c>
      <c r="E204" s="8" t="inlineStr">
        <is>
          <t>Бот ETM</t>
        </is>
      </c>
      <c r="F204" s="8" t="inlineStr">
        <is>
          <t>A</t>
        </is>
      </c>
      <c r="G204" s="14" t="n">
        <v>32890</v>
      </c>
      <c r="H204" s="14" t="n">
        <v>0</v>
      </c>
      <c r="I204" s="14" t="n">
        <v>32890</v>
      </c>
      <c r="J204" s="14" t="n">
        <v>32890</v>
      </c>
      <c r="K204" s="21" t="n"/>
      <c r="L204" s="21" t="n">
        <v>46153</v>
      </c>
      <c r="M204" s="8" t="inlineStr"/>
      <c r="N204" s="8" t="inlineStr">
        <is>
          <t>Разработчик/поддержка бота ETM</t>
        </is>
      </c>
      <c r="O204" s="8" t="inlineStr">
        <is>
          <t>e.satarov</t>
        </is>
      </c>
      <c r="P204" s="12" t="inlineStr">
        <is>
          <t>Продажа есть в реестре и в 1С, но бот не перенёс её на баланс ETM — списания нет</t>
        </is>
      </c>
      <c r="Q204" s="8" t="inlineStr"/>
    </row>
    <row r="205">
      <c r="A205" s="8" t="inlineStr">
        <is>
          <t>G05870</t>
        </is>
      </c>
      <c r="B205" s="8" t="inlineStr">
        <is>
          <t>Асанова Каныкей Эсенбекевна</t>
        </is>
      </c>
      <c r="C205" s="8" t="inlineStr">
        <is>
          <t>2459529795</t>
        </is>
      </c>
      <c r="D205" s="8" t="inlineStr">
        <is>
          <t>Двойное списание в ETM</t>
        </is>
      </c>
      <c r="E205" s="8" t="inlineStr">
        <is>
          <t>Бот ETM</t>
        </is>
      </c>
      <c r="F205" s="8" t="inlineStr">
        <is>
          <t>A</t>
        </is>
      </c>
      <c r="G205" s="14" t="n">
        <v>32704</v>
      </c>
      <c r="H205" s="14" t="n">
        <v>-65408</v>
      </c>
      <c r="I205" s="14" t="n">
        <v>32704</v>
      </c>
      <c r="J205" s="14" t="n">
        <v>-32704</v>
      </c>
      <c r="K205" s="21" t="n">
        <v>46156.47435185185</v>
      </c>
      <c r="L205" s="21" t="n">
        <v>46156</v>
      </c>
      <c r="M205" s="8" t="inlineStr"/>
      <c r="N205" s="8" t="inlineStr">
        <is>
          <t>Разработчик/поддержка бота ETM</t>
        </is>
      </c>
      <c r="O205" s="8" t="inlineStr">
        <is>
          <t>b.isakov</t>
        </is>
      </c>
      <c r="P205" s="12" t="inlineStr">
        <is>
          <t>В ETM 1 лишн. списание(й) одного билета на 32,704.00; без дубля сумма совпадает с 1С</t>
        </is>
      </c>
      <c r="Q205" s="8" t="inlineStr">
        <is>
          <t>57283897,57283930</t>
        </is>
      </c>
    </row>
    <row r="206">
      <c r="A206" s="8" t="inlineStr">
        <is>
          <t>G05081</t>
        </is>
      </c>
      <c r="B206" s="8" t="inlineStr">
        <is>
          <t>Ак-Куу Авиа</t>
        </is>
      </c>
      <c r="C206" s="8" t="inlineStr">
        <is>
          <t>2460738393|2460738394|2460738396</t>
        </is>
      </c>
      <c r="D206" s="8" t="inlineStr">
        <is>
          <t>Есть в ETM, нет в 1С</t>
        </is>
      </c>
      <c r="E206" s="8" t="inlineStr">
        <is>
          <t>1С</t>
        </is>
      </c>
      <c r="F206" s="8" t="inlineStr">
        <is>
          <t>A</t>
        </is>
      </c>
      <c r="G206" s="14" t="n">
        <v>0</v>
      </c>
      <c r="H206" s="14" t="n">
        <v>-32574</v>
      </c>
      <c r="I206" s="14" t="n">
        <v>3000</v>
      </c>
      <c r="J206" s="14" t="n">
        <v>-32574</v>
      </c>
      <c r="K206" s="21" t="n">
        <v>46055.344375</v>
      </c>
      <c r="L206" s="21" t="n"/>
      <c r="M206" s="8" t="inlineStr"/>
      <c r="N206" s="8" t="inlineStr">
        <is>
          <t>Бухгалтер 1С</t>
        </is>
      </c>
      <c r="O206" s="8" t="inlineStr">
        <is>
          <t>a.toktosunova|g.omurbekova</t>
        </is>
      </c>
      <c r="P206" s="12" t="inlineStr">
        <is>
          <t>Списание есть в ETM и продажа в реестре, но в 1С нет реализации по этим билетам — счёт не выставлен</t>
        </is>
      </c>
      <c r="Q206" s="8" t="inlineStr">
        <is>
          <t>57069756,57069788,57069806</t>
        </is>
      </c>
    </row>
    <row r="207">
      <c r="A207" s="8" t="inlineStr">
        <is>
          <t>G14796</t>
        </is>
      </c>
      <c r="B207" s="8" t="inlineStr">
        <is>
          <t>ЫЙЫК ЭКСПРЕСС</t>
        </is>
      </c>
      <c r="C207" s="8" t="inlineStr">
        <is>
          <t>2461885633</t>
        </is>
      </c>
      <c r="D207" s="8" t="inlineStr">
        <is>
          <t>Есть в ETM, нет в 1С</t>
        </is>
      </c>
      <c r="E207" s="8" t="inlineStr">
        <is>
          <t>1С</t>
        </is>
      </c>
      <c r="F207" s="8" t="inlineStr">
        <is>
          <t>A</t>
        </is>
      </c>
      <c r="G207" s="14" t="n">
        <v>0</v>
      </c>
      <c r="H207" s="14" t="n">
        <v>-32573</v>
      </c>
      <c r="I207" s="14" t="n"/>
      <c r="J207" s="14" t="n">
        <v>-32573</v>
      </c>
      <c r="K207" s="21" t="n">
        <v>46120.70420138889</v>
      </c>
      <c r="L207" s="21" t="n"/>
      <c r="M207" s="8" t="inlineStr"/>
      <c r="N207" s="8" t="inlineStr">
        <is>
          <t>Бухгалтер 1С</t>
        </is>
      </c>
      <c r="O207" s="8" t="inlineStr"/>
      <c r="P207" s="12" t="inlineStr">
        <is>
          <t>Списание есть в ETM, но в 1С нет реализации по этим билетам — счёт не выставлен</t>
        </is>
      </c>
      <c r="Q207" s="8" t="inlineStr">
        <is>
          <t>57197288</t>
        </is>
      </c>
    </row>
    <row r="208">
      <c r="A208" s="8" t="inlineStr">
        <is>
          <t>G10551</t>
        </is>
      </c>
      <c r="B208" s="8" t="inlineStr">
        <is>
          <t>Манас Тур</t>
        </is>
      </c>
      <c r="C208" s="8" t="inlineStr">
        <is>
          <t>2460733036</t>
        </is>
      </c>
      <c r="D208" s="8" t="inlineStr">
        <is>
          <t>Есть в ETM, нет в 1С</t>
        </is>
      </c>
      <c r="E208" s="8" t="inlineStr">
        <is>
          <t>1С</t>
        </is>
      </c>
      <c r="F208" s="8" t="inlineStr">
        <is>
          <t>A</t>
        </is>
      </c>
      <c r="G208" s="14" t="n">
        <v>0</v>
      </c>
      <c r="H208" s="14" t="n">
        <v>-32386</v>
      </c>
      <c r="I208" s="14" t="n">
        <v>32386</v>
      </c>
      <c r="J208" s="14" t="n">
        <v>-32386</v>
      </c>
      <c r="K208" s="21" t="n">
        <v>46031.62885416667</v>
      </c>
      <c r="L208" s="21" t="n"/>
      <c r="M208" s="8" t="inlineStr"/>
      <c r="N208" s="8" t="inlineStr">
        <is>
          <t>Бухгалтер 1С</t>
        </is>
      </c>
      <c r="O208" s="8" t="inlineStr">
        <is>
          <t>a.toktosunova</t>
        </is>
      </c>
      <c r="P208" s="12" t="inlineStr">
        <is>
          <t>Списание есть в ETM и продажа в реестре, но в 1С нет реализации по этим билетам — счёт не выставлен</t>
        </is>
      </c>
      <c r="Q208" s="8" t="inlineStr">
        <is>
          <t>57015783</t>
        </is>
      </c>
    </row>
    <row r="209">
      <c r="A209" s="8" t="inlineStr">
        <is>
          <t>G13485</t>
        </is>
      </c>
      <c r="B209" s="8" t="inlineStr">
        <is>
          <t>Сатарова Жылдыз Жумабековна</t>
        </is>
      </c>
      <c r="C209" s="8" t="inlineStr">
        <is>
          <t>2460736095</t>
        </is>
      </c>
      <c r="D209" s="8" t="inlineStr">
        <is>
          <t>Есть в ETM, нет в 1С</t>
        </is>
      </c>
      <c r="E209" s="8" t="inlineStr">
        <is>
          <t>1С</t>
        </is>
      </c>
      <c r="F209" s="8" t="inlineStr">
        <is>
          <t>A</t>
        </is>
      </c>
      <c r="G209" s="14" t="n">
        <v>0</v>
      </c>
      <c r="H209" s="14" t="n">
        <v>-32349</v>
      </c>
      <c r="I209" s="14" t="n"/>
      <c r="J209" s="14" t="n">
        <v>-32349</v>
      </c>
      <c r="K209" s="21" t="n">
        <v>46172.48925925926</v>
      </c>
      <c r="L209" s="21" t="n"/>
      <c r="M209" s="8" t="inlineStr"/>
      <c r="N209" s="8" t="inlineStr">
        <is>
          <t>Бухгалтер 1С</t>
        </is>
      </c>
      <c r="O209" s="8" t="inlineStr"/>
      <c r="P209" s="12" t="inlineStr">
        <is>
          <t>Списание есть в ETM, но в 1С нет реализации по этим билетам — счёт не выставлен</t>
        </is>
      </c>
      <c r="Q209" s="8" t="inlineStr">
        <is>
          <t>57328776</t>
        </is>
      </c>
    </row>
    <row r="210">
      <c r="A210" s="8" t="inlineStr">
        <is>
          <t>G14419</t>
        </is>
      </c>
      <c r="B210" s="8" t="inlineStr">
        <is>
          <t>ЧОЛПОН ЭЙР</t>
        </is>
      </c>
      <c r="C210" s="8" t="inlineStr">
        <is>
          <t>2476315401</t>
        </is>
      </c>
      <c r="D210" s="8" t="inlineStr">
        <is>
          <t>Есть в ETM, нет в 1С</t>
        </is>
      </c>
      <c r="E210" s="8" t="inlineStr">
        <is>
          <t>1С</t>
        </is>
      </c>
      <c r="F210" s="8" t="inlineStr">
        <is>
          <t>A</t>
        </is>
      </c>
      <c r="G210" s="14" t="n">
        <v>0</v>
      </c>
      <c r="H210" s="14" t="n">
        <v>-32333.54</v>
      </c>
      <c r="I210" s="14" t="n">
        <v>1000</v>
      </c>
      <c r="J210" s="14" t="n">
        <v>-32333.54</v>
      </c>
      <c r="K210" s="21" t="n">
        <v>46078.37587962963</v>
      </c>
      <c r="L210" s="21" t="n"/>
      <c r="M210" s="8" t="inlineStr"/>
      <c r="N210" s="8" t="inlineStr">
        <is>
          <t>Бухгалтер 1С</t>
        </is>
      </c>
      <c r="O210" s="8" t="inlineStr">
        <is>
          <t>e.satarov|g.omurbekova</t>
        </is>
      </c>
      <c r="P210" s="12" t="inlineStr">
        <is>
          <t>Списание есть в ETM и продажа в реестре, но в 1С нет реализации по этим билетам — счёт не выставлен</t>
        </is>
      </c>
      <c r="Q210" s="8" t="inlineStr">
        <is>
          <t>57108323</t>
        </is>
      </c>
    </row>
    <row r="211">
      <c r="A211" s="8" t="inlineStr">
        <is>
          <t>G00078</t>
        </is>
      </c>
      <c r="B211" s="8" t="inlineStr">
        <is>
          <t>Ala-Too Travel</t>
        </is>
      </c>
      <c r="C211" s="8" t="inlineStr">
        <is>
          <t>2416945307</t>
        </is>
      </c>
      <c r="D211" s="8" t="inlineStr">
        <is>
          <t>Есть в ETM, нет в 1С</t>
        </is>
      </c>
      <c r="E211" s="8" t="inlineStr">
        <is>
          <t>1С</t>
        </is>
      </c>
      <c r="F211" s="8" t="inlineStr">
        <is>
          <t>A</t>
        </is>
      </c>
      <c r="G211" s="14" t="n">
        <v>0</v>
      </c>
      <c r="H211" s="14" t="n">
        <v>-32266.54</v>
      </c>
      <c r="I211" s="14" t="n">
        <v>901.2999999999993</v>
      </c>
      <c r="J211" s="14" t="n">
        <v>-32266.54</v>
      </c>
      <c r="K211" s="21" t="n">
        <v>46193.62738425926</v>
      </c>
      <c r="L211" s="21" t="n"/>
      <c r="M211" s="8" t="inlineStr"/>
      <c r="N211" s="8" t="inlineStr">
        <is>
          <t>Бухгалтер 1С</t>
        </is>
      </c>
      <c r="O211" s="8" t="inlineStr">
        <is>
          <t>b.isakov|g.omurbekova</t>
        </is>
      </c>
      <c r="P211" s="12" t="inlineStr">
        <is>
          <t>Списание есть в ETM и продажа в реестре, но в 1С нет реализации по этим билетам — счёт не выставлен</t>
        </is>
      </c>
      <c r="Q211" s="8" t="inlineStr">
        <is>
          <t>57384558</t>
        </is>
      </c>
    </row>
    <row r="212">
      <c r="A212" s="8" t="inlineStr">
        <is>
          <t>G10900</t>
        </is>
      </c>
      <c r="B212" s="8" t="inlineStr">
        <is>
          <t>Ниязбекова Асель Сатаровна</t>
        </is>
      </c>
      <c r="C212" s="8" t="inlineStr">
        <is>
          <t>2559100586|2559100589|2559100591|2559100594</t>
        </is>
      </c>
      <c r="D212" s="8" t="inlineStr">
        <is>
          <t>Двойное списание в ETM</t>
        </is>
      </c>
      <c r="E212" s="8" t="inlineStr">
        <is>
          <t>Бот ETM</t>
        </is>
      </c>
      <c r="F212" s="8" t="inlineStr">
        <is>
          <t>A</t>
        </is>
      </c>
      <c r="G212" s="14" t="n">
        <v>129018.76</v>
      </c>
      <c r="H212" s="14" t="n">
        <v>-161273.45</v>
      </c>
      <c r="I212" s="14" t="n">
        <v>129018.76</v>
      </c>
      <c r="J212" s="14" t="n">
        <v>-32254.68999999999</v>
      </c>
      <c r="K212" s="21" t="n">
        <v>46039.4502662037</v>
      </c>
      <c r="L212" s="21" t="n">
        <v>46039</v>
      </c>
      <c r="M212" s="8" t="inlineStr"/>
      <c r="N212" s="8" t="inlineStr">
        <is>
          <t>Разработчик/поддержка бота ETM</t>
        </is>
      </c>
      <c r="O212" s="8" t="inlineStr">
        <is>
          <t>b.isakov</t>
        </is>
      </c>
      <c r="P212" s="12" t="inlineStr">
        <is>
          <t>В ETM 1 лишн. списание(й) одного билета на 32,254.69; без дубля сумма совпадает с 1С</t>
        </is>
      </c>
      <c r="Q212" s="8" t="inlineStr">
        <is>
          <t>57034179,57034159,57034250,57034161,57034215</t>
        </is>
      </c>
    </row>
    <row r="213">
      <c r="A213" s="8" t="inlineStr">
        <is>
          <t>G09234</t>
        </is>
      </c>
      <c r="B213" s="8" t="inlineStr">
        <is>
          <t>ИССЫК ТРИП</t>
        </is>
      </c>
      <c r="C213" s="8" t="inlineStr">
        <is>
          <t>2476318477|2476318480</t>
        </is>
      </c>
      <c r="D213" s="8" t="inlineStr">
        <is>
          <t>Есть в реестре и 1С, нет в ETM</t>
        </is>
      </c>
      <c r="E213" s="8" t="inlineStr">
        <is>
          <t>Бот ETM</t>
        </is>
      </c>
      <c r="F213" s="8" t="inlineStr">
        <is>
          <t>A</t>
        </is>
      </c>
      <c r="G213" s="14" t="n">
        <v>32205.02</v>
      </c>
      <c r="H213" s="14" t="n">
        <v>0</v>
      </c>
      <c r="I213" s="14" t="n">
        <v>32205.02</v>
      </c>
      <c r="J213" s="14" t="n">
        <v>32205.02</v>
      </c>
      <c r="K213" s="21" t="n"/>
      <c r="L213" s="21" t="n">
        <v>46210</v>
      </c>
      <c r="M213" s="8" t="inlineStr"/>
      <c r="N213" s="8" t="inlineStr">
        <is>
          <t>Разработчик/поддержка бота ETM</t>
        </is>
      </c>
      <c r="O213" s="8" t="inlineStr">
        <is>
          <t>e.satarov</t>
        </is>
      </c>
      <c r="P213" s="12" t="inlineStr">
        <is>
          <t>Продажа есть в реестре и в 1С, но бот не перенёс её на баланс ETM — списания нет</t>
        </is>
      </c>
      <c r="Q213" s="8" t="inlineStr"/>
    </row>
    <row r="214">
      <c r="A214" s="8" t="inlineStr">
        <is>
          <t>G07789</t>
        </is>
      </c>
      <c r="B214" s="8" t="inlineStr">
        <is>
          <t>ИП Абдыраманова Ж. Д.</t>
        </is>
      </c>
      <c r="C214" s="8" t="inlineStr">
        <is>
          <t>2476317907</t>
        </is>
      </c>
      <c r="D214" s="8" t="inlineStr">
        <is>
          <t>Есть в реестре и 1С, нет в ETM</t>
        </is>
      </c>
      <c r="E214" s="8" t="inlineStr">
        <is>
          <t>Бот ETM</t>
        </is>
      </c>
      <c r="F214" s="8" t="inlineStr">
        <is>
          <t>A</t>
        </is>
      </c>
      <c r="G214" s="14" t="n">
        <v>32171.09</v>
      </c>
      <c r="H214" s="14" t="n">
        <v>0</v>
      </c>
      <c r="I214" s="14" t="n">
        <v>32171.09</v>
      </c>
      <c r="J214" s="14" t="n">
        <v>32171.09</v>
      </c>
      <c r="K214" s="21" t="n"/>
      <c r="L214" s="21" t="n">
        <v>46089</v>
      </c>
      <c r="M214" s="8" t="inlineStr"/>
      <c r="N214" s="8" t="inlineStr">
        <is>
          <t>Разработчик/поддержка бота ETM</t>
        </is>
      </c>
      <c r="O214" s="8" t="inlineStr">
        <is>
          <t>k.dzhumaev</t>
        </is>
      </c>
      <c r="P214" s="12" t="inlineStr">
        <is>
          <t>Продажа есть в реестре и в 1С, но бот не перенёс её на баланс ETM — списания нет</t>
        </is>
      </c>
      <c r="Q214" s="8" t="inlineStr"/>
    </row>
    <row r="215">
      <c r="A215" s="8" t="inlineStr">
        <is>
          <t>G09692</t>
        </is>
      </c>
      <c r="B215" s="8" t="inlineStr">
        <is>
          <t>Кадырова Айнура Жумабекевна</t>
        </is>
      </c>
      <c r="C215" s="8" t="inlineStr">
        <is>
          <t>2461881453</t>
        </is>
      </c>
      <c r="D215" s="8" t="inlineStr">
        <is>
          <t>Есть в ETM, нет в 1С</t>
        </is>
      </c>
      <c r="E215" s="8" t="inlineStr">
        <is>
          <t>1С</t>
        </is>
      </c>
      <c r="F215" s="8" t="inlineStr">
        <is>
          <t>A</t>
        </is>
      </c>
      <c r="G215" s="14" t="n">
        <v>0</v>
      </c>
      <c r="H215" s="14" t="n">
        <v>-32167</v>
      </c>
      <c r="I215" s="14" t="n">
        <v>32167</v>
      </c>
      <c r="J215" s="14" t="n">
        <v>-32167</v>
      </c>
      <c r="K215" s="21" t="n">
        <v>46102.43922453704</v>
      </c>
      <c r="L215" s="21" t="n"/>
      <c r="M215" s="8" t="inlineStr"/>
      <c r="N215" s="8" t="inlineStr">
        <is>
          <t>Бухгалтер 1С</t>
        </is>
      </c>
      <c r="O215" s="8" t="inlineStr">
        <is>
          <t>g.omurbekova</t>
        </is>
      </c>
      <c r="P215" s="12" t="inlineStr">
        <is>
          <t>Списание есть в ETM и продажа в реестре, но в 1С нет реализации по этим билетам — счёт не выставлен</t>
        </is>
      </c>
      <c r="Q215" s="8" t="inlineStr">
        <is>
          <t>57162010</t>
        </is>
      </c>
    </row>
    <row r="216">
      <c r="A216" s="8" t="inlineStr">
        <is>
          <t>G12373</t>
        </is>
      </c>
      <c r="B216" s="8" t="inlineStr">
        <is>
          <t>САЛАМ ЭЙР</t>
        </is>
      </c>
      <c r="C216" s="8" t="inlineStr">
        <is>
          <t>2476314923</t>
        </is>
      </c>
      <c r="D216" s="8" t="inlineStr">
        <is>
          <t>Есть в ETM, нет в 1С</t>
        </is>
      </c>
      <c r="E216" s="8" t="inlineStr">
        <is>
          <t>1С</t>
        </is>
      </c>
      <c r="F216" s="8" t="inlineStr">
        <is>
          <t>A</t>
        </is>
      </c>
      <c r="G216" s="14" t="n">
        <v>0</v>
      </c>
      <c r="H216" s="14" t="n">
        <v>-32097.65</v>
      </c>
      <c r="I216" s="14" t="n">
        <v>32097.65</v>
      </c>
      <c r="J216" s="14" t="n">
        <v>-32097.65</v>
      </c>
      <c r="K216" s="21" t="n">
        <v>46097.77037037037</v>
      </c>
      <c r="L216" s="21" t="n"/>
      <c r="M216" s="8" t="inlineStr"/>
      <c r="N216" s="8" t="inlineStr">
        <is>
          <t>Бухгалтер 1С</t>
        </is>
      </c>
      <c r="O216" s="8" t="inlineStr">
        <is>
          <t>r.sydykov</t>
        </is>
      </c>
      <c r="P216" s="12" t="inlineStr">
        <is>
          <t>Списание есть в ETM и продажа в реестре, но в 1С нет реализации по этим билетам — счёт не выставлен</t>
        </is>
      </c>
      <c r="Q216" s="8" t="inlineStr">
        <is>
          <t>57150810</t>
        </is>
      </c>
    </row>
    <row r="217">
      <c r="A217" s="8" t="inlineStr">
        <is>
          <t>G02313</t>
        </is>
      </c>
      <c r="B217" s="8" t="inlineStr">
        <is>
          <t>SkyWay Travel</t>
        </is>
      </c>
      <c r="C217" s="8" t="inlineStr">
        <is>
          <t>2416943634</t>
        </is>
      </c>
      <c r="D217" s="8" t="inlineStr">
        <is>
          <t>Есть в ETM, нет в 1С</t>
        </is>
      </c>
      <c r="E217" s="8" t="inlineStr">
        <is>
          <t>1С</t>
        </is>
      </c>
      <c r="F217" s="8" t="inlineStr">
        <is>
          <t>A</t>
        </is>
      </c>
      <c r="G217" s="14" t="n">
        <v>0</v>
      </c>
      <c r="H217" s="14" t="n">
        <v>-31853.66</v>
      </c>
      <c r="I217" s="14" t="n"/>
      <c r="J217" s="14" t="n">
        <v>-31853.66</v>
      </c>
      <c r="K217" s="21" t="n">
        <v>46141.55005787037</v>
      </c>
      <c r="L217" s="21" t="n"/>
      <c r="M217" s="8" t="inlineStr"/>
      <c r="N217" s="8" t="inlineStr">
        <is>
          <t>Бухгалтер 1С</t>
        </is>
      </c>
      <c r="O217" s="8" t="inlineStr"/>
      <c r="P217" s="12" t="inlineStr">
        <is>
          <t>Списание есть в ETM, но в 1С нет реализации по этим билетам — счёт не выставлен</t>
        </is>
      </c>
      <c r="Q217" s="8" t="inlineStr">
        <is>
          <t>57237219</t>
        </is>
      </c>
    </row>
    <row r="218">
      <c r="A218" s="8" t="inlineStr">
        <is>
          <t>G13548</t>
        </is>
      </c>
      <c r="B218" s="8" t="inlineStr">
        <is>
          <t>Сыдыков С. У.</t>
        </is>
      </c>
      <c r="C218" s="8" t="inlineStr">
        <is>
          <t>2460732928</t>
        </is>
      </c>
      <c r="D218" s="8" t="inlineStr">
        <is>
          <t>Есть в ETM, нет в 1С</t>
        </is>
      </c>
      <c r="E218" s="8" t="inlineStr">
        <is>
          <t>1С</t>
        </is>
      </c>
      <c r="F218" s="8" t="inlineStr">
        <is>
          <t>A</t>
        </is>
      </c>
      <c r="G218" s="14" t="n">
        <v>0</v>
      </c>
      <c r="H218" s="14" t="n">
        <v>-31849</v>
      </c>
      <c r="I218" s="14" t="n"/>
      <c r="J218" s="14" t="n">
        <v>-31849</v>
      </c>
      <c r="K218" s="21" t="n">
        <v>46028.69105324074</v>
      </c>
      <c r="L218" s="21" t="n"/>
      <c r="M218" s="8" t="inlineStr"/>
      <c r="N218" s="8" t="inlineStr">
        <is>
          <t>Бухгалтер 1С</t>
        </is>
      </c>
      <c r="O218" s="8" t="inlineStr"/>
      <c r="P218" s="12" t="inlineStr">
        <is>
          <t>Списание есть в ETM, но в 1С нет реализации по этим билетам — счёт не выставлен</t>
        </is>
      </c>
      <c r="Q218" s="8" t="inlineStr">
        <is>
          <t>57009310</t>
        </is>
      </c>
    </row>
    <row r="219">
      <c r="A219" s="8" t="inlineStr">
        <is>
          <t>G09652</t>
        </is>
      </c>
      <c r="B219" s="8" t="inlineStr">
        <is>
          <t>Кадырова Айнура Жумабекевна</t>
        </is>
      </c>
      <c r="C219" s="8" t="inlineStr">
        <is>
          <t>2459531890|2459531891</t>
        </is>
      </c>
      <c r="D219" s="8" t="inlineStr">
        <is>
          <t>Есть в ETM, нет в 1С</t>
        </is>
      </c>
      <c r="E219" s="8" t="inlineStr">
        <is>
          <t>1С</t>
        </is>
      </c>
      <c r="F219" s="8" t="inlineStr">
        <is>
          <t>A</t>
        </is>
      </c>
      <c r="G219" s="14" t="n">
        <v>0</v>
      </c>
      <c r="H219" s="14" t="n">
        <v>-31806</v>
      </c>
      <c r="I219" s="14" t="n">
        <v>31806</v>
      </c>
      <c r="J219" s="14" t="n">
        <v>-31806</v>
      </c>
      <c r="K219" s="21" t="n">
        <v>46234.74719907407</v>
      </c>
      <c r="L219" s="21" t="n"/>
      <c r="M219" s="8" t="inlineStr"/>
      <c r="N219" s="8" t="inlineStr">
        <is>
          <t>Бухгалтер 1С</t>
        </is>
      </c>
      <c r="O219" s="8" t="inlineStr">
        <is>
          <t>d.mambetova</t>
        </is>
      </c>
      <c r="P219" s="12" t="inlineStr">
        <is>
          <t>Списание есть в ETM и продажа в реестре, но в 1С нет реализации по этим билетам — счёт не выставлен</t>
        </is>
      </c>
      <c r="Q219" s="8" t="inlineStr">
        <is>
          <t>57503376,57503382</t>
        </is>
      </c>
    </row>
    <row r="220">
      <c r="A220" s="8" t="inlineStr">
        <is>
          <t>G04376</t>
        </is>
      </c>
      <c r="B220" s="8" t="inlineStr">
        <is>
          <t>Абдылда уулу Б.</t>
        </is>
      </c>
      <c r="C220" s="8" t="inlineStr">
        <is>
          <t>2461884379|2461884380|2461884382|2461884384</t>
        </is>
      </c>
      <c r="D220" s="8" t="inlineStr">
        <is>
          <t>Сумма не сходится</t>
        </is>
      </c>
      <c r="E220" s="8" t="inlineStr">
        <is>
          <t>Бот ETM</t>
        </is>
      </c>
      <c r="F220" s="8" t="inlineStr">
        <is>
          <t>A</t>
        </is>
      </c>
      <c r="G220" s="14" t="n">
        <v>126956</v>
      </c>
      <c r="H220" s="14" t="n">
        <v>-158695</v>
      </c>
      <c r="I220" s="14" t="n">
        <v>126956</v>
      </c>
      <c r="J220" s="14" t="n">
        <v>-31739</v>
      </c>
      <c r="K220" s="21" t="n">
        <v>46154.57583333334</v>
      </c>
      <c r="L220" s="21" t="n">
        <v>46154</v>
      </c>
      <c r="M220" s="8" t="inlineStr"/>
      <c r="N220" s="8" t="inlineStr">
        <is>
          <t>Разработчик/поддержка бота ETM</t>
        </is>
      </c>
      <c r="O220" s="8" t="inlineStr">
        <is>
          <t>d.mambetova</t>
        </is>
      </c>
      <c r="P220" s="12" t="inlineStr">
        <is>
          <t>Реестр (126,956.00) совпадает с 1С (126,956.00), а в ETM 158,695.00: бот перенёс неверную сумму</t>
        </is>
      </c>
      <c r="Q220" s="8" t="inlineStr">
        <is>
          <t>57276757,57276787</t>
        </is>
      </c>
    </row>
    <row r="221">
      <c r="A221" s="8" t="inlineStr">
        <is>
          <t>G05068</t>
        </is>
      </c>
      <c r="B221" s="8" t="inlineStr">
        <is>
          <t>Ак-Куу Авиа</t>
        </is>
      </c>
      <c r="C221" s="8" t="inlineStr">
        <is>
          <t>2460737317</t>
        </is>
      </c>
      <c r="D221" s="8" t="inlineStr">
        <is>
          <t>Двойное списание в ETM</t>
        </is>
      </c>
      <c r="E221" s="8" t="inlineStr">
        <is>
          <t>Бот ETM</t>
        </is>
      </c>
      <c r="F221" s="8" t="inlineStr">
        <is>
          <t>A</t>
        </is>
      </c>
      <c r="G221" s="14" t="n">
        <v>31726</v>
      </c>
      <c r="H221" s="14" t="n">
        <v>-63452</v>
      </c>
      <c r="I221" s="14" t="n">
        <v>31726</v>
      </c>
      <c r="J221" s="14" t="n">
        <v>-31726</v>
      </c>
      <c r="K221" s="21" t="n">
        <v>46145.38329861111</v>
      </c>
      <c r="L221" s="21" t="n">
        <v>46145</v>
      </c>
      <c r="M221" s="8" t="inlineStr"/>
      <c r="N221" s="8" t="inlineStr">
        <is>
          <t>Разработчик/поддержка бота ETM</t>
        </is>
      </c>
      <c r="O221" s="8" t="inlineStr">
        <is>
          <t>g.omurbekova</t>
        </is>
      </c>
      <c r="P221" s="12" t="inlineStr">
        <is>
          <t>В ETM 1 лишн. списание(й) одного билета на 31,726.00; без дубля сумма совпадает с 1С</t>
        </is>
      </c>
      <c r="Q221" s="8" t="inlineStr">
        <is>
          <t>57249003,57248980</t>
        </is>
      </c>
    </row>
    <row r="222">
      <c r="A222" s="8" t="inlineStr">
        <is>
          <t>G07549</t>
        </is>
      </c>
      <c r="B222" s="8" t="inlineStr">
        <is>
          <t>Жолчу кызы А.</t>
        </is>
      </c>
      <c r="C222" s="8" t="inlineStr">
        <is>
          <t>2476317664</t>
        </is>
      </c>
      <c r="D222" s="8" t="inlineStr">
        <is>
          <t>Есть в ETM, нет в 1С</t>
        </is>
      </c>
      <c r="E222" s="8" t="inlineStr">
        <is>
          <t>1С</t>
        </is>
      </c>
      <c r="F222" s="8" t="inlineStr">
        <is>
          <t>A</t>
        </is>
      </c>
      <c r="G222" s="14" t="n">
        <v>0</v>
      </c>
      <c r="H222" s="14" t="n">
        <v>-31712.8</v>
      </c>
      <c r="I222" s="14" t="n">
        <v>31712.8</v>
      </c>
      <c r="J222" s="14" t="n">
        <v>-31712.8</v>
      </c>
      <c r="K222" s="21" t="n">
        <v>46079.65355324074</v>
      </c>
      <c r="L222" s="21" t="n"/>
      <c r="M222" s="8" t="inlineStr"/>
      <c r="N222" s="8" t="inlineStr">
        <is>
          <t>Бухгалтер 1С</t>
        </is>
      </c>
      <c r="O222" s="8" t="inlineStr">
        <is>
          <t>e.satarov</t>
        </is>
      </c>
      <c r="P222" s="12" t="inlineStr">
        <is>
          <t>Списание есть в ETM и продажа в реестре, но в 1С нет реализации по этим билетам — счёт не выставлен</t>
        </is>
      </c>
      <c r="Q222" s="8" t="inlineStr">
        <is>
          <t>57110737</t>
        </is>
      </c>
    </row>
    <row r="223">
      <c r="A223" s="8" t="inlineStr">
        <is>
          <t>G12762</t>
        </is>
      </c>
      <c r="B223" s="8" t="inlineStr">
        <is>
          <t>Салам Экспресс</t>
        </is>
      </c>
      <c r="C223" s="8" t="inlineStr">
        <is>
          <t>2459529796</t>
        </is>
      </c>
      <c r="D223" s="8" t="inlineStr">
        <is>
          <t>Есть в ETM, нет в 1С</t>
        </is>
      </c>
      <c r="E223" s="8" t="inlineStr">
        <is>
          <t>1С</t>
        </is>
      </c>
      <c r="F223" s="8" t="inlineStr">
        <is>
          <t>A</t>
        </is>
      </c>
      <c r="G223" s="14" t="n">
        <v>0</v>
      </c>
      <c r="H223" s="14" t="n">
        <v>-31637</v>
      </c>
      <c r="I223" s="14" t="n">
        <v>31637</v>
      </c>
      <c r="J223" s="14" t="n">
        <v>-31637</v>
      </c>
      <c r="K223" s="21" t="n">
        <v>46186.51283564815</v>
      </c>
      <c r="L223" s="21" t="n"/>
      <c r="M223" s="8" t="inlineStr"/>
      <c r="N223" s="8" t="inlineStr">
        <is>
          <t>Бухгалтер 1С</t>
        </is>
      </c>
      <c r="O223" s="8" t="inlineStr">
        <is>
          <t>n.abdyldaeva</t>
        </is>
      </c>
      <c r="P223" s="12" t="inlineStr">
        <is>
          <t>Списание есть в ETM и продажа в реестре, но в 1С нет реализации по этим билетам — счёт не выставлен</t>
        </is>
      </c>
      <c r="Q223" s="8" t="inlineStr">
        <is>
          <t>57364534</t>
        </is>
      </c>
    </row>
    <row r="224">
      <c r="A224" s="8" t="inlineStr">
        <is>
          <t>G12361</t>
        </is>
      </c>
      <c r="B224" s="8" t="inlineStr">
        <is>
          <t>САЛАМ ЭЙР</t>
        </is>
      </c>
      <c r="C224" s="8" t="inlineStr">
        <is>
          <t>2461881640</t>
        </is>
      </c>
      <c r="D224" s="8" t="inlineStr">
        <is>
          <t>Есть в ETM, нет в 1С</t>
        </is>
      </c>
      <c r="E224" s="8" t="inlineStr">
        <is>
          <t>1С</t>
        </is>
      </c>
      <c r="F224" s="8" t="inlineStr">
        <is>
          <t>A</t>
        </is>
      </c>
      <c r="G224" s="14" t="n">
        <v>0</v>
      </c>
      <c r="H224" s="14" t="n">
        <v>-31626</v>
      </c>
      <c r="I224" s="14" t="n">
        <v>0</v>
      </c>
      <c r="J224" s="14" t="n">
        <v>-31626</v>
      </c>
      <c r="K224" s="21" t="n">
        <v>46176.37997685185</v>
      </c>
      <c r="L224" s="21" t="n"/>
      <c r="M224" s="8" t="inlineStr"/>
      <c r="N224" s="8" t="inlineStr">
        <is>
          <t>Бухгалтер 1С</t>
        </is>
      </c>
      <c r="O224" s="8" t="inlineStr">
        <is>
          <t>n.abdyldaeva|r.sydykov</t>
        </is>
      </c>
      <c r="P224" s="12" t="inlineStr">
        <is>
          <t>Списание есть в ETM и продажа в реестре, но в 1С нет реализации по этим билетам — счёт не выставлен</t>
        </is>
      </c>
      <c r="Q224" s="8" t="inlineStr">
        <is>
          <t>57338246</t>
        </is>
      </c>
    </row>
    <row r="225">
      <c r="A225" s="8" t="inlineStr">
        <is>
          <t>G07951</t>
        </is>
      </c>
      <c r="B225" s="8" t="inlineStr">
        <is>
          <t>ИП Бейшенова Д. О.</t>
        </is>
      </c>
      <c r="C225" s="8" t="inlineStr">
        <is>
          <t>2460735495|2460735497</t>
        </is>
      </c>
      <c r="D225" s="8" t="inlineStr">
        <is>
          <t>Есть в ETM, нет в 1С</t>
        </is>
      </c>
      <c r="E225" s="8" t="inlineStr">
        <is>
          <t>1С</t>
        </is>
      </c>
      <c r="F225" s="8" t="inlineStr">
        <is>
          <t>A</t>
        </is>
      </c>
      <c r="G225" s="14" t="n">
        <v>0</v>
      </c>
      <c r="H225" s="14" t="n">
        <v>-31576</v>
      </c>
      <c r="I225" s="14" t="n">
        <v>0</v>
      </c>
      <c r="J225" s="14" t="n">
        <v>-31576</v>
      </c>
      <c r="K225" s="21" t="n">
        <v>46158.35271990741</v>
      </c>
      <c r="L225" s="21" t="n"/>
      <c r="M225" s="8" t="inlineStr"/>
      <c r="N225" s="8" t="inlineStr">
        <is>
          <t>Бухгалтер 1С</t>
        </is>
      </c>
      <c r="O225" s="8" t="inlineStr">
        <is>
          <t>b.isakov</t>
        </is>
      </c>
      <c r="P225" s="12" t="inlineStr">
        <is>
          <t>Списание есть в ETM и продажа в реестре, но в 1С нет реализации по этим билетам — счёт не выставлен</t>
        </is>
      </c>
      <c r="Q225" s="8" t="inlineStr">
        <is>
          <t>57289633,57289642</t>
        </is>
      </c>
    </row>
    <row r="226">
      <c r="A226" s="8" t="inlineStr">
        <is>
          <t>G09707</t>
        </is>
      </c>
      <c r="B226" s="8" t="inlineStr">
        <is>
          <t>Кадырова Айнура Жумабекевна</t>
        </is>
      </c>
      <c r="C226" s="8" t="inlineStr">
        <is>
          <t>2461883198</t>
        </is>
      </c>
      <c r="D226" s="8" t="inlineStr">
        <is>
          <t>Есть в реестре и 1С, нет в ETM</t>
        </is>
      </c>
      <c r="E226" s="8" t="inlineStr">
        <is>
          <t>Бот ETM</t>
        </is>
      </c>
      <c r="F226" s="8" t="inlineStr">
        <is>
          <t>A</t>
        </is>
      </c>
      <c r="G226" s="14" t="n">
        <v>31509</v>
      </c>
      <c r="H226" s="14" t="n">
        <v>0</v>
      </c>
      <c r="I226" s="14" t="n">
        <v>31509</v>
      </c>
      <c r="J226" s="14" t="n">
        <v>31509</v>
      </c>
      <c r="K226" s="21" t="n"/>
      <c r="L226" s="21" t="n">
        <v>46169</v>
      </c>
      <c r="M226" s="8" t="inlineStr"/>
      <c r="N226" s="8" t="inlineStr">
        <is>
          <t>Разработчик/поддержка бота ETM</t>
        </is>
      </c>
      <c r="O226" s="8" t="inlineStr">
        <is>
          <t>a.toktosunova</t>
        </is>
      </c>
      <c r="P226" s="12" t="inlineStr">
        <is>
          <t>Продажа есть в реестре и в 1С, но бот не перенёс её на баланс ETM — списания нет</t>
        </is>
      </c>
      <c r="Q226" s="8" t="inlineStr"/>
    </row>
    <row r="227">
      <c r="A227" s="8" t="inlineStr">
        <is>
          <t>G13007</t>
        </is>
      </c>
      <c r="B227" s="8" t="inlineStr">
        <is>
          <t>Сатар уулу Санжар</t>
        </is>
      </c>
      <c r="C227" s="8" t="inlineStr">
        <is>
          <t>2459528646</t>
        </is>
      </c>
      <c r="D227" s="8" t="inlineStr">
        <is>
          <t>Есть в реестре и 1С, нет в ETM</t>
        </is>
      </c>
      <c r="E227" s="8" t="inlineStr">
        <is>
          <t>Бот ETM</t>
        </is>
      </c>
      <c r="F227" s="8" t="inlineStr">
        <is>
          <t>A</t>
        </is>
      </c>
      <c r="G227" s="14" t="n">
        <v>31501</v>
      </c>
      <c r="H227" s="14" t="n">
        <v>0</v>
      </c>
      <c r="I227" s="14" t="n">
        <v>31501</v>
      </c>
      <c r="J227" s="14" t="n">
        <v>31501</v>
      </c>
      <c r="K227" s="21" t="n"/>
      <c r="L227" s="21" t="n">
        <v>46223</v>
      </c>
      <c r="M227" s="8" t="inlineStr"/>
      <c r="N227" s="8" t="inlineStr">
        <is>
          <t>Разработчик/поддержка бота ETM</t>
        </is>
      </c>
      <c r="O227" s="8" t="inlineStr">
        <is>
          <t>g.omurbekova</t>
        </is>
      </c>
      <c r="P227" s="12" t="inlineStr">
        <is>
          <t>Продажа есть в реестре и в 1С, но бот не перенёс её на баланс ETM — списания нет</t>
        </is>
      </c>
      <c r="Q227" s="8" t="inlineStr"/>
    </row>
    <row r="228">
      <c r="A228" s="8" t="inlineStr">
        <is>
          <t>G09838</t>
        </is>
      </c>
      <c r="B228" s="8" t="inlineStr">
        <is>
          <t>Кенешова Чолпон Таалайовна</t>
        </is>
      </c>
      <c r="C228" s="8" t="inlineStr">
        <is>
          <t>2420847275|2420847276</t>
        </is>
      </c>
      <c r="D228" s="8" t="inlineStr">
        <is>
          <t>Есть в ETM, нет в 1С</t>
        </is>
      </c>
      <c r="E228" s="8" t="inlineStr">
        <is>
          <t>1С</t>
        </is>
      </c>
      <c r="F228" s="8" t="inlineStr">
        <is>
          <t>A</t>
        </is>
      </c>
      <c r="G228" s="14" t="n">
        <v>0</v>
      </c>
      <c r="H228" s="14" t="n">
        <v>-31366.8</v>
      </c>
      <c r="I228" s="14" t="n">
        <v>31366.8008</v>
      </c>
      <c r="J228" s="14" t="n">
        <v>-31366.8</v>
      </c>
      <c r="K228" s="21" t="n">
        <v>46100.43322916667</v>
      </c>
      <c r="L228" s="21" t="n"/>
      <c r="M228" s="8" t="inlineStr"/>
      <c r="N228" s="8" t="inlineStr">
        <is>
          <t>Бухгалтер 1С</t>
        </is>
      </c>
      <c r="O228" s="8" t="inlineStr">
        <is>
          <t>n.abdyldaeva</t>
        </is>
      </c>
      <c r="P228" s="12" t="inlineStr">
        <is>
          <t>Списание есть в ETM и продажа в реестре, но в 1С нет реализации по этим билетам — счёт не выставлен</t>
        </is>
      </c>
      <c r="Q228" s="8" t="inlineStr">
        <is>
          <t>57158454,57158441</t>
        </is>
      </c>
    </row>
    <row r="229">
      <c r="A229" s="8" t="inlineStr">
        <is>
          <t>G04764</t>
        </is>
      </c>
      <c r="B229" s="8" t="inlineStr">
        <is>
          <t>Ак-Куу Авиа</t>
        </is>
      </c>
      <c r="C229" s="8" t="inlineStr">
        <is>
          <t>2416943244|2416943245|2416943247</t>
        </is>
      </c>
      <c r="D229" s="8" t="inlineStr">
        <is>
          <t>Сумма не сходится</t>
        </is>
      </c>
      <c r="E229" s="8" t="inlineStr">
        <is>
          <t>Бот ETM</t>
        </is>
      </c>
      <c r="F229" s="8" t="inlineStr">
        <is>
          <t>A</t>
        </is>
      </c>
      <c r="G229" s="14" t="n">
        <v>93170.03999999999</v>
      </c>
      <c r="H229" s="14" t="n">
        <v>-124226.72</v>
      </c>
      <c r="I229" s="14" t="n">
        <v>93170.02500000001</v>
      </c>
      <c r="J229" s="14" t="n">
        <v>-31056.68000000001</v>
      </c>
      <c r="K229" s="21" t="n">
        <v>46232.6740162037</v>
      </c>
      <c r="L229" s="21" t="n">
        <v>46232</v>
      </c>
      <c r="M229" s="8" t="inlineStr"/>
      <c r="N229" s="8" t="inlineStr">
        <is>
          <t>Разработчик/поддержка бота ETM</t>
        </is>
      </c>
      <c r="O229" s="8" t="inlineStr">
        <is>
          <t>k.dzhumaev</t>
        </is>
      </c>
      <c r="P229" s="12" t="inlineStr">
        <is>
          <t>Реестр (93,170.03) совпадает с 1С (93,170.04), а в ETM 124,226.72: бот перенёс неверную сумму</t>
        </is>
      </c>
      <c r="Q229" s="8" t="inlineStr">
        <is>
          <t>57497131,57497096,57497105,57497144</t>
        </is>
      </c>
    </row>
    <row r="230">
      <c r="A230" s="8" t="inlineStr">
        <is>
          <t>G14712</t>
        </is>
      </c>
      <c r="B230" s="8" t="inlineStr">
        <is>
          <t>ЫЙЫК ЭКСПРЕСС</t>
        </is>
      </c>
      <c r="C230" s="8" t="inlineStr">
        <is>
          <t>2416941402</t>
        </is>
      </c>
      <c r="D230" s="8" t="inlineStr">
        <is>
          <t>Есть в ETM, нет в 1С</t>
        </is>
      </c>
      <c r="E230" s="8" t="inlineStr">
        <is>
          <t>1С</t>
        </is>
      </c>
      <c r="F230" s="8" t="inlineStr">
        <is>
          <t>A</t>
        </is>
      </c>
      <c r="G230" s="14" t="n">
        <v>0</v>
      </c>
      <c r="H230" s="14" t="n">
        <v>-30785.29</v>
      </c>
      <c r="I230" s="14" t="n">
        <v>30785.29</v>
      </c>
      <c r="J230" s="14" t="n">
        <v>-30785.29</v>
      </c>
      <c r="K230" s="21" t="n">
        <v>46167.51078703703</v>
      </c>
      <c r="L230" s="21" t="n"/>
      <c r="M230" s="8" t="inlineStr"/>
      <c r="N230" s="8" t="inlineStr">
        <is>
          <t>Бухгалтер 1С</t>
        </is>
      </c>
      <c r="O230" s="8" t="inlineStr">
        <is>
          <t>n.abdyldaeva</t>
        </is>
      </c>
      <c r="P230" s="12" t="inlineStr">
        <is>
          <t>Списание есть в ETM и продажа в реестре, но в 1С нет реализации по этим билетам — счёт не выставлен</t>
        </is>
      </c>
      <c r="Q230" s="8" t="inlineStr">
        <is>
          <t>57314854</t>
        </is>
      </c>
    </row>
    <row r="231">
      <c r="A231" s="8" t="inlineStr">
        <is>
          <t>G04450</t>
        </is>
      </c>
      <c r="B231" s="8" t="inlineStr">
        <is>
          <t>Абдылда уулу Б.</t>
        </is>
      </c>
      <c r="C231" s="8" t="inlineStr">
        <is>
          <t>2552667599</t>
        </is>
      </c>
      <c r="D231" s="8" t="inlineStr">
        <is>
          <t>Есть в ETM, нет в 1С</t>
        </is>
      </c>
      <c r="E231" s="8" t="inlineStr">
        <is>
          <t>1С</t>
        </is>
      </c>
      <c r="F231" s="8" t="inlineStr">
        <is>
          <t>A</t>
        </is>
      </c>
      <c r="G231" s="14" t="n">
        <v>0</v>
      </c>
      <c r="H231" s="14" t="n">
        <v>-30762.17</v>
      </c>
      <c r="I231" s="14" t="n">
        <v>1536.990000000002</v>
      </c>
      <c r="J231" s="14" t="n">
        <v>-30762.17</v>
      </c>
      <c r="K231" s="21" t="n">
        <v>46063.54834490741</v>
      </c>
      <c r="L231" s="21" t="n"/>
      <c r="M231" s="8" t="inlineStr"/>
      <c r="N231" s="8" t="inlineStr">
        <is>
          <t>Бухгалтер 1С</t>
        </is>
      </c>
      <c r="O231" s="8" t="inlineStr">
        <is>
          <t>a.toktosunova|k.dzhumaev</t>
        </is>
      </c>
      <c r="P231" s="12" t="inlineStr">
        <is>
          <t>Списание есть в ETM и продажа в реестре, но в 1С нет реализации по этим билетам — счёт не выставлен</t>
        </is>
      </c>
      <c r="Q231" s="8" t="inlineStr">
        <is>
          <t>57082351</t>
        </is>
      </c>
    </row>
    <row r="232">
      <c r="A232" s="8" t="inlineStr">
        <is>
          <t>G06179</t>
        </is>
      </c>
      <c r="B232" s="8" t="inlineStr">
        <is>
          <t>Бейшенова Н. Ч.</t>
        </is>
      </c>
      <c r="C232" s="8" t="inlineStr">
        <is>
          <t>2420847253</t>
        </is>
      </c>
      <c r="D232" s="8" t="inlineStr">
        <is>
          <t>Есть в реестре и 1С, нет в ETM</t>
        </is>
      </c>
      <c r="E232" s="8" t="inlineStr">
        <is>
          <t>Бот ETM</t>
        </is>
      </c>
      <c r="F232" s="8" t="inlineStr">
        <is>
          <t>A</t>
        </is>
      </c>
      <c r="G232" s="14" t="n">
        <v>30594.29</v>
      </c>
      <c r="H232" s="14" t="n">
        <v>0</v>
      </c>
      <c r="I232" s="14" t="n">
        <v>30594.2938</v>
      </c>
      <c r="J232" s="14" t="n">
        <v>30594.29</v>
      </c>
      <c r="K232" s="21" t="n"/>
      <c r="L232" s="21" t="n">
        <v>46220</v>
      </c>
      <c r="M232" s="8" t="inlineStr"/>
      <c r="N232" s="8" t="inlineStr">
        <is>
          <t>Разработчик/поддержка бота ETM</t>
        </is>
      </c>
      <c r="O232" s="8" t="inlineStr">
        <is>
          <t>a.toktosunova</t>
        </is>
      </c>
      <c r="P232" s="12" t="inlineStr">
        <is>
          <t>Продажа есть в реестре и в 1С, но бот не перенёс её на баланс ETM — списания нет</t>
        </is>
      </c>
      <c r="Q232" s="8" t="inlineStr"/>
    </row>
    <row r="233">
      <c r="A233" s="8" t="inlineStr">
        <is>
          <t>G14462</t>
        </is>
      </c>
      <c r="B233" s="8" t="inlineStr">
        <is>
          <t>Чолпон Тревел</t>
        </is>
      </c>
      <c r="C233" s="8" t="inlineStr">
        <is>
          <t>2420843597</t>
        </is>
      </c>
      <c r="D233" s="8" t="inlineStr">
        <is>
          <t>Сумма не сходится</t>
        </is>
      </c>
      <c r="E233" s="8" t="inlineStr">
        <is>
          <t>1С</t>
        </is>
      </c>
      <c r="F233" s="8" t="inlineStr">
        <is>
          <t>A</t>
        </is>
      </c>
      <c r="G233" s="14" t="n">
        <v>-22835.02</v>
      </c>
      <c r="H233" s="14" t="n">
        <v>-7611.669999999998</v>
      </c>
      <c r="I233" s="14" t="n">
        <v>7611.6682</v>
      </c>
      <c r="J233" s="14" t="n">
        <v>-30446.69</v>
      </c>
      <c r="K233" s="21" t="n">
        <v>46172.47390046297</v>
      </c>
      <c r="L233" s="21" t="n">
        <v>46184</v>
      </c>
      <c r="M233" s="8" t="inlineStr"/>
      <c r="N233" s="8" t="inlineStr">
        <is>
          <t>Бухгалтер 1С</t>
        </is>
      </c>
      <c r="O233" s="8" t="inlineStr">
        <is>
          <t>b.isakov|d.mambetova</t>
        </is>
      </c>
      <c r="P233" s="12" t="inlineStr">
        <is>
          <t>Реестр (7,611.67) совпадает с ETM (7,611.67), а в 1С -22,835.02: неверная сумма в 1С</t>
        </is>
      </c>
      <c r="Q233" s="8" t="inlineStr">
        <is>
          <t>57327860,57358392</t>
        </is>
      </c>
    </row>
    <row r="234">
      <c r="A234" s="8" t="inlineStr">
        <is>
          <t>G12904</t>
        </is>
      </c>
      <c r="B234" s="8" t="inlineStr">
        <is>
          <t>Сатар уулу Санжар</t>
        </is>
      </c>
      <c r="C234" s="8" t="inlineStr">
        <is>
          <t>2416945317</t>
        </is>
      </c>
      <c r="D234" s="8" t="inlineStr">
        <is>
          <t>Сумма не сходится</t>
        </is>
      </c>
      <c r="E234" s="8" t="inlineStr">
        <is>
          <t>1С</t>
        </is>
      </c>
      <c r="F234" s="8" t="inlineStr">
        <is>
          <t>A</t>
        </is>
      </c>
      <c r="G234" s="14" t="n">
        <v>30006.82</v>
      </c>
      <c r="H234" s="14" t="n">
        <v>0</v>
      </c>
      <c r="I234" s="14" t="n">
        <v>0</v>
      </c>
      <c r="J234" s="14" t="n">
        <v>30006.82</v>
      </c>
      <c r="K234" s="21" t="n">
        <v>46156.82167824074</v>
      </c>
      <c r="L234" s="21" t="n">
        <v>46156</v>
      </c>
      <c r="M234" s="8" t="inlineStr"/>
      <c r="N234" s="8" t="inlineStr">
        <is>
          <t>Бухгалтер 1С</t>
        </is>
      </c>
      <c r="O234" s="8" t="inlineStr">
        <is>
          <t>d.mambetova|e.satarov</t>
        </is>
      </c>
      <c r="P234" s="12" t="inlineStr">
        <is>
          <t>Реестр (0.00) совпадает с ETM (-0.00), а в 1С 30,006.82: неверная сумма в 1С</t>
        </is>
      </c>
      <c r="Q234" s="8" t="inlineStr">
        <is>
          <t>57284396,57348239</t>
        </is>
      </c>
    </row>
    <row r="235">
      <c r="A235" s="8" t="inlineStr">
        <is>
          <t>G04673</t>
        </is>
      </c>
      <c r="B235" s="8" t="inlineStr">
        <is>
          <t>Абдыраманова Д. А.</t>
        </is>
      </c>
      <c r="C235" s="8" t="inlineStr">
        <is>
          <t>2459526687|2459526690|2459526692</t>
        </is>
      </c>
      <c r="D235" s="8" t="inlineStr">
        <is>
          <t>Есть в реестре и 1С, нет в ETM</t>
        </is>
      </c>
      <c r="E235" s="8" t="inlineStr">
        <is>
          <t>Бот ETM</t>
        </is>
      </c>
      <c r="F235" s="8" t="inlineStr">
        <is>
          <t>A</t>
        </is>
      </c>
      <c r="G235" s="14" t="n">
        <v>29649</v>
      </c>
      <c r="H235" s="14" t="n">
        <v>0</v>
      </c>
      <c r="I235" s="14" t="n">
        <v>29649</v>
      </c>
      <c r="J235" s="14" t="n">
        <v>29649</v>
      </c>
      <c r="K235" s="21" t="n"/>
      <c r="L235" s="21" t="n">
        <v>46034</v>
      </c>
      <c r="M235" s="8" t="inlineStr"/>
      <c r="N235" s="8" t="inlineStr">
        <is>
          <t>Разработчик/поддержка бота ETM</t>
        </is>
      </c>
      <c r="O235" s="8" t="inlineStr">
        <is>
          <t>d.mambetova</t>
        </is>
      </c>
      <c r="P235" s="12" t="inlineStr">
        <is>
          <t>Продажа есть в реестре и в 1С, но бот не перенёс её на баланс ETM — списания нет</t>
        </is>
      </c>
      <c r="Q235" s="8" t="inlineStr"/>
    </row>
    <row r="236">
      <c r="A236" s="8" t="inlineStr">
        <is>
          <t>G02558</t>
        </is>
      </c>
      <c r="B236" s="8" t="inlineStr">
        <is>
          <t>SkyWay Travel</t>
        </is>
      </c>
      <c r="C236" s="8" t="inlineStr">
        <is>
          <t>2420847585</t>
        </is>
      </c>
      <c r="D236" s="8" t="inlineStr">
        <is>
          <t>Есть в ETM, нет в 1С</t>
        </is>
      </c>
      <c r="E236" s="8" t="inlineStr">
        <is>
          <t>1С</t>
        </is>
      </c>
      <c r="F236" s="8" t="inlineStr">
        <is>
          <t>A</t>
        </is>
      </c>
      <c r="G236" s="14" t="n">
        <v>0</v>
      </c>
      <c r="H236" s="14" t="n">
        <v>-29639.45</v>
      </c>
      <c r="I236" s="14" t="n"/>
      <c r="J236" s="14" t="n">
        <v>-29639.45</v>
      </c>
      <c r="K236" s="21" t="n">
        <v>46209.74715277777</v>
      </c>
      <c r="L236" s="21" t="n"/>
      <c r="M236" s="8" t="inlineStr"/>
      <c r="N236" s="8" t="inlineStr">
        <is>
          <t>Бухгалтер 1С</t>
        </is>
      </c>
      <c r="O236" s="8" t="inlineStr"/>
      <c r="P236" s="12" t="inlineStr">
        <is>
          <t>Списание есть в ETM, но в 1С нет реализации по этим билетам — счёт не выставлен</t>
        </is>
      </c>
      <c r="Q236" s="8" t="inlineStr">
        <is>
          <t>57435223</t>
        </is>
      </c>
    </row>
    <row r="237">
      <c r="A237" s="8" t="inlineStr">
        <is>
          <t>G02559</t>
        </is>
      </c>
      <c r="B237" s="8" t="inlineStr">
        <is>
          <t>SkyWay Travel</t>
        </is>
      </c>
      <c r="C237" s="8" t="inlineStr">
        <is>
          <t>2420847586</t>
        </is>
      </c>
      <c r="D237" s="8" t="inlineStr">
        <is>
          <t>Есть в ETM, нет в 1С</t>
        </is>
      </c>
      <c r="E237" s="8" t="inlineStr">
        <is>
          <t>1С</t>
        </is>
      </c>
      <c r="F237" s="8" t="inlineStr">
        <is>
          <t>A</t>
        </is>
      </c>
      <c r="G237" s="14" t="n">
        <v>0</v>
      </c>
      <c r="H237" s="14" t="n">
        <v>-29639.45</v>
      </c>
      <c r="I237" s="14" t="n"/>
      <c r="J237" s="14" t="n">
        <v>-29639.45</v>
      </c>
      <c r="K237" s="21" t="n">
        <v>46209.59434027778</v>
      </c>
      <c r="L237" s="21" t="n"/>
      <c r="M237" s="8" t="inlineStr"/>
      <c r="N237" s="8" t="inlineStr">
        <is>
          <t>Бухгалтер 1С</t>
        </is>
      </c>
      <c r="O237" s="8" t="inlineStr"/>
      <c r="P237" s="12" t="inlineStr">
        <is>
          <t>Списание есть в ETM, но в 1С нет реализации по этим билетам — счёт не выставлен</t>
        </is>
      </c>
      <c r="Q237" s="8" t="inlineStr">
        <is>
          <t>57435258</t>
        </is>
      </c>
    </row>
    <row r="238">
      <c r="A238" s="8" t="inlineStr">
        <is>
          <t>G07073</t>
        </is>
      </c>
      <c r="B238" s="8" t="inlineStr">
        <is>
          <t>Жибек Вояж</t>
        </is>
      </c>
      <c r="C238" s="8" t="inlineStr">
        <is>
          <t>2420844665</t>
        </is>
      </c>
      <c r="D238" s="8" t="inlineStr">
        <is>
          <t>Сумма не сходится</t>
        </is>
      </c>
      <c r="E238" s="8" t="inlineStr">
        <is>
          <t>Бот ETM</t>
        </is>
      </c>
      <c r="F238" s="8" t="inlineStr">
        <is>
          <t>A</t>
        </is>
      </c>
      <c r="G238" s="14" t="n">
        <v>29390.04</v>
      </c>
      <c r="H238" s="14" t="n">
        <v>-58780.08</v>
      </c>
      <c r="I238" s="14" t="n">
        <v>29390.0358</v>
      </c>
      <c r="J238" s="14" t="n">
        <v>-29390.04</v>
      </c>
      <c r="K238" s="21" t="n">
        <v>46159.75040509259</v>
      </c>
      <c r="L238" s="21" t="n">
        <v>46159</v>
      </c>
      <c r="M238" s="8" t="inlineStr"/>
      <c r="N238" s="8" t="inlineStr">
        <is>
          <t>Разработчик/поддержка бота ETM</t>
        </is>
      </c>
      <c r="O238" s="8" t="inlineStr">
        <is>
          <t>g.omurbekova</t>
        </is>
      </c>
      <c r="P238" s="12" t="inlineStr">
        <is>
          <t>Реестр (29,390.04) совпадает с 1С (29,390.04), а в ETM 58,780.08: бот перенёс неверную сумму</t>
        </is>
      </c>
      <c r="Q238" s="8" t="inlineStr">
        <is>
          <t>57292791,57292830</t>
        </is>
      </c>
    </row>
    <row r="239">
      <c r="A239" s="8" t="inlineStr">
        <is>
          <t>G11621</t>
        </is>
      </c>
      <c r="B239" s="8" t="inlineStr">
        <is>
          <t>ОсОО Кок-Жайык Вояж</t>
        </is>
      </c>
      <c r="C239" s="8" t="inlineStr">
        <is>
          <t>2416944976</t>
        </is>
      </c>
      <c r="D239" s="8" t="inlineStr">
        <is>
          <t>Есть в ETM, нет в 1С</t>
        </is>
      </c>
      <c r="E239" s="8" t="inlineStr">
        <is>
          <t>1С</t>
        </is>
      </c>
      <c r="F239" s="8" t="inlineStr">
        <is>
          <t>A</t>
        </is>
      </c>
      <c r="G239" s="14" t="n">
        <v>0</v>
      </c>
      <c r="H239" s="14" t="n">
        <v>-29376.29</v>
      </c>
      <c r="I239" s="14" t="n">
        <v>29376.29</v>
      </c>
      <c r="J239" s="14" t="n">
        <v>-29376.29</v>
      </c>
      <c r="K239" s="21" t="n">
        <v>46086.52305555555</v>
      </c>
      <c r="L239" s="21" t="n"/>
      <c r="M239" s="8" t="inlineStr"/>
      <c r="N239" s="8" t="inlineStr">
        <is>
          <t>Бухгалтер 1С</t>
        </is>
      </c>
      <c r="O239" s="8" t="inlineStr">
        <is>
          <t>e.satarov</t>
        </is>
      </c>
      <c r="P239" s="12" t="inlineStr">
        <is>
          <t>Списание есть в ETM и продажа в реестре, но в 1С нет реализации по этим билетам — счёт не выставлен</t>
        </is>
      </c>
      <c r="Q239" s="8" t="inlineStr">
        <is>
          <t>57126113</t>
        </is>
      </c>
    </row>
    <row r="240">
      <c r="A240" s="8" t="inlineStr">
        <is>
          <t>G12841</t>
        </is>
      </c>
      <c r="B240" s="8" t="inlineStr">
        <is>
          <t>Салам Экспресс</t>
        </is>
      </c>
      <c r="C240" s="8" t="inlineStr">
        <is>
          <t>2552671810</t>
        </is>
      </c>
      <c r="D240" s="8" t="inlineStr">
        <is>
          <t>Есть в ETM, нет в 1С</t>
        </is>
      </c>
      <c r="E240" s="8" t="inlineStr">
        <is>
          <t>1С</t>
        </is>
      </c>
      <c r="F240" s="8" t="inlineStr">
        <is>
          <t>A</t>
        </is>
      </c>
      <c r="G240" s="14" t="n">
        <v>0</v>
      </c>
      <c r="H240" s="14" t="n">
        <v>-29062.21</v>
      </c>
      <c r="I240" s="14" t="n">
        <v>29062.21</v>
      </c>
      <c r="J240" s="14" t="n">
        <v>-29062.21</v>
      </c>
      <c r="K240" s="21" t="n">
        <v>46156.4297337963</v>
      </c>
      <c r="L240" s="21" t="n"/>
      <c r="M240" s="8" t="inlineStr"/>
      <c r="N240" s="8" t="inlineStr">
        <is>
          <t>Бухгалтер 1С</t>
        </is>
      </c>
      <c r="O240" s="8" t="inlineStr">
        <is>
          <t>g.omurbekova</t>
        </is>
      </c>
      <c r="P240" s="12" t="inlineStr">
        <is>
          <t>Списание есть в ETM и продажа в реестре, но в 1С нет реализации по этим билетам — счёт не выставлен</t>
        </is>
      </c>
      <c r="Q240" s="8" t="inlineStr">
        <is>
          <t>57284332</t>
        </is>
      </c>
    </row>
    <row r="241">
      <c r="A241" s="8" t="inlineStr">
        <is>
          <t>G04840</t>
        </is>
      </c>
      <c r="B241" s="8" t="inlineStr">
        <is>
          <t>Ак-Куу Авиа</t>
        </is>
      </c>
      <c r="C241" s="8" t="inlineStr">
        <is>
          <t>2420844785</t>
        </is>
      </c>
      <c r="D241" s="8" t="inlineStr">
        <is>
          <t>Есть в ETM, нет в 1С</t>
        </is>
      </c>
      <c r="E241" s="8" t="inlineStr">
        <is>
          <t>1С</t>
        </is>
      </c>
      <c r="F241" s="8" t="inlineStr">
        <is>
          <t>A</t>
        </is>
      </c>
      <c r="G241" s="14" t="n">
        <v>0</v>
      </c>
      <c r="H241" s="14" t="n">
        <v>-29009.38</v>
      </c>
      <c r="I241" s="14" t="n">
        <v>29009.3837</v>
      </c>
      <c r="J241" s="14" t="n">
        <v>-29009.38</v>
      </c>
      <c r="K241" s="21" t="n">
        <v>46102.56582175926</v>
      </c>
      <c r="L241" s="21" t="n"/>
      <c r="M241" s="8" t="inlineStr"/>
      <c r="N241" s="8" t="inlineStr">
        <is>
          <t>Бухгалтер 1С</t>
        </is>
      </c>
      <c r="O241" s="8" t="inlineStr">
        <is>
          <t>k.dzhumaev</t>
        </is>
      </c>
      <c r="P241" s="12" t="inlineStr">
        <is>
          <t>Списание есть в ETM и продажа в реестре, но в 1С нет реализации по этим билетам — счёт не выставлен</t>
        </is>
      </c>
      <c r="Q241" s="8" t="inlineStr">
        <is>
          <t>57162322</t>
        </is>
      </c>
    </row>
    <row r="242">
      <c r="A242" s="8" t="inlineStr">
        <is>
          <t>G15168</t>
        </is>
      </c>
      <c r="B242" s="8" t="inlineStr">
        <is>
          <t>Ыйык Тур</t>
        </is>
      </c>
      <c r="C242" s="8" t="inlineStr">
        <is>
          <t>2476319274|2476319276</t>
        </is>
      </c>
      <c r="D242" s="8" t="inlineStr">
        <is>
          <t>Есть в ETM, нет в 1С</t>
        </is>
      </c>
      <c r="E242" s="8" t="inlineStr">
        <is>
          <t>1С</t>
        </is>
      </c>
      <c r="F242" s="8" t="inlineStr">
        <is>
          <t>A</t>
        </is>
      </c>
      <c r="G242" s="14" t="n">
        <v>0</v>
      </c>
      <c r="H242" s="14" t="n">
        <v>-28902.12</v>
      </c>
      <c r="I242" s="14" t="n">
        <v>28902.12</v>
      </c>
      <c r="J242" s="14" t="n">
        <v>-28902.12</v>
      </c>
      <c r="K242" s="21" t="n">
        <v>46096.36269675926</v>
      </c>
      <c r="L242" s="21" t="n"/>
      <c r="M242" s="8" t="inlineStr"/>
      <c r="N242" s="8" t="inlineStr">
        <is>
          <t>Бухгалтер 1С</t>
        </is>
      </c>
      <c r="O242" s="8" t="inlineStr">
        <is>
          <t>g.omurbekova</t>
        </is>
      </c>
      <c r="P242" s="12" t="inlineStr">
        <is>
          <t>Списание есть в ETM и продажа в реестре, но в 1С нет реализации по этим билетам — счёт не выставлен</t>
        </is>
      </c>
      <c r="Q242" s="8" t="inlineStr">
        <is>
          <t>57149833,57149835</t>
        </is>
      </c>
    </row>
    <row r="243">
      <c r="A243" s="8" t="inlineStr">
        <is>
          <t>G00350</t>
        </is>
      </c>
      <c r="B243" s="8" t="inlineStr">
        <is>
          <t>Blue Bird Travel</t>
        </is>
      </c>
      <c r="C243" s="8" t="inlineStr">
        <is>
          <t>2420848254</t>
        </is>
      </c>
      <c r="D243" s="8" t="inlineStr">
        <is>
          <t>Есть в ETM, нет в 1С</t>
        </is>
      </c>
      <c r="E243" s="8" t="inlineStr">
        <is>
          <t>1С</t>
        </is>
      </c>
      <c r="F243" s="8" t="inlineStr">
        <is>
          <t>A</t>
        </is>
      </c>
      <c r="G243" s="14" t="n">
        <v>0</v>
      </c>
      <c r="H243" s="14" t="n">
        <v>-28809.28</v>
      </c>
      <c r="I243" s="14" t="n"/>
      <c r="J243" s="14" t="n">
        <v>-28809.28</v>
      </c>
      <c r="K243" s="21" t="n">
        <v>46108.48509259259</v>
      </c>
      <c r="L243" s="21" t="n"/>
      <c r="M243" s="8" t="inlineStr"/>
      <c r="N243" s="8" t="inlineStr">
        <is>
          <t>Бухгалтер 1С</t>
        </is>
      </c>
      <c r="O243" s="8" t="inlineStr"/>
      <c r="P243" s="12" t="inlineStr">
        <is>
          <t>Списание есть в ETM, но в 1С нет реализации по этим билетам — счёт не выставлен</t>
        </is>
      </c>
      <c r="Q243" s="8" t="inlineStr">
        <is>
          <t>57176446</t>
        </is>
      </c>
    </row>
    <row r="244">
      <c r="A244" s="8" t="inlineStr">
        <is>
          <t>G00351</t>
        </is>
      </c>
      <c r="B244" s="8" t="inlineStr">
        <is>
          <t>Blue Bird Travel</t>
        </is>
      </c>
      <c r="C244" s="8" t="inlineStr">
        <is>
          <t>2420848255</t>
        </is>
      </c>
      <c r="D244" s="8" t="inlineStr">
        <is>
          <t>Есть в ETM, нет в 1С</t>
        </is>
      </c>
      <c r="E244" s="8" t="inlineStr">
        <is>
          <t>1С</t>
        </is>
      </c>
      <c r="F244" s="8" t="inlineStr">
        <is>
          <t>A</t>
        </is>
      </c>
      <c r="G244" s="14" t="n">
        <v>0</v>
      </c>
      <c r="H244" s="14" t="n">
        <v>-28809.28</v>
      </c>
      <c r="I244" s="14" t="n"/>
      <c r="J244" s="14" t="n">
        <v>-28809.28</v>
      </c>
      <c r="K244" s="21" t="n">
        <v>46108.43876157407</v>
      </c>
      <c r="L244" s="21" t="n"/>
      <c r="M244" s="8" t="inlineStr"/>
      <c r="N244" s="8" t="inlineStr">
        <is>
          <t>Бухгалтер 1С</t>
        </is>
      </c>
      <c r="O244" s="8" t="inlineStr"/>
      <c r="P244" s="12" t="inlineStr">
        <is>
          <t>Списание есть в ETM, но в 1С нет реализации по этим билетам — счёт не выставлен</t>
        </is>
      </c>
      <c r="Q244" s="8" t="inlineStr">
        <is>
          <t>57176456</t>
        </is>
      </c>
    </row>
    <row r="245">
      <c r="A245" s="8" t="inlineStr">
        <is>
          <t>G00352</t>
        </is>
      </c>
      <c r="B245" s="8" t="inlineStr">
        <is>
          <t>Blue Bird Travel</t>
        </is>
      </c>
      <c r="C245" s="8" t="inlineStr">
        <is>
          <t>2420848257</t>
        </is>
      </c>
      <c r="D245" s="8" t="inlineStr">
        <is>
          <t>Есть в ETM, нет в 1С</t>
        </is>
      </c>
      <c r="E245" s="8" t="inlineStr">
        <is>
          <t>1С</t>
        </is>
      </c>
      <c r="F245" s="8" t="inlineStr">
        <is>
          <t>A</t>
        </is>
      </c>
      <c r="G245" s="14" t="n">
        <v>0</v>
      </c>
      <c r="H245" s="14" t="n">
        <v>-28809.28</v>
      </c>
      <c r="I245" s="14" t="n"/>
      <c r="J245" s="14" t="n">
        <v>-28809.28</v>
      </c>
      <c r="K245" s="21" t="n">
        <v>46108.74726851852</v>
      </c>
      <c r="L245" s="21" t="n"/>
      <c r="M245" s="8" t="inlineStr"/>
      <c r="N245" s="8" t="inlineStr">
        <is>
          <t>Бухгалтер 1С</t>
        </is>
      </c>
      <c r="O245" s="8" t="inlineStr"/>
      <c r="P245" s="12" t="inlineStr">
        <is>
          <t>Списание есть в ETM, но в 1С нет реализации по этим билетам — счёт не выставлен</t>
        </is>
      </c>
      <c r="Q245" s="8" t="inlineStr">
        <is>
          <t>57176486</t>
        </is>
      </c>
    </row>
    <row r="246">
      <c r="A246" s="8" t="inlineStr">
        <is>
          <t>G00353</t>
        </is>
      </c>
      <c r="B246" s="8" t="inlineStr">
        <is>
          <t>Blue Bird Travel</t>
        </is>
      </c>
      <c r="C246" s="8" t="inlineStr">
        <is>
          <t>2420848260</t>
        </is>
      </c>
      <c r="D246" s="8" t="inlineStr">
        <is>
          <t>Есть в ETM, нет в 1С</t>
        </is>
      </c>
      <c r="E246" s="8" t="inlineStr">
        <is>
          <t>1С</t>
        </is>
      </c>
      <c r="F246" s="8" t="inlineStr">
        <is>
          <t>A</t>
        </is>
      </c>
      <c r="G246" s="14" t="n">
        <v>0</v>
      </c>
      <c r="H246" s="14" t="n">
        <v>-28809.28</v>
      </c>
      <c r="I246" s="14" t="n"/>
      <c r="J246" s="14" t="n">
        <v>-28809.28</v>
      </c>
      <c r="K246" s="21" t="n">
        <v>46108.45679398148</v>
      </c>
      <c r="L246" s="21" t="n"/>
      <c r="M246" s="8" t="inlineStr"/>
      <c r="N246" s="8" t="inlineStr">
        <is>
          <t>Бухгалтер 1С</t>
        </is>
      </c>
      <c r="O246" s="8" t="inlineStr"/>
      <c r="P246" s="12" t="inlineStr">
        <is>
          <t>Списание есть в ETM, но в 1С нет реализации по этим билетам — счёт не выставлен</t>
        </is>
      </c>
      <c r="Q246" s="8" t="inlineStr">
        <is>
          <t>57176496</t>
        </is>
      </c>
    </row>
    <row r="247">
      <c r="A247" s="8" t="inlineStr">
        <is>
          <t>G12408</t>
        </is>
      </c>
      <c r="B247" s="8" t="inlineStr">
        <is>
          <t>САЛАМ ЭЙР</t>
        </is>
      </c>
      <c r="C247" s="8" t="inlineStr">
        <is>
          <t>2559100093</t>
        </is>
      </c>
      <c r="D247" s="8" t="inlineStr">
        <is>
          <t>Двойное списание в ETM</t>
        </is>
      </c>
      <c r="E247" s="8" t="inlineStr">
        <is>
          <t>Бот ETM</t>
        </is>
      </c>
      <c r="F247" s="8" t="inlineStr">
        <is>
          <t>A</t>
        </is>
      </c>
      <c r="G247" s="14" t="n">
        <v>28804.5</v>
      </c>
      <c r="H247" s="14" t="n">
        <v>-57609</v>
      </c>
      <c r="I247" s="14" t="n">
        <v>28804.5</v>
      </c>
      <c r="J247" s="14" t="n">
        <v>-28804.5</v>
      </c>
      <c r="K247" s="21" t="n">
        <v>46094.39055555555</v>
      </c>
      <c r="L247" s="21" t="n">
        <v>46094</v>
      </c>
      <c r="M247" s="8" t="inlineStr"/>
      <c r="N247" s="8" t="inlineStr">
        <is>
          <t>Разработчик/поддержка бота ETM</t>
        </is>
      </c>
      <c r="O247" s="8" t="inlineStr">
        <is>
          <t>n.abdyldaeva</t>
        </is>
      </c>
      <c r="P247" s="12" t="inlineStr">
        <is>
          <t>В ETM 1 лишн. списание(й) одного билета на 28,804.50; без дубля сумма совпадает с 1С</t>
        </is>
      </c>
      <c r="Q247" s="8" t="inlineStr">
        <is>
          <t>57144960,57144959</t>
        </is>
      </c>
    </row>
    <row r="248">
      <c r="A248" s="8" t="inlineStr">
        <is>
          <t>G13132</t>
        </is>
      </c>
      <c r="B248" s="8" t="inlineStr">
        <is>
          <t>Сатар уулу Санжар</t>
        </is>
      </c>
      <c r="C248" s="8" t="inlineStr">
        <is>
          <t>2461881447</t>
        </is>
      </c>
      <c r="D248" s="8" t="inlineStr">
        <is>
          <t>Сумма не сходится</t>
        </is>
      </c>
      <c r="E248" s="8" t="inlineStr">
        <is>
          <t>1С</t>
        </is>
      </c>
      <c r="F248" s="8" t="inlineStr">
        <is>
          <t>A</t>
        </is>
      </c>
      <c r="G248" s="14" t="n">
        <v>31784</v>
      </c>
      <c r="H248" s="14" t="n">
        <v>-3178.400000000001</v>
      </c>
      <c r="I248" s="14" t="n">
        <v>3178.400000000001</v>
      </c>
      <c r="J248" s="14" t="n">
        <v>28605.6</v>
      </c>
      <c r="K248" s="21" t="n">
        <v>46165.41333333333</v>
      </c>
      <c r="L248" s="21" t="n">
        <v>46165</v>
      </c>
      <c r="M248" s="8" t="inlineStr"/>
      <c r="N248" s="8" t="inlineStr">
        <is>
          <t>Бухгалтер 1С</t>
        </is>
      </c>
      <c r="O248" s="8" t="inlineStr">
        <is>
          <t>g.omurbekova|n.abdyldaeva</t>
        </is>
      </c>
      <c r="P248" s="12" t="inlineStr">
        <is>
          <t>Реестр (3,178.40) совпадает с ETM (3,178.40), а в 1С 31,784.00: неверная сумма в 1С</t>
        </is>
      </c>
      <c r="Q248" s="8" t="inlineStr">
        <is>
          <t>57309754,57340001</t>
        </is>
      </c>
    </row>
    <row r="249">
      <c r="A249" s="8" t="inlineStr">
        <is>
          <t>G14290</t>
        </is>
      </c>
      <c r="B249" s="8" t="inlineStr">
        <is>
          <t>ЧОЛПОН ТУР</t>
        </is>
      </c>
      <c r="C249" s="8" t="inlineStr">
        <is>
          <t>2460736399</t>
        </is>
      </c>
      <c r="D249" s="8" t="inlineStr">
        <is>
          <t>Сумма не сходится</t>
        </is>
      </c>
      <c r="E249" s="8" t="inlineStr">
        <is>
          <t>1С</t>
        </is>
      </c>
      <c r="F249" s="8" t="inlineStr">
        <is>
          <t>A</t>
        </is>
      </c>
      <c r="G249" s="14" t="n">
        <v>33458</v>
      </c>
      <c r="H249" s="14" t="n">
        <v>-5018.700000000001</v>
      </c>
      <c r="I249" s="14" t="n">
        <v>5018.700000000001</v>
      </c>
      <c r="J249" s="14" t="n">
        <v>28439.3</v>
      </c>
      <c r="K249" s="21" t="n">
        <v>46055.81596064815</v>
      </c>
      <c r="L249" s="21" t="n">
        <v>46055</v>
      </c>
      <c r="M249" s="8" t="inlineStr"/>
      <c r="N249" s="8" t="inlineStr">
        <is>
          <t>Бухгалтер 1С</t>
        </is>
      </c>
      <c r="O249" s="8" t="inlineStr">
        <is>
          <t>a.toktosunova|d.mambetova</t>
        </is>
      </c>
      <c r="P249" s="12" t="inlineStr">
        <is>
          <t>Реестр (5,018.70) совпадает с ETM (5,018.70), а в 1С 33,458.00: неверная сумма в 1С</t>
        </is>
      </c>
      <c r="Q249" s="8" t="inlineStr">
        <is>
          <t>57069274,57131345</t>
        </is>
      </c>
    </row>
    <row r="250">
      <c r="A250" s="8" t="inlineStr">
        <is>
          <t>G06900</t>
        </is>
      </c>
      <c r="B250" s="8" t="inlineStr">
        <is>
          <t>Жибек Авиакасса</t>
        </is>
      </c>
      <c r="C250" s="8" t="inlineStr">
        <is>
          <t>2420846955</t>
        </is>
      </c>
      <c r="D250" s="8" t="inlineStr">
        <is>
          <t>Двойное списание в ETM</t>
        </is>
      </c>
      <c r="E250" s="8" t="inlineStr">
        <is>
          <t>Бот ETM</t>
        </is>
      </c>
      <c r="F250" s="8" t="inlineStr">
        <is>
          <t>A</t>
        </is>
      </c>
      <c r="G250" s="14" t="n">
        <v>28430.06</v>
      </c>
      <c r="H250" s="14" t="n">
        <v>-56860.12</v>
      </c>
      <c r="I250" s="14" t="n">
        <v>28430.064</v>
      </c>
      <c r="J250" s="14" t="n">
        <v>-28430.06</v>
      </c>
      <c r="K250" s="21" t="n">
        <v>46106.49216435185</v>
      </c>
      <c r="L250" s="21" t="n">
        <v>46106</v>
      </c>
      <c r="M250" s="8" t="inlineStr"/>
      <c r="N250" s="8" t="inlineStr">
        <is>
          <t>Разработчик/поддержка бота ETM</t>
        </is>
      </c>
      <c r="O250" s="8" t="inlineStr">
        <is>
          <t>a.toktosunova</t>
        </is>
      </c>
      <c r="P250" s="12" t="inlineStr">
        <is>
          <t>В ETM 1 лишн. списание(й) одного билета на 28,430.06; без дубля сумма совпадает с 1С</t>
        </is>
      </c>
      <c r="Q250" s="8" t="inlineStr">
        <is>
          <t>57171149,57171158</t>
        </is>
      </c>
    </row>
    <row r="251">
      <c r="A251" s="8" t="inlineStr">
        <is>
          <t>G02054</t>
        </is>
      </c>
      <c r="B251" s="8" t="inlineStr">
        <is>
          <t>Kumtor Tours</t>
        </is>
      </c>
      <c r="C251" s="8" t="inlineStr">
        <is>
          <t>2552672487</t>
        </is>
      </c>
      <c r="D251" s="8" t="inlineStr">
        <is>
          <t>Двойное списание в ETM</t>
        </is>
      </c>
      <c r="E251" s="8" t="inlineStr">
        <is>
          <t>Бот ETM</t>
        </is>
      </c>
      <c r="F251" s="8" t="inlineStr">
        <is>
          <t>A</t>
        </is>
      </c>
      <c r="G251" s="14" t="n">
        <v>28223.8</v>
      </c>
      <c r="H251" s="14" t="n">
        <v>-56447.6</v>
      </c>
      <c r="I251" s="14" t="n">
        <v>28223.8</v>
      </c>
      <c r="J251" s="14" t="n">
        <v>-28223.8</v>
      </c>
      <c r="K251" s="21" t="n">
        <v>46042.70563657407</v>
      </c>
      <c r="L251" s="21" t="n">
        <v>46042</v>
      </c>
      <c r="M251" s="8" t="inlineStr"/>
      <c r="N251" s="8" t="inlineStr">
        <is>
          <t>Разработчик/поддержка бота ETM</t>
        </is>
      </c>
      <c r="O251" s="8" t="inlineStr">
        <is>
          <t>d.mambetova</t>
        </is>
      </c>
      <c r="P251" s="12" t="inlineStr">
        <is>
          <t>В ETM 1 лишн. списание(й) одного билета на 28,223.80; без дубля сумма совпадает с 1С</t>
        </is>
      </c>
      <c r="Q251" s="8" t="inlineStr">
        <is>
          <t>57041706,57041730</t>
        </is>
      </c>
    </row>
    <row r="252">
      <c r="A252" s="8" t="inlineStr">
        <is>
          <t>G14989</t>
        </is>
      </c>
      <c r="B252" s="8" t="inlineStr">
        <is>
          <t>Ыйык Тур</t>
        </is>
      </c>
      <c r="C252" s="8" t="inlineStr">
        <is>
          <t>2420847771</t>
        </is>
      </c>
      <c r="D252" s="8" t="inlineStr">
        <is>
          <t>Есть в ETM, нет в 1С</t>
        </is>
      </c>
      <c r="E252" s="8" t="inlineStr">
        <is>
          <t>1С</t>
        </is>
      </c>
      <c r="F252" s="8" t="inlineStr">
        <is>
          <t>A</t>
        </is>
      </c>
      <c r="G252" s="14" t="n">
        <v>0</v>
      </c>
      <c r="H252" s="14" t="n">
        <v>-28060.13</v>
      </c>
      <c r="I252" s="14" t="n"/>
      <c r="J252" s="14" t="n">
        <v>-28060.13</v>
      </c>
      <c r="K252" s="21" t="n">
        <v>46102.37929398148</v>
      </c>
      <c r="L252" s="21" t="n"/>
      <c r="M252" s="8" t="inlineStr"/>
      <c r="N252" s="8" t="inlineStr">
        <is>
          <t>Бухгалтер 1С</t>
        </is>
      </c>
      <c r="O252" s="8" t="inlineStr"/>
      <c r="P252" s="12" t="inlineStr">
        <is>
          <t>Списание есть в ETM, но в 1С нет реализации по этим билетам — счёт не выставлен</t>
        </is>
      </c>
      <c r="Q252" s="8" t="inlineStr">
        <is>
          <t>57162894</t>
        </is>
      </c>
    </row>
    <row r="253">
      <c r="A253" s="8" t="inlineStr">
        <is>
          <t>G06865</t>
        </is>
      </c>
      <c r="B253" s="8" t="inlineStr">
        <is>
          <t>Жибек Авиакасса</t>
        </is>
      </c>
      <c r="C253" s="8" t="inlineStr">
        <is>
          <t>2416942781</t>
        </is>
      </c>
      <c r="D253" s="8" t="inlineStr">
        <is>
          <t>Есть в реестре и 1С, нет в ETM</t>
        </is>
      </c>
      <c r="E253" s="8" t="inlineStr">
        <is>
          <t>Бот ETM</t>
        </is>
      </c>
      <c r="F253" s="8" t="inlineStr">
        <is>
          <t>A</t>
        </is>
      </c>
      <c r="G253" s="14" t="n">
        <v>27980.22</v>
      </c>
      <c r="H253" s="14" t="n">
        <v>0</v>
      </c>
      <c r="I253" s="14" t="n">
        <v>27980.225</v>
      </c>
      <c r="J253" s="14" t="n">
        <v>27980.22</v>
      </c>
      <c r="K253" s="21" t="n"/>
      <c r="L253" s="21" t="n">
        <v>46164</v>
      </c>
      <c r="M253" s="8" t="inlineStr"/>
      <c r="N253" s="8" t="inlineStr">
        <is>
          <t>Разработчик/поддержка бота ETM</t>
        </is>
      </c>
      <c r="O253" s="8" t="inlineStr">
        <is>
          <t>e.satarov</t>
        </is>
      </c>
      <c r="P253" s="12" t="inlineStr">
        <is>
          <t>Продажа есть в реестре и в 1С, но бот не перенёс её на баланс ETM — списания нет</t>
        </is>
      </c>
      <c r="Q253" s="8" t="inlineStr"/>
    </row>
    <row r="254">
      <c r="A254" s="8" t="inlineStr">
        <is>
          <t>G14520</t>
        </is>
      </c>
      <c r="B254" s="8" t="inlineStr">
        <is>
          <t>Чынар уулу Эмир</t>
        </is>
      </c>
      <c r="C254" s="8" t="inlineStr">
        <is>
          <t>2420846698</t>
        </is>
      </c>
      <c r="D254" s="8" t="inlineStr">
        <is>
          <t>Сумма не сходится</t>
        </is>
      </c>
      <c r="E254" s="8" t="inlineStr">
        <is>
          <t>1С</t>
        </is>
      </c>
      <c r="F254" s="8" t="inlineStr">
        <is>
          <t>A</t>
        </is>
      </c>
      <c r="G254" s="14" t="n">
        <v>-25057.7</v>
      </c>
      <c r="H254" s="14" t="n">
        <v>-2784.189999999999</v>
      </c>
      <c r="I254" s="14" t="n">
        <v>2784.1914</v>
      </c>
      <c r="J254" s="14" t="n">
        <v>-27841.89</v>
      </c>
      <c r="K254" s="21" t="n">
        <v>46096.38988425926</v>
      </c>
      <c r="L254" s="21" t="n">
        <v>46121</v>
      </c>
      <c r="M254" s="8" t="inlineStr"/>
      <c r="N254" s="8" t="inlineStr">
        <is>
          <t>Бухгалтер 1С</t>
        </is>
      </c>
      <c r="O254" s="8" t="inlineStr">
        <is>
          <t>b.isakov|e.satarov</t>
        </is>
      </c>
      <c r="P254" s="12" t="inlineStr">
        <is>
          <t>Реестр (2,784.19) совпадает с ETM (2,784.19), а в 1С -25,057.70: неверная сумма в 1С</t>
        </is>
      </c>
      <c r="Q254" s="8" t="inlineStr">
        <is>
          <t>57149405,57197974</t>
        </is>
      </c>
    </row>
    <row r="255">
      <c r="A255" s="8" t="inlineStr">
        <is>
          <t>G13139</t>
        </is>
      </c>
      <c r="B255" s="8" t="inlineStr">
        <is>
          <t>Сатар уулу Санжар</t>
        </is>
      </c>
      <c r="C255" s="8" t="inlineStr">
        <is>
          <t>2461882472</t>
        </is>
      </c>
      <c r="D255" s="8" t="inlineStr">
        <is>
          <t>Сумма не сходится</t>
        </is>
      </c>
      <c r="E255" s="8" t="inlineStr">
        <is>
          <t>1С</t>
        </is>
      </c>
      <c r="F255" s="8" t="inlineStr">
        <is>
          <t>A</t>
        </is>
      </c>
      <c r="G255" s="14" t="n">
        <v>32626</v>
      </c>
      <c r="H255" s="14" t="n">
        <v>-4893.900000000001</v>
      </c>
      <c r="I255" s="14" t="n">
        <v>4893.900000000001</v>
      </c>
      <c r="J255" s="14" t="n">
        <v>27732.1</v>
      </c>
      <c r="K255" s="21" t="n">
        <v>46147.79614583333</v>
      </c>
      <c r="L255" s="21" t="n">
        <v>46147</v>
      </c>
      <c r="M255" s="8" t="inlineStr"/>
      <c r="N255" s="8" t="inlineStr">
        <is>
          <t>Бухгалтер 1С</t>
        </is>
      </c>
      <c r="O255" s="8" t="inlineStr">
        <is>
          <t>a.toktosunova|r.sydykov</t>
        </is>
      </c>
      <c r="P255" s="12" t="inlineStr">
        <is>
          <t>Реестр (4,893.90) совпадает с ETM (4,893.90), а в 1С 32,626.00: неверная сумма в 1С</t>
        </is>
      </c>
      <c r="Q255" s="8" t="inlineStr">
        <is>
          <t>57254282,57380035</t>
        </is>
      </c>
    </row>
    <row r="256">
      <c r="A256" s="8" t="inlineStr">
        <is>
          <t>G06750</t>
        </is>
      </c>
      <c r="B256" s="8" t="inlineStr">
        <is>
          <t>Джолдошова Салтанат Сатаревна</t>
        </is>
      </c>
      <c r="C256" s="8" t="inlineStr">
        <is>
          <t>2476319313</t>
        </is>
      </c>
      <c r="D256" s="8" t="inlineStr">
        <is>
          <t>Есть в ETM, нет в 1С</t>
        </is>
      </c>
      <c r="E256" s="8" t="inlineStr">
        <is>
          <t>1С</t>
        </is>
      </c>
      <c r="F256" s="8" t="inlineStr">
        <is>
          <t>A</t>
        </is>
      </c>
      <c r="G256" s="14" t="n">
        <v>0</v>
      </c>
      <c r="H256" s="14" t="n">
        <v>-27707.09</v>
      </c>
      <c r="I256" s="14" t="n"/>
      <c r="J256" s="14" t="n">
        <v>-27707.09</v>
      </c>
      <c r="K256" s="21" t="n">
        <v>46032.40061342593</v>
      </c>
      <c r="L256" s="21" t="n"/>
      <c r="M256" s="8" t="inlineStr"/>
      <c r="N256" s="8" t="inlineStr">
        <is>
          <t>Бухгалтер 1С</t>
        </is>
      </c>
      <c r="O256" s="8" t="inlineStr"/>
      <c r="P256" s="12" t="inlineStr">
        <is>
          <t>Списание есть в ETM, но в 1С нет реализации по этим билетам — счёт не выставлен</t>
        </is>
      </c>
      <c r="Q256" s="8" t="inlineStr">
        <is>
          <t>57018822</t>
        </is>
      </c>
    </row>
    <row r="257">
      <c r="A257" s="8" t="inlineStr">
        <is>
          <t>G06751</t>
        </is>
      </c>
      <c r="B257" s="8" t="inlineStr">
        <is>
          <t>Джолдошова Салтанат Сатаревна</t>
        </is>
      </c>
      <c r="C257" s="8" t="inlineStr">
        <is>
          <t>2476319316</t>
        </is>
      </c>
      <c r="D257" s="8" t="inlineStr">
        <is>
          <t>Есть в ETM, нет в 1С</t>
        </is>
      </c>
      <c r="E257" s="8" t="inlineStr">
        <is>
          <t>1С</t>
        </is>
      </c>
      <c r="F257" s="8" t="inlineStr">
        <is>
          <t>A</t>
        </is>
      </c>
      <c r="G257" s="14" t="n">
        <v>0</v>
      </c>
      <c r="H257" s="14" t="n">
        <v>-27707.09</v>
      </c>
      <c r="I257" s="14" t="n"/>
      <c r="J257" s="14" t="n">
        <v>-27707.09</v>
      </c>
      <c r="K257" s="21" t="n">
        <v>46032.64503472222</v>
      </c>
      <c r="L257" s="21" t="n"/>
      <c r="M257" s="8" t="inlineStr"/>
      <c r="N257" s="8" t="inlineStr">
        <is>
          <t>Бухгалтер 1С</t>
        </is>
      </c>
      <c r="O257" s="8" t="inlineStr"/>
      <c r="P257" s="12" t="inlineStr">
        <is>
          <t>Списание есть в ETM, но в 1С нет реализации по этим билетам — счёт не выставлен</t>
        </is>
      </c>
      <c r="Q257" s="8" t="inlineStr">
        <is>
          <t>57018843</t>
        </is>
      </c>
    </row>
    <row r="258">
      <c r="A258" s="8" t="inlineStr">
        <is>
          <t>G06752</t>
        </is>
      </c>
      <c r="B258" s="8" t="inlineStr">
        <is>
          <t>Джолдошова Салтанат Сатаревна</t>
        </is>
      </c>
      <c r="C258" s="8" t="inlineStr">
        <is>
          <t>2476319319</t>
        </is>
      </c>
      <c r="D258" s="8" t="inlineStr">
        <is>
          <t>Есть в ETM, нет в 1С</t>
        </is>
      </c>
      <c r="E258" s="8" t="inlineStr">
        <is>
          <t>1С</t>
        </is>
      </c>
      <c r="F258" s="8" t="inlineStr">
        <is>
          <t>A</t>
        </is>
      </c>
      <c r="G258" s="14" t="n">
        <v>0</v>
      </c>
      <c r="H258" s="14" t="n">
        <v>-27707.09</v>
      </c>
      <c r="I258" s="14" t="n"/>
      <c r="J258" s="14" t="n">
        <v>-27707.09</v>
      </c>
      <c r="K258" s="21" t="n">
        <v>46032.57511574074</v>
      </c>
      <c r="L258" s="21" t="n"/>
      <c r="M258" s="8" t="inlineStr"/>
      <c r="N258" s="8" t="inlineStr">
        <is>
          <t>Бухгалтер 1С</t>
        </is>
      </c>
      <c r="O258" s="8" t="inlineStr"/>
      <c r="P258" s="12" t="inlineStr">
        <is>
          <t>Списание есть в ETM, но в 1С нет реализации по этим билетам — счёт не выставлен</t>
        </is>
      </c>
      <c r="Q258" s="8" t="inlineStr">
        <is>
          <t>57018862</t>
        </is>
      </c>
    </row>
    <row r="259">
      <c r="A259" s="8" t="inlineStr">
        <is>
          <t>G11587</t>
        </is>
      </c>
      <c r="B259" s="8" t="inlineStr">
        <is>
          <t>ОсОО Кара-Кол Трип</t>
        </is>
      </c>
      <c r="C259" s="8" t="inlineStr">
        <is>
          <t>2552671073</t>
        </is>
      </c>
      <c r="D259" s="8" t="inlineStr">
        <is>
          <t>Есть в ETM, нет в 1С</t>
        </is>
      </c>
      <c r="E259" s="8" t="inlineStr">
        <is>
          <t>1С</t>
        </is>
      </c>
      <c r="F259" s="8" t="inlineStr">
        <is>
          <t>A</t>
        </is>
      </c>
      <c r="G259" s="14" t="n">
        <v>0</v>
      </c>
      <c r="H259" s="14" t="n">
        <v>-27643.36</v>
      </c>
      <c r="I259" s="14" t="n">
        <v>27643.36</v>
      </c>
      <c r="J259" s="14" t="n">
        <v>-27643.36</v>
      </c>
      <c r="K259" s="21" t="n">
        <v>46211.80976851852</v>
      </c>
      <c r="L259" s="21" t="n"/>
      <c r="M259" s="8" t="inlineStr"/>
      <c r="N259" s="8" t="inlineStr">
        <is>
          <t>Бухгалтер 1С</t>
        </is>
      </c>
      <c r="O259" s="8" t="inlineStr">
        <is>
          <t>d.mambetova</t>
        </is>
      </c>
      <c r="P259" s="12" t="inlineStr">
        <is>
          <t>Списание есть в ETM и продажа в реестре, но в 1С нет реализации по этим билетам — счёт не выставлен</t>
        </is>
      </c>
      <c r="Q259" s="8" t="inlineStr">
        <is>
          <t>57440782</t>
        </is>
      </c>
    </row>
    <row r="260">
      <c r="A260" s="8" t="inlineStr">
        <is>
          <t>G02075</t>
        </is>
      </c>
      <c r="B260" s="8" t="inlineStr">
        <is>
          <t>Nomad Trip</t>
        </is>
      </c>
      <c r="C260" s="8" t="inlineStr">
        <is>
          <t>2420843950</t>
        </is>
      </c>
      <c r="D260" s="8" t="inlineStr">
        <is>
          <t>Есть в ETM, нет в 1С</t>
        </is>
      </c>
      <c r="E260" s="8" t="inlineStr">
        <is>
          <t>1С</t>
        </is>
      </c>
      <c r="F260" s="8" t="inlineStr">
        <is>
          <t>A</t>
        </is>
      </c>
      <c r="G260" s="14" t="n">
        <v>0</v>
      </c>
      <c r="H260" s="14" t="n">
        <v>-27613.95</v>
      </c>
      <c r="I260" s="14" t="n">
        <v>-175.1749999999956</v>
      </c>
      <c r="J260" s="14" t="n">
        <v>-27613.95</v>
      </c>
      <c r="K260" s="21" t="n">
        <v>46132.45876157407</v>
      </c>
      <c r="L260" s="21" t="n"/>
      <c r="M260" s="8" t="inlineStr"/>
      <c r="N260" s="8" t="inlineStr">
        <is>
          <t>Бухгалтер 1С</t>
        </is>
      </c>
      <c r="O260" s="8" t="inlineStr">
        <is>
          <t>e.satarov|n.abdyldaeva</t>
        </is>
      </c>
      <c r="P260" s="12" t="inlineStr">
        <is>
          <t>Списание есть в ETM и продажа в реестре, но в 1С нет реализации по этим билетам — счёт не выставлен</t>
        </is>
      </c>
      <c r="Q260" s="8" t="inlineStr">
        <is>
          <t>57217150</t>
        </is>
      </c>
    </row>
    <row r="261">
      <c r="A261" s="8" t="inlineStr">
        <is>
          <t>G13908</t>
        </is>
      </c>
      <c r="B261" s="8" t="inlineStr">
        <is>
          <t>ТЯНЬ-ШАНЬ ЭКСПРЕСС</t>
        </is>
      </c>
      <c r="C261" s="8" t="inlineStr">
        <is>
          <t>2420847759</t>
        </is>
      </c>
      <c r="D261" s="8" t="inlineStr">
        <is>
          <t>Двойное списание в ETM</t>
        </is>
      </c>
      <c r="E261" s="8" t="inlineStr">
        <is>
          <t>Бот ETM</t>
        </is>
      </c>
      <c r="F261" s="8" t="inlineStr">
        <is>
          <t>A</t>
        </is>
      </c>
      <c r="G261" s="14" t="n">
        <v>13751.94</v>
      </c>
      <c r="H261" s="14" t="n">
        <v>-41255.81</v>
      </c>
      <c r="I261" s="14" t="n">
        <v>13751.9365</v>
      </c>
      <c r="J261" s="14" t="n">
        <v>-27503.87</v>
      </c>
      <c r="K261" s="21" t="n">
        <v>46110.40548611111</v>
      </c>
      <c r="L261" s="21" t="n">
        <v>46110</v>
      </c>
      <c r="M261" s="8" t="inlineStr"/>
      <c r="N261" s="8" t="inlineStr">
        <is>
          <t>Разработчик/поддержка бота ETM</t>
        </is>
      </c>
      <c r="O261" s="8" t="inlineStr">
        <is>
          <t>d.mambetova|k.dzhumaev</t>
        </is>
      </c>
      <c r="P261" s="12" t="inlineStr">
        <is>
          <t>В ETM 1 лишн. списание(й) одного билета на 27,503.87; без дубля сумма совпадает с 1С</t>
        </is>
      </c>
      <c r="Q261" s="8" t="inlineStr">
        <is>
          <t>57179346,57179370,57278393</t>
        </is>
      </c>
    </row>
    <row r="262">
      <c r="A262" s="8" t="inlineStr">
        <is>
          <t>G08001</t>
        </is>
      </c>
      <c r="B262" s="8" t="inlineStr">
        <is>
          <t>ИП Бейшенова Д. О.</t>
        </is>
      </c>
      <c r="C262" s="8" t="inlineStr">
        <is>
          <t>2476319596</t>
        </is>
      </c>
      <c r="D262" s="8" t="inlineStr">
        <is>
          <t>Есть в ETM, нет в 1С</t>
        </is>
      </c>
      <c r="E262" s="8" t="inlineStr">
        <is>
          <t>1С</t>
        </is>
      </c>
      <c r="F262" s="8" t="inlineStr">
        <is>
          <t>A</t>
        </is>
      </c>
      <c r="G262" s="14" t="n">
        <v>0</v>
      </c>
      <c r="H262" s="14" t="n">
        <v>-27482.54</v>
      </c>
      <c r="I262" s="14" t="n">
        <v>27482.54</v>
      </c>
      <c r="J262" s="14" t="n">
        <v>-27482.54</v>
      </c>
      <c r="K262" s="21" t="n">
        <v>46106.53719907408</v>
      </c>
      <c r="L262" s="21" t="n"/>
      <c r="M262" s="8" t="inlineStr"/>
      <c r="N262" s="8" t="inlineStr">
        <is>
          <t>Бухгалтер 1С</t>
        </is>
      </c>
      <c r="O262" s="8" t="inlineStr">
        <is>
          <t>g.omurbekova</t>
        </is>
      </c>
      <c r="P262" s="12" t="inlineStr">
        <is>
          <t>Списание есть в ETM и продажа в реестре, но в 1С нет реализации по этим билетам — счёт не выставлен</t>
        </is>
      </c>
      <c r="Q262" s="8" t="inlineStr">
        <is>
          <t>57171439</t>
        </is>
      </c>
    </row>
    <row r="263">
      <c r="A263" s="8" t="inlineStr">
        <is>
          <t>G10464</t>
        </is>
      </c>
      <c r="B263" s="8" t="inlineStr">
        <is>
          <t>Манас Тревел</t>
        </is>
      </c>
      <c r="C263" s="8" t="inlineStr">
        <is>
          <t>2559099998</t>
        </is>
      </c>
      <c r="D263" s="8" t="inlineStr">
        <is>
          <t>Есть в ETM, нет в 1С</t>
        </is>
      </c>
      <c r="E263" s="8" t="inlineStr">
        <is>
          <t>1С</t>
        </is>
      </c>
      <c r="F263" s="8" t="inlineStr">
        <is>
          <t>A</t>
        </is>
      </c>
      <c r="G263" s="14" t="n">
        <v>0</v>
      </c>
      <c r="H263" s="14" t="n">
        <v>-27481.28</v>
      </c>
      <c r="I263" s="14" t="n">
        <v>27481.28</v>
      </c>
      <c r="J263" s="14" t="n">
        <v>-27481.28</v>
      </c>
      <c r="K263" s="21" t="n">
        <v>46150.6293287037</v>
      </c>
      <c r="L263" s="21" t="n"/>
      <c r="M263" s="8" t="inlineStr"/>
      <c r="N263" s="8" t="inlineStr">
        <is>
          <t>Бухгалтер 1С</t>
        </is>
      </c>
      <c r="O263" s="8" t="inlineStr">
        <is>
          <t>e.satarov</t>
        </is>
      </c>
      <c r="P263" s="12" t="inlineStr">
        <is>
          <t>Списание есть в ETM и продажа в реестре, но в 1С нет реализации по этим билетам — счёт не выставлен</t>
        </is>
      </c>
      <c r="Q263" s="8" t="inlineStr">
        <is>
          <t>57264252</t>
        </is>
      </c>
    </row>
    <row r="264">
      <c r="A264" s="8" t="inlineStr">
        <is>
          <t>G06788</t>
        </is>
      </c>
      <c r="B264" s="8" t="inlineStr">
        <is>
          <t>Джолдошова Салтанат Сатаревна</t>
        </is>
      </c>
      <c r="C264" s="8" t="inlineStr">
        <is>
          <t>2552670857</t>
        </is>
      </c>
      <c r="D264" s="8" t="inlineStr">
        <is>
          <t>Есть в ETM, нет в 1С</t>
        </is>
      </c>
      <c r="E264" s="8" t="inlineStr">
        <is>
          <t>1С</t>
        </is>
      </c>
      <c r="F264" s="8" t="inlineStr">
        <is>
          <t>A</t>
        </is>
      </c>
      <c r="G264" s="14" t="n">
        <v>0</v>
      </c>
      <c r="H264" s="14" t="n">
        <v>-27333.61</v>
      </c>
      <c r="I264" s="14" t="n"/>
      <c r="J264" s="14" t="n">
        <v>-27333.61</v>
      </c>
      <c r="K264" s="21" t="n">
        <v>46092.60552083333</v>
      </c>
      <c r="L264" s="21" t="n"/>
      <c r="M264" s="8" t="inlineStr"/>
      <c r="N264" s="8" t="inlineStr">
        <is>
          <t>Бухгалтер 1С</t>
        </is>
      </c>
      <c r="O264" s="8" t="inlineStr"/>
      <c r="P264" s="12" t="inlineStr">
        <is>
          <t>Списание есть в ETM, но в 1С нет реализации по этим билетам — счёт не выставлен</t>
        </is>
      </c>
      <c r="Q264" s="8" t="inlineStr">
        <is>
          <t>57140520</t>
        </is>
      </c>
    </row>
    <row r="265">
      <c r="A265" s="8" t="inlineStr">
        <is>
          <t>G06789</t>
        </is>
      </c>
      <c r="B265" s="8" t="inlineStr">
        <is>
          <t>Джолдошова Салтанат Сатаревна</t>
        </is>
      </c>
      <c r="C265" s="8" t="inlineStr">
        <is>
          <t>2552670860</t>
        </is>
      </c>
      <c r="D265" s="8" t="inlineStr">
        <is>
          <t>Есть в ETM, нет в 1С</t>
        </is>
      </c>
      <c r="E265" s="8" t="inlineStr">
        <is>
          <t>1С</t>
        </is>
      </c>
      <c r="F265" s="8" t="inlineStr">
        <is>
          <t>A</t>
        </is>
      </c>
      <c r="G265" s="14" t="n">
        <v>0</v>
      </c>
      <c r="H265" s="14" t="n">
        <v>-27333.61</v>
      </c>
      <c r="I265" s="14" t="n"/>
      <c r="J265" s="14" t="n">
        <v>-27333.61</v>
      </c>
      <c r="K265" s="21" t="n">
        <v>46092.62930555556</v>
      </c>
      <c r="L265" s="21" t="n"/>
      <c r="M265" s="8" t="inlineStr"/>
      <c r="N265" s="8" t="inlineStr">
        <is>
          <t>Бухгалтер 1С</t>
        </is>
      </c>
      <c r="O265" s="8" t="inlineStr"/>
      <c r="P265" s="12" t="inlineStr">
        <is>
          <t>Списание есть в ETM, но в 1С нет реализации по этим билетам — счёт не выставлен</t>
        </is>
      </c>
      <c r="Q265" s="8" t="inlineStr">
        <is>
          <t>57140554</t>
        </is>
      </c>
    </row>
    <row r="266">
      <c r="A266" s="8" t="inlineStr">
        <is>
          <t>G11852</t>
        </is>
      </c>
      <c r="B266" s="8" t="inlineStr">
        <is>
          <t>ОсОО Кок-Жайык Лайн</t>
        </is>
      </c>
      <c r="C266" s="8" t="inlineStr">
        <is>
          <t>2552672797</t>
        </is>
      </c>
      <c r="D266" s="8" t="inlineStr">
        <is>
          <t>Двойное списание в ETM</t>
        </is>
      </c>
      <c r="E266" s="8" t="inlineStr">
        <is>
          <t>Бот ETM</t>
        </is>
      </c>
      <c r="F266" s="8" t="inlineStr">
        <is>
          <t>A</t>
        </is>
      </c>
      <c r="G266" s="14" t="n">
        <v>2731.789999999997</v>
      </c>
      <c r="H266" s="14" t="n">
        <v>-30049.71</v>
      </c>
      <c r="I266" s="14" t="n">
        <v>2731.789999999997</v>
      </c>
      <c r="J266" s="14" t="n">
        <v>-27317.92</v>
      </c>
      <c r="K266" s="21" t="n">
        <v>46157.7766550926</v>
      </c>
      <c r="L266" s="21" t="n">
        <v>46157</v>
      </c>
      <c r="M266" s="8" t="inlineStr"/>
      <c r="N266" s="8" t="inlineStr">
        <is>
          <t>Разработчик/поддержка бота ETM</t>
        </is>
      </c>
      <c r="O266" s="8" t="inlineStr">
        <is>
          <t>r.sydykov</t>
        </is>
      </c>
      <c r="P266" s="12" t="inlineStr">
        <is>
          <t>В ETM 1 лишн. списание(й) одного билета на 27,317.92; без дубля сумма совпадает с 1С</t>
        </is>
      </c>
      <c r="Q266" s="8" t="inlineStr">
        <is>
          <t>57288063,57288100,57413301</t>
        </is>
      </c>
    </row>
    <row r="267">
      <c r="A267" s="8" t="inlineStr">
        <is>
          <t>G02461</t>
        </is>
      </c>
      <c r="B267" s="8" t="inlineStr">
        <is>
          <t>SkyWay Travel</t>
        </is>
      </c>
      <c r="C267" s="8" t="inlineStr">
        <is>
          <t>2420844477</t>
        </is>
      </c>
      <c r="D267" s="8" t="inlineStr">
        <is>
          <t>Двойное списание в ETM</t>
        </is>
      </c>
      <c r="E267" s="8" t="inlineStr">
        <is>
          <t>Бот ETM</t>
        </is>
      </c>
      <c r="F267" s="8" t="inlineStr">
        <is>
          <t>A</t>
        </is>
      </c>
      <c r="G267" s="14" t="n">
        <v>27287.67</v>
      </c>
      <c r="H267" s="14" t="n">
        <v>-54575.34</v>
      </c>
      <c r="I267" s="14" t="n">
        <v>27287.6732</v>
      </c>
      <c r="J267" s="14" t="n">
        <v>-27287.67</v>
      </c>
      <c r="K267" s="21" t="n">
        <v>46064.75631944444</v>
      </c>
      <c r="L267" s="21" t="n">
        <v>46064</v>
      </c>
      <c r="M267" s="8" t="inlineStr"/>
      <c r="N267" s="8" t="inlineStr">
        <is>
          <t>Разработчик/поддержка бота ETM</t>
        </is>
      </c>
      <c r="O267" s="8" t="inlineStr">
        <is>
          <t>r.sydykov</t>
        </is>
      </c>
      <c r="P267" s="12" t="inlineStr">
        <is>
          <t>В ETM 1 лишн. списание(й) одного билета на 27,287.67; без дубля сумма совпадает с 1С</t>
        </is>
      </c>
      <c r="Q267" s="8" t="inlineStr">
        <is>
          <t>57084909,57084941</t>
        </is>
      </c>
    </row>
    <row r="268">
      <c r="A268" s="8" t="inlineStr">
        <is>
          <t>G11349</t>
        </is>
      </c>
      <c r="B268" s="8" t="inlineStr">
        <is>
          <t>ОсОО Иссык Тур</t>
        </is>
      </c>
      <c r="C268" s="8" t="inlineStr">
        <is>
          <t>2420848541</t>
        </is>
      </c>
      <c r="D268" s="8" t="inlineStr">
        <is>
          <t>Есть в реестре и 1С, нет в ETM</t>
        </is>
      </c>
      <c r="E268" s="8" t="inlineStr">
        <is>
          <t>Бот ETM</t>
        </is>
      </c>
      <c r="F268" s="8" t="inlineStr">
        <is>
          <t>A</t>
        </is>
      </c>
      <c r="G268" s="14" t="n">
        <v>27212.42</v>
      </c>
      <c r="H268" s="14" t="n">
        <v>0</v>
      </c>
      <c r="I268" s="14" t="n">
        <v>27212.4216</v>
      </c>
      <c r="J268" s="14" t="n">
        <v>27212.42</v>
      </c>
      <c r="K268" s="21" t="n"/>
      <c r="L268" s="21" t="n">
        <v>46114</v>
      </c>
      <c r="M268" s="8" t="inlineStr"/>
      <c r="N268" s="8" t="inlineStr">
        <is>
          <t>Разработчик/поддержка бота ETM</t>
        </is>
      </c>
      <c r="O268" s="8" t="inlineStr">
        <is>
          <t>r.sydykov</t>
        </is>
      </c>
      <c r="P268" s="12" t="inlineStr">
        <is>
          <t>Продажа есть в реестре и в 1С, но бот не перенёс её на баланс ETM — списания нет</t>
        </is>
      </c>
      <c r="Q268" s="8" t="inlineStr"/>
    </row>
    <row r="269">
      <c r="A269" s="8" t="inlineStr">
        <is>
          <t>G14667</t>
        </is>
      </c>
      <c r="B269" s="8" t="inlineStr">
        <is>
          <t>Чынарова Бурул Джолдошовна</t>
        </is>
      </c>
      <c r="C269" s="8" t="inlineStr">
        <is>
          <t>2552669804</t>
        </is>
      </c>
      <c r="D269" s="8" t="inlineStr">
        <is>
          <t>Есть в ETM, нет в 1С</t>
        </is>
      </c>
      <c r="E269" s="8" t="inlineStr">
        <is>
          <t>1С</t>
        </is>
      </c>
      <c r="F269" s="8" t="inlineStr">
        <is>
          <t>A</t>
        </is>
      </c>
      <c r="G269" s="14" t="n">
        <v>0</v>
      </c>
      <c r="H269" s="14" t="n">
        <v>-27152.68</v>
      </c>
      <c r="I269" s="14" t="n">
        <v>1019.740000000002</v>
      </c>
      <c r="J269" s="14" t="n">
        <v>-27152.68</v>
      </c>
      <c r="K269" s="21" t="n">
        <v>46166.80211805556</v>
      </c>
      <c r="L269" s="21" t="n"/>
      <c r="M269" s="8" t="inlineStr"/>
      <c r="N269" s="8" t="inlineStr">
        <is>
          <t>Бухгалтер 1С</t>
        </is>
      </c>
      <c r="O269" s="8" t="inlineStr">
        <is>
          <t>d.mambetova|g.omurbekova</t>
        </is>
      </c>
      <c r="P269" s="12" t="inlineStr">
        <is>
          <t>Списание есть в ETM и продажа в реестре, но в 1С нет реализации по этим билетам — счёт не выставлен</t>
        </is>
      </c>
      <c r="Q269" s="8" t="inlineStr">
        <is>
          <t>57313159</t>
        </is>
      </c>
    </row>
    <row r="270">
      <c r="A270" s="8" t="inlineStr">
        <is>
          <t>G01416</t>
        </is>
      </c>
      <c r="B270" s="8" t="inlineStr">
        <is>
          <t>Karakol Express</t>
        </is>
      </c>
      <c r="C270" s="8" t="inlineStr">
        <is>
          <t>2460733353|2460733356</t>
        </is>
      </c>
      <c r="D270" s="8" t="inlineStr">
        <is>
          <t>Сумма не сходится</t>
        </is>
      </c>
      <c r="E270" s="8" t="inlineStr">
        <is>
          <t>Бот ETM</t>
        </is>
      </c>
      <c r="F270" s="8" t="inlineStr">
        <is>
          <t>A</t>
        </is>
      </c>
      <c r="G270" s="14" t="n">
        <v>31739</v>
      </c>
      <c r="H270" s="14" t="n">
        <v>-4739</v>
      </c>
      <c r="I270" s="14" t="n">
        <v>31739</v>
      </c>
      <c r="J270" s="14" t="n">
        <v>27000</v>
      </c>
      <c r="K270" s="21" t="n">
        <v>46057.40099537037</v>
      </c>
      <c r="L270" s="21" t="n">
        <v>46057</v>
      </c>
      <c r="M270" s="8" t="inlineStr"/>
      <c r="N270" s="8" t="inlineStr">
        <is>
          <t>Разработчик/поддержка бота ETM</t>
        </is>
      </c>
      <c r="O270" s="8" t="inlineStr">
        <is>
          <t>e.satarov|k.dzhumaev</t>
        </is>
      </c>
      <c r="P270" s="12" t="inlineStr">
        <is>
          <t>Реестр (31,739.00) совпадает с 1С (31,739.00), а в ETM 4,739.00: бот перенёс неверную сумму</t>
        </is>
      </c>
      <c r="Q270" s="8" t="inlineStr">
        <is>
          <t>57072563,57072596,57152761</t>
        </is>
      </c>
    </row>
    <row r="271">
      <c r="A271" s="8" t="inlineStr">
        <is>
          <t>G02064</t>
        </is>
      </c>
      <c r="B271" s="8" t="inlineStr">
        <is>
          <t>Kumtor Tours</t>
        </is>
      </c>
      <c r="C271" s="8" t="inlineStr">
        <is>
          <t>2559102323|2559102326</t>
        </is>
      </c>
      <c r="D271" s="8" t="inlineStr">
        <is>
          <t>Сумма не сходится</t>
        </is>
      </c>
      <c r="E271" s="8" t="inlineStr">
        <is>
          <t>Бот ETM</t>
        </is>
      </c>
      <c r="F271" s="8" t="inlineStr">
        <is>
          <t>A</t>
        </is>
      </c>
      <c r="G271" s="14" t="n">
        <v>114294.5</v>
      </c>
      <c r="H271" s="14" t="n">
        <v>-141294.5</v>
      </c>
      <c r="I271" s="14" t="n">
        <v>114294.51</v>
      </c>
      <c r="J271" s="14" t="n">
        <v>-27000</v>
      </c>
      <c r="K271" s="21" t="n">
        <v>46068.38078703704</v>
      </c>
      <c r="L271" s="21" t="n">
        <v>46068</v>
      </c>
      <c r="M271" s="8" t="inlineStr">
        <is>
          <t>TRANSPOSITION</t>
        </is>
      </c>
      <c r="N271" s="8" t="inlineStr">
        <is>
          <t>Разработчик/поддержка бота ETM</t>
        </is>
      </c>
      <c r="O271" s="8" t="inlineStr">
        <is>
          <t>k.dzhumaev</t>
        </is>
      </c>
      <c r="P271" s="12" t="inlineStr">
        <is>
          <t>Реестр (114,294.51) совпадает с 1С (114,294.50), а в ETM 141,294.50: бот перенёс неверную сумму</t>
        </is>
      </c>
      <c r="Q271" s="8" t="inlineStr">
        <is>
          <t>57092196,57092168</t>
        </is>
      </c>
    </row>
    <row r="272">
      <c r="A272" s="8" t="inlineStr">
        <is>
          <t>G02928</t>
        </is>
      </c>
      <c r="B272" s="8" t="inlineStr">
        <is>
          <t>SkyWay Travel</t>
        </is>
      </c>
      <c r="C272" s="8" t="inlineStr">
        <is>
          <t>2460737156</t>
        </is>
      </c>
      <c r="D272" s="8" t="inlineStr">
        <is>
          <t>Сумма не сходится</t>
        </is>
      </c>
      <c r="E272" s="8" t="inlineStr">
        <is>
          <t>Бот ETM</t>
        </is>
      </c>
      <c r="F272" s="8" t="inlineStr">
        <is>
          <t>A</t>
        </is>
      </c>
      <c r="G272" s="14" t="n">
        <v>12632.5</v>
      </c>
      <c r="H272" s="14" t="n">
        <v>-39632.5</v>
      </c>
      <c r="I272" s="14" t="n">
        <v>12632.5</v>
      </c>
      <c r="J272" s="14" t="n">
        <v>-27000</v>
      </c>
      <c r="K272" s="21" t="n">
        <v>46045.69569444445</v>
      </c>
      <c r="L272" s="21" t="n">
        <v>46045</v>
      </c>
      <c r="M272" s="8" t="inlineStr"/>
      <c r="N272" s="8" t="inlineStr">
        <is>
          <t>Разработчик/поддержка бота ETM</t>
        </is>
      </c>
      <c r="O272" s="8" t="inlineStr">
        <is>
          <t>a.toktosunova</t>
        </is>
      </c>
      <c r="P272" s="12" t="inlineStr">
        <is>
          <t>Реестр (12,632.50) совпадает с 1С (12,632.50), а в ETM 39,632.50: бот перенёс неверную сумму</t>
        </is>
      </c>
      <c r="Q272" s="8" t="inlineStr">
        <is>
          <t>57048087,57139255</t>
        </is>
      </c>
    </row>
    <row r="273">
      <c r="A273" s="8" t="inlineStr">
        <is>
          <t>G06124</t>
        </is>
      </c>
      <c r="B273" s="8" t="inlineStr">
        <is>
          <t>Байтур Трип</t>
        </is>
      </c>
      <c r="C273" s="8" t="inlineStr">
        <is>
          <t>2552670277|2552670280</t>
        </is>
      </c>
      <c r="D273" s="8" t="inlineStr">
        <is>
          <t>Сумма не сходится</t>
        </is>
      </c>
      <c r="E273" s="8" t="inlineStr">
        <is>
          <t>1С</t>
        </is>
      </c>
      <c r="F273" s="8" t="inlineStr">
        <is>
          <t>A</t>
        </is>
      </c>
      <c r="G273" s="14" t="n">
        <v>69968.12</v>
      </c>
      <c r="H273" s="14" t="n">
        <v>-96968.12</v>
      </c>
      <c r="I273" s="14" t="n">
        <v>96968.564</v>
      </c>
      <c r="J273" s="14" t="n">
        <v>-27000</v>
      </c>
      <c r="K273" s="21" t="n">
        <v>46212.70414351852</v>
      </c>
      <c r="L273" s="21" t="n">
        <v>46212</v>
      </c>
      <c r="M273" s="8" t="inlineStr">
        <is>
          <t>TRANSPOSITION</t>
        </is>
      </c>
      <c r="N273" s="8" t="inlineStr">
        <is>
          <t>Бухгалтер 1С</t>
        </is>
      </c>
      <c r="O273" s="8" t="inlineStr">
        <is>
          <t>d.mambetova</t>
        </is>
      </c>
      <c r="P273" s="12" t="inlineStr">
        <is>
          <t>Реестр (96,968.56) совпадает с ETM (96,968.12), а в 1С 69,968.12: неверная сумма в 1С</t>
        </is>
      </c>
      <c r="Q273" s="8" t="inlineStr">
        <is>
          <t>57444908,57444938</t>
        </is>
      </c>
    </row>
    <row r="274">
      <c r="A274" s="8" t="inlineStr">
        <is>
          <t>G08316</t>
        </is>
      </c>
      <c r="B274" s="8" t="inlineStr">
        <is>
          <t>ИП Мамбетова Ч. Э.</t>
        </is>
      </c>
      <c r="C274" s="8" t="inlineStr">
        <is>
          <t>2559101929</t>
        </is>
      </c>
      <c r="D274" s="8" t="inlineStr">
        <is>
          <t>Сумма не сходится</t>
        </is>
      </c>
      <c r="E274" s="8" t="inlineStr">
        <is>
          <t>Бот ETM</t>
        </is>
      </c>
      <c r="F274" s="8" t="inlineStr">
        <is>
          <t>A</t>
        </is>
      </c>
      <c r="G274" s="14" t="n">
        <v>47553.5</v>
      </c>
      <c r="H274" s="14" t="n">
        <v>-74553.5</v>
      </c>
      <c r="I274" s="14" t="n">
        <v>47553.5</v>
      </c>
      <c r="J274" s="14" t="n">
        <v>-27000</v>
      </c>
      <c r="K274" s="21" t="n">
        <v>46035.72373842593</v>
      </c>
      <c r="L274" s="21" t="n">
        <v>46035</v>
      </c>
      <c r="M274" s="8" t="inlineStr">
        <is>
          <t>TRANSPOSITION</t>
        </is>
      </c>
      <c r="N274" s="8" t="inlineStr">
        <is>
          <t>Разработчик/поддержка бота ETM</t>
        </is>
      </c>
      <c r="O274" s="8" t="inlineStr">
        <is>
          <t>e.satarov</t>
        </is>
      </c>
      <c r="P274" s="12" t="inlineStr">
        <is>
          <t>Реестр (47,553.50) совпадает с 1С (47,553.50), а в ETM 74,553.50: бот перенёс неверную сумму</t>
        </is>
      </c>
      <c r="Q274" s="8" t="inlineStr">
        <is>
          <t>57025104</t>
        </is>
      </c>
    </row>
    <row r="275">
      <c r="A275" s="8" t="inlineStr">
        <is>
          <t>G08870</t>
        </is>
      </c>
      <c r="B275" s="8" t="inlineStr">
        <is>
          <t>ИССЫК ТРИП</t>
        </is>
      </c>
      <c r="C275" s="8" t="inlineStr">
        <is>
          <t>2416942855</t>
        </is>
      </c>
      <c r="D275" s="8" t="inlineStr">
        <is>
          <t>Сумма не сходится</t>
        </is>
      </c>
      <c r="E275" s="8" t="inlineStr">
        <is>
          <t>Бот ETM</t>
        </is>
      </c>
      <c r="F275" s="8" t="inlineStr">
        <is>
          <t>A</t>
        </is>
      </c>
      <c r="G275" s="14" t="n">
        <v>52108.47</v>
      </c>
      <c r="H275" s="14" t="n">
        <v>-25108.47</v>
      </c>
      <c r="I275" s="14" t="n">
        <v>52108.47</v>
      </c>
      <c r="J275" s="14" t="n">
        <v>27000</v>
      </c>
      <c r="K275" s="21" t="n">
        <v>46023.37707175926</v>
      </c>
      <c r="L275" s="21" t="n">
        <v>46023</v>
      </c>
      <c r="M275" s="8" t="inlineStr">
        <is>
          <t>TRANSPOSITION</t>
        </is>
      </c>
      <c r="N275" s="8" t="inlineStr">
        <is>
          <t>Разработчик/поддержка бота ETM</t>
        </is>
      </c>
      <c r="O275" s="8" t="inlineStr">
        <is>
          <t>e.satarov</t>
        </is>
      </c>
      <c r="P275" s="12" t="inlineStr">
        <is>
          <t>Реестр (52,108.47) совпадает с 1С (52,108.47), а в ETM 25,108.47: бот перенёс неверную сумму</t>
        </is>
      </c>
      <c r="Q275" s="8" t="inlineStr">
        <is>
          <t>57001257</t>
        </is>
      </c>
    </row>
    <row r="276">
      <c r="A276" s="8" t="inlineStr">
        <is>
          <t>G12140</t>
        </is>
      </c>
      <c r="B276" s="8" t="inlineStr">
        <is>
          <t>Осмонова А. Н.</t>
        </is>
      </c>
      <c r="C276" s="8" t="inlineStr">
        <is>
          <t>2460736551|2460736554</t>
        </is>
      </c>
      <c r="D276" s="8" t="inlineStr">
        <is>
          <t>Сумма не сходится</t>
        </is>
      </c>
      <c r="E276" s="8" t="inlineStr">
        <is>
          <t>1С</t>
        </is>
      </c>
      <c r="F276" s="8" t="inlineStr">
        <is>
          <t>A</t>
        </is>
      </c>
      <c r="G276" s="14" t="n">
        <v>63922</v>
      </c>
      <c r="H276" s="14" t="n">
        <v>-36922</v>
      </c>
      <c r="I276" s="14" t="n">
        <v>36922</v>
      </c>
      <c r="J276" s="14" t="n">
        <v>27000</v>
      </c>
      <c r="K276" s="21" t="n">
        <v>46196.49144675926</v>
      </c>
      <c r="L276" s="21" t="n">
        <v>46196</v>
      </c>
      <c r="M276" s="8" t="inlineStr">
        <is>
          <t>TRANSPOSITION</t>
        </is>
      </c>
      <c r="N276" s="8" t="inlineStr">
        <is>
          <t>Бухгалтер 1С</t>
        </is>
      </c>
      <c r="O276" s="8" t="inlineStr">
        <is>
          <t>b.isakov</t>
        </is>
      </c>
      <c r="P276" s="12" t="inlineStr">
        <is>
          <t>Реестр (36,922.00) совпадает с ETM (36,922.00), а в 1С 63,922.00: неверная сумма в 1С</t>
        </is>
      </c>
      <c r="Q276" s="8" t="inlineStr">
        <is>
          <t>57393469,57393433</t>
        </is>
      </c>
    </row>
    <row r="277">
      <c r="A277" s="8" t="inlineStr">
        <is>
          <t>G10616</t>
        </is>
      </c>
      <c r="B277" s="8" t="inlineStr">
        <is>
          <t>Манас Тур</t>
        </is>
      </c>
      <c r="C277" s="8" t="inlineStr">
        <is>
          <t>2559099403</t>
        </is>
      </c>
      <c r="D277" s="8" t="inlineStr">
        <is>
          <t>Есть в ETM, нет в 1С</t>
        </is>
      </c>
      <c r="E277" s="8" t="inlineStr">
        <is>
          <t>1С</t>
        </is>
      </c>
      <c r="F277" s="8" t="inlineStr">
        <is>
          <t>A</t>
        </is>
      </c>
      <c r="G277" s="14" t="n">
        <v>0</v>
      </c>
      <c r="H277" s="14" t="n">
        <v>-26861.66</v>
      </c>
      <c r="I277" s="14" t="n"/>
      <c r="J277" s="14" t="n">
        <v>-26861.66</v>
      </c>
      <c r="K277" s="21" t="n">
        <v>46041.44355324074</v>
      </c>
      <c r="L277" s="21" t="n"/>
      <c r="M277" s="8" t="inlineStr"/>
      <c r="N277" s="8" t="inlineStr">
        <is>
          <t>Бухгалтер 1С</t>
        </is>
      </c>
      <c r="O277" s="8" t="inlineStr"/>
      <c r="P277" s="12" t="inlineStr">
        <is>
          <t>Списание есть в ETM, но в 1С нет реализации по этим билетам — счёт не выставлен</t>
        </is>
      </c>
      <c r="Q277" s="8" t="inlineStr">
        <is>
          <t>57038386</t>
        </is>
      </c>
    </row>
    <row r="278">
      <c r="A278" s="8" t="inlineStr">
        <is>
          <t>G10617</t>
        </is>
      </c>
      <c r="B278" s="8" t="inlineStr">
        <is>
          <t>Манас Тур</t>
        </is>
      </c>
      <c r="C278" s="8" t="inlineStr">
        <is>
          <t>2559099405</t>
        </is>
      </c>
      <c r="D278" s="8" t="inlineStr">
        <is>
          <t>Есть в ETM, нет в 1С</t>
        </is>
      </c>
      <c r="E278" s="8" t="inlineStr">
        <is>
          <t>1С</t>
        </is>
      </c>
      <c r="F278" s="8" t="inlineStr">
        <is>
          <t>A</t>
        </is>
      </c>
      <c r="G278" s="14" t="n">
        <v>0</v>
      </c>
      <c r="H278" s="14" t="n">
        <v>-26861.66</v>
      </c>
      <c r="I278" s="14" t="n"/>
      <c r="J278" s="14" t="n">
        <v>-26861.66</v>
      </c>
      <c r="K278" s="21" t="n">
        <v>46041.42854166667</v>
      </c>
      <c r="L278" s="21" t="n"/>
      <c r="M278" s="8" t="inlineStr"/>
      <c r="N278" s="8" t="inlineStr">
        <is>
          <t>Бухгалтер 1С</t>
        </is>
      </c>
      <c r="O278" s="8" t="inlineStr"/>
      <c r="P278" s="12" t="inlineStr">
        <is>
          <t>Списание есть в ETM, но в 1С нет реализации по этим билетам — счёт не выставлен</t>
        </is>
      </c>
      <c r="Q278" s="8" t="inlineStr">
        <is>
          <t>57038425</t>
        </is>
      </c>
    </row>
    <row r="279">
      <c r="A279" s="8" t="inlineStr">
        <is>
          <t>G03454</t>
        </is>
      </c>
      <c r="B279" s="8" t="inlineStr">
        <is>
          <t>SkyWay Travel</t>
        </is>
      </c>
      <c r="C279" s="8" t="inlineStr">
        <is>
          <t>2552669791</t>
        </is>
      </c>
      <c r="D279" s="8" t="inlineStr">
        <is>
          <t>Есть в ETM, нет в 1С</t>
        </is>
      </c>
      <c r="E279" s="8" t="inlineStr">
        <is>
          <t>1С</t>
        </is>
      </c>
      <c r="F279" s="8" t="inlineStr">
        <is>
          <t>A</t>
        </is>
      </c>
      <c r="G279" s="14" t="n">
        <v>0</v>
      </c>
      <c r="H279" s="14" t="n">
        <v>-26693.13</v>
      </c>
      <c r="I279" s="14" t="n">
        <v>26693.13</v>
      </c>
      <c r="J279" s="14" t="n">
        <v>-26693.13</v>
      </c>
      <c r="K279" s="21" t="n">
        <v>46213.57649305555</v>
      </c>
      <c r="L279" s="21" t="n"/>
      <c r="M279" s="8" t="inlineStr"/>
      <c r="N279" s="8" t="inlineStr">
        <is>
          <t>Бухгалтер 1С</t>
        </is>
      </c>
      <c r="O279" s="8" t="inlineStr">
        <is>
          <t>d.mambetova</t>
        </is>
      </c>
      <c r="P279" s="12" t="inlineStr">
        <is>
          <t>Списание есть в ETM и продажа в реестре, но в 1С нет реализации по этим билетам — счёт не выставлен</t>
        </is>
      </c>
      <c r="Q279" s="8" t="inlineStr">
        <is>
          <t>57447883</t>
        </is>
      </c>
    </row>
    <row r="280">
      <c r="A280" s="8" t="inlineStr">
        <is>
          <t>G06362</t>
        </is>
      </c>
      <c r="B280" s="8" t="inlineStr">
        <is>
          <t>Джолдош уулу Руслан</t>
        </is>
      </c>
      <c r="C280" s="8" t="inlineStr">
        <is>
          <t>2476319476</t>
        </is>
      </c>
      <c r="D280" s="8" t="inlineStr">
        <is>
          <t>Двойное списание в ETM</t>
        </is>
      </c>
      <c r="E280" s="8" t="inlineStr">
        <is>
          <t>Бот ETM</t>
        </is>
      </c>
      <c r="F280" s="8" t="inlineStr">
        <is>
          <t>A</t>
        </is>
      </c>
      <c r="G280" s="14" t="n">
        <v>26676.9</v>
      </c>
      <c r="H280" s="14" t="n">
        <v>-53353.8</v>
      </c>
      <c r="I280" s="14" t="n">
        <v>26676.9</v>
      </c>
      <c r="J280" s="14" t="n">
        <v>-26676.9</v>
      </c>
      <c r="K280" s="21" t="n">
        <v>46108.37370370371</v>
      </c>
      <c r="L280" s="21" t="n">
        <v>46108</v>
      </c>
      <c r="M280" s="8" t="inlineStr"/>
      <c r="N280" s="8" t="inlineStr">
        <is>
          <t>Разработчик/поддержка бота ETM</t>
        </is>
      </c>
      <c r="O280" s="8" t="inlineStr">
        <is>
          <t>g.omurbekova</t>
        </is>
      </c>
      <c r="P280" s="12" t="inlineStr">
        <is>
          <t>В ETM 1 лишн. списание(й) одного билета на 26,676.90; без дубля сумма совпадает с 1С</t>
        </is>
      </c>
      <c r="Q280" s="8" t="inlineStr">
        <is>
          <t>57176399,57176411</t>
        </is>
      </c>
    </row>
    <row r="281">
      <c r="A281" s="8" t="inlineStr">
        <is>
          <t>G12909</t>
        </is>
      </c>
      <c r="B281" s="8" t="inlineStr">
        <is>
          <t>Сатар уулу Санжар</t>
        </is>
      </c>
      <c r="C281" s="8" t="inlineStr">
        <is>
          <t>2416945541</t>
        </is>
      </c>
      <c r="D281" s="8" t="inlineStr">
        <is>
          <t>Сумма не сходится</t>
        </is>
      </c>
      <c r="E281" s="8" t="inlineStr">
        <is>
          <t>1С</t>
        </is>
      </c>
      <c r="F281" s="8" t="inlineStr">
        <is>
          <t>A</t>
        </is>
      </c>
      <c r="G281" s="14" t="n">
        <v>29560.8</v>
      </c>
      <c r="H281" s="14" t="n">
        <v>-2956.079999999998</v>
      </c>
      <c r="I281" s="14" t="n">
        <v>2956.079999999998</v>
      </c>
      <c r="J281" s="14" t="n">
        <v>26604.72</v>
      </c>
      <c r="K281" s="21" t="n">
        <v>46091.76743055556</v>
      </c>
      <c r="L281" s="21" t="n">
        <v>46091</v>
      </c>
      <c r="M281" s="8" t="inlineStr"/>
      <c r="N281" s="8" t="inlineStr">
        <is>
          <t>Бухгалтер 1С</t>
        </is>
      </c>
      <c r="O281" s="8" t="inlineStr">
        <is>
          <t>n.abdyldaeva</t>
        </is>
      </c>
      <c r="P281" s="12" t="inlineStr">
        <is>
          <t>Реестр (2,956.08) совпадает с ETM (2,956.08), а в 1С 29,560.80: неверная сумма в 1С</t>
        </is>
      </c>
      <c r="Q281" s="8" t="inlineStr">
        <is>
          <t>57138481,57195958</t>
        </is>
      </c>
    </row>
    <row r="282">
      <c r="A282" s="8" t="inlineStr">
        <is>
          <t>G03463</t>
        </is>
      </c>
      <c r="B282" s="8" t="inlineStr">
        <is>
          <t>SkyWay Travel</t>
        </is>
      </c>
      <c r="C282" s="8" t="inlineStr">
        <is>
          <t>2552669965</t>
        </is>
      </c>
      <c r="D282" s="8" t="inlineStr">
        <is>
          <t>Есть в реестре и 1С, нет в ETM</t>
        </is>
      </c>
      <c r="E282" s="8" t="inlineStr">
        <is>
          <t>Бот ETM</t>
        </is>
      </c>
      <c r="F282" s="8" t="inlineStr">
        <is>
          <t>A</t>
        </is>
      </c>
      <c r="G282" s="14" t="n">
        <v>26438.98</v>
      </c>
      <c r="H282" s="14" t="n">
        <v>0</v>
      </c>
      <c r="I282" s="14" t="n">
        <v>26438.9775</v>
      </c>
      <c r="J282" s="14" t="n">
        <v>26438.98</v>
      </c>
      <c r="K282" s="21" t="n"/>
      <c r="L282" s="21" t="n">
        <v>46189</v>
      </c>
      <c r="M282" s="8" t="inlineStr"/>
      <c r="N282" s="8" t="inlineStr">
        <is>
          <t>Разработчик/поддержка бота ETM</t>
        </is>
      </c>
      <c r="O282" s="8" t="inlineStr">
        <is>
          <t>g.omurbekova</t>
        </is>
      </c>
      <c r="P282" s="12" t="inlineStr">
        <is>
          <t>Продажа есть в реестре и в 1С, но бот не перенёс её на баланс ETM — списания нет</t>
        </is>
      </c>
      <c r="Q282" s="8" t="inlineStr"/>
    </row>
    <row r="283">
      <c r="A283" s="8" t="inlineStr">
        <is>
          <t>G14535</t>
        </is>
      </c>
      <c r="B283" s="8" t="inlineStr">
        <is>
          <t>Чынар уулу Эмир</t>
        </is>
      </c>
      <c r="C283" s="8" t="inlineStr">
        <is>
          <t>2460733133|2460733135</t>
        </is>
      </c>
      <c r="D283" s="8" t="inlineStr">
        <is>
          <t>Есть в реестре и 1С, нет в ETM</t>
        </is>
      </c>
      <c r="E283" s="8" t="inlineStr">
        <is>
          <t>Бот ETM</t>
        </is>
      </c>
      <c r="F283" s="8" t="inlineStr">
        <is>
          <t>A</t>
        </is>
      </c>
      <c r="G283" s="14" t="n">
        <v>26072</v>
      </c>
      <c r="H283" s="14" t="n">
        <v>0</v>
      </c>
      <c r="I283" s="14" t="n">
        <v>26072</v>
      </c>
      <c r="J283" s="14" t="n">
        <v>26072</v>
      </c>
      <c r="K283" s="21" t="n"/>
      <c r="L283" s="21" t="n">
        <v>46150</v>
      </c>
      <c r="M283" s="8" t="inlineStr"/>
      <c r="N283" s="8" t="inlineStr">
        <is>
          <t>Разработчик/поддержка бота ETM</t>
        </is>
      </c>
      <c r="O283" s="8" t="inlineStr">
        <is>
          <t>r.sydykov</t>
        </is>
      </c>
      <c r="P283" s="12" t="inlineStr">
        <is>
          <t>Продажа есть в реестре и в 1С, но бот не перенёс её на баланс ETM — списания нет</t>
        </is>
      </c>
      <c r="Q283" s="8" t="inlineStr"/>
    </row>
    <row r="284">
      <c r="A284" s="8" t="inlineStr">
        <is>
          <t>G04315</t>
        </is>
      </c>
      <c r="B284" s="8" t="inlineStr">
        <is>
          <t>Абдылда уулу Б.</t>
        </is>
      </c>
      <c r="C284" s="8" t="inlineStr">
        <is>
          <t>2460736057</t>
        </is>
      </c>
      <c r="D284" s="8" t="inlineStr">
        <is>
          <t>Есть в реестре и 1С, нет в ETM</t>
        </is>
      </c>
      <c r="E284" s="8" t="inlineStr">
        <is>
          <t>Бот ETM</t>
        </is>
      </c>
      <c r="F284" s="8" t="inlineStr">
        <is>
          <t>A</t>
        </is>
      </c>
      <c r="G284" s="14" t="n">
        <v>26002</v>
      </c>
      <c r="H284" s="14" t="n">
        <v>0</v>
      </c>
      <c r="I284" s="14" t="n">
        <v>26002</v>
      </c>
      <c r="J284" s="14" t="n">
        <v>26002</v>
      </c>
      <c r="K284" s="21" t="n"/>
      <c r="L284" s="21" t="n">
        <v>46140</v>
      </c>
      <c r="M284" s="8" t="inlineStr"/>
      <c r="N284" s="8" t="inlineStr">
        <is>
          <t>Разработчик/поддержка бота ETM</t>
        </is>
      </c>
      <c r="O284" s="8" t="inlineStr">
        <is>
          <t>a.toktosunova</t>
        </is>
      </c>
      <c r="P284" s="12" t="inlineStr">
        <is>
          <t>Продажа есть в реестре и в 1С, но бот не перенёс её на баланс ETM — списания нет</t>
        </is>
      </c>
      <c r="Q284" s="8" t="inlineStr"/>
    </row>
    <row r="285">
      <c r="A285" s="8" t="inlineStr">
        <is>
          <t>G09398</t>
        </is>
      </c>
      <c r="B285" s="8" t="inlineStr">
        <is>
          <t>Иссык Вояж</t>
        </is>
      </c>
      <c r="C285" s="8" t="inlineStr">
        <is>
          <t>2459529296</t>
        </is>
      </c>
      <c r="D285" s="8" t="inlineStr">
        <is>
          <t>Есть в ETM, нет в 1С</t>
        </is>
      </c>
      <c r="E285" s="8" t="inlineStr">
        <is>
          <t>1С</t>
        </is>
      </c>
      <c r="F285" s="8" t="inlineStr">
        <is>
          <t>A</t>
        </is>
      </c>
      <c r="G285" s="14" t="n">
        <v>0</v>
      </c>
      <c r="H285" s="14" t="n">
        <v>-25997</v>
      </c>
      <c r="I285" s="14" t="n"/>
      <c r="J285" s="14" t="n">
        <v>-25997</v>
      </c>
      <c r="K285" s="21" t="n">
        <v>46173.65157407407</v>
      </c>
      <c r="L285" s="21" t="n"/>
      <c r="M285" s="8" t="inlineStr"/>
      <c r="N285" s="8" t="inlineStr">
        <is>
          <t>Бухгалтер 1С</t>
        </is>
      </c>
      <c r="O285" s="8" t="inlineStr"/>
      <c r="P285" s="12" t="inlineStr">
        <is>
          <t>Списание есть в ETM, но в 1С нет реализации по этим билетам — счёт не выставлен</t>
        </is>
      </c>
      <c r="Q285" s="8" t="inlineStr">
        <is>
          <t>57331281</t>
        </is>
      </c>
    </row>
    <row r="286">
      <c r="A286" s="8" t="inlineStr">
        <is>
          <t>G09399</t>
        </is>
      </c>
      <c r="B286" s="8" t="inlineStr">
        <is>
          <t>Иссык Вояж</t>
        </is>
      </c>
      <c r="C286" s="8" t="inlineStr">
        <is>
          <t>2459529297</t>
        </is>
      </c>
      <c r="D286" s="8" t="inlineStr">
        <is>
          <t>Есть в ETM, нет в 1С</t>
        </is>
      </c>
      <c r="E286" s="8" t="inlineStr">
        <is>
          <t>1С</t>
        </is>
      </c>
      <c r="F286" s="8" t="inlineStr">
        <is>
          <t>A</t>
        </is>
      </c>
      <c r="G286" s="14" t="n">
        <v>0</v>
      </c>
      <c r="H286" s="14" t="n">
        <v>-25997</v>
      </c>
      <c r="I286" s="14" t="n"/>
      <c r="J286" s="14" t="n">
        <v>-25997</v>
      </c>
      <c r="K286" s="21" t="n">
        <v>46173.41138888889</v>
      </c>
      <c r="L286" s="21" t="n"/>
      <c r="M286" s="8" t="inlineStr"/>
      <c r="N286" s="8" t="inlineStr">
        <is>
          <t>Бухгалтер 1С</t>
        </is>
      </c>
      <c r="O286" s="8" t="inlineStr"/>
      <c r="P286" s="12" t="inlineStr">
        <is>
          <t>Списание есть в ETM, но в 1С нет реализации по этим билетам — счёт не выставлен</t>
        </is>
      </c>
      <c r="Q286" s="8" t="inlineStr">
        <is>
          <t>57331306</t>
        </is>
      </c>
    </row>
    <row r="287">
      <c r="A287" s="8" t="inlineStr">
        <is>
          <t>G00257</t>
        </is>
      </c>
      <c r="B287" s="8" t="inlineStr">
        <is>
          <t>Aylana Tour</t>
        </is>
      </c>
      <c r="C287" s="8" t="inlineStr">
        <is>
          <t>2559101721</t>
        </is>
      </c>
      <c r="D287" s="8" t="inlineStr">
        <is>
          <t>Есть в ETM, нет в 1С</t>
        </is>
      </c>
      <c r="E287" s="8" t="inlineStr">
        <is>
          <t>1С</t>
        </is>
      </c>
      <c r="F287" s="8" t="inlineStr">
        <is>
          <t>A</t>
        </is>
      </c>
      <c r="G287" s="14" t="n">
        <v>0</v>
      </c>
      <c r="H287" s="14" t="n">
        <v>-25887.26</v>
      </c>
      <c r="I287" s="14" t="n">
        <v>25887.26</v>
      </c>
      <c r="J287" s="14" t="n">
        <v>-25887.26</v>
      </c>
      <c r="K287" s="21" t="n">
        <v>46133.47862268519</v>
      </c>
      <c r="L287" s="21" t="n"/>
      <c r="M287" s="8" t="inlineStr"/>
      <c r="N287" s="8" t="inlineStr">
        <is>
          <t>Бухгалтер 1С</t>
        </is>
      </c>
      <c r="O287" s="8" t="inlineStr">
        <is>
          <t>k.dzhumaev</t>
        </is>
      </c>
      <c r="P287" s="12" t="inlineStr">
        <is>
          <t>Списание есть в ETM и продажа в реестре, но в 1С нет реализации по этим билетам — счёт не выставлен</t>
        </is>
      </c>
      <c r="Q287" s="8" t="inlineStr">
        <is>
          <t>57220084</t>
        </is>
      </c>
    </row>
    <row r="288">
      <c r="A288" s="8" t="inlineStr">
        <is>
          <t>G02472</t>
        </is>
      </c>
      <c r="B288" s="8" t="inlineStr">
        <is>
          <t>SkyWay Travel</t>
        </is>
      </c>
      <c r="C288" s="8" t="inlineStr">
        <is>
          <t>2420844716</t>
        </is>
      </c>
      <c r="D288" s="8" t="inlineStr">
        <is>
          <t>Сумма не сходится</t>
        </is>
      </c>
      <c r="E288" s="8" t="inlineStr">
        <is>
          <t>Бот ETM</t>
        </is>
      </c>
      <c r="F288" s="8" t="inlineStr">
        <is>
          <t>A</t>
        </is>
      </c>
      <c r="G288" s="14" t="n">
        <v>12873.26</v>
      </c>
      <c r="H288" s="14" t="n">
        <v>12873.26</v>
      </c>
      <c r="I288" s="14" t="n">
        <v>12873.26</v>
      </c>
      <c r="J288" s="14" t="n">
        <v>25746.52</v>
      </c>
      <c r="K288" s="21" t="n">
        <v>46164.72559027778</v>
      </c>
      <c r="L288" s="21" t="n">
        <v>46149</v>
      </c>
      <c r="M288" s="8" t="inlineStr"/>
      <c r="N288" s="8" t="inlineStr">
        <is>
          <t>Разработчик/поддержка бота ETM</t>
        </is>
      </c>
      <c r="O288" s="8" t="inlineStr">
        <is>
          <t>e.satarov|n.abdyldaeva</t>
        </is>
      </c>
      <c r="P288" s="12" t="inlineStr">
        <is>
          <t>Реестр (12,873.26) совпадает с 1С (12,873.26), а в ETM -12,873.26: бот перенёс неверную сумму</t>
        </is>
      </c>
      <c r="Q288" s="8" t="inlineStr">
        <is>
          <t>57306186</t>
        </is>
      </c>
    </row>
    <row r="289">
      <c r="A289" s="8" t="inlineStr">
        <is>
          <t>G05280</t>
        </is>
      </c>
      <c r="B289" s="8" t="inlineStr">
        <is>
          <t>Ак-Куу Авиа</t>
        </is>
      </c>
      <c r="C289" s="8" t="inlineStr">
        <is>
          <t>2552668550</t>
        </is>
      </c>
      <c r="D289" s="8" t="inlineStr">
        <is>
          <t>Есть в ETM, нет в 1С</t>
        </is>
      </c>
      <c r="E289" s="8" t="inlineStr">
        <is>
          <t>1С</t>
        </is>
      </c>
      <c r="F289" s="8" t="inlineStr">
        <is>
          <t>A</t>
        </is>
      </c>
      <c r="G289" s="14" t="n">
        <v>0</v>
      </c>
      <c r="H289" s="14" t="n">
        <v>-25702.81</v>
      </c>
      <c r="I289" s="14" t="n"/>
      <c r="J289" s="14" t="n">
        <v>-25702.81</v>
      </c>
      <c r="K289" s="21" t="n">
        <v>46144.50618055555</v>
      </c>
      <c r="L289" s="21" t="n"/>
      <c r="M289" s="8" t="inlineStr"/>
      <c r="N289" s="8" t="inlineStr">
        <is>
          <t>Бухгалтер 1С</t>
        </is>
      </c>
      <c r="O289" s="8" t="inlineStr"/>
      <c r="P289" s="12" t="inlineStr">
        <is>
          <t>Списание есть в ETM, но в 1С нет реализации по этим билетам — счёт не выставлен</t>
        </is>
      </c>
      <c r="Q289" s="8" t="inlineStr">
        <is>
          <t>57244575</t>
        </is>
      </c>
    </row>
    <row r="290">
      <c r="A290" s="8" t="inlineStr">
        <is>
          <t>G02819</t>
        </is>
      </c>
      <c r="B290" s="8" t="inlineStr">
        <is>
          <t>SkyWay Travel</t>
        </is>
      </c>
      <c r="C290" s="8" t="inlineStr">
        <is>
          <t>2460733799|2460733802</t>
        </is>
      </c>
      <c r="D290" s="8" t="inlineStr">
        <is>
          <t>Двойное списание в ETM</t>
        </is>
      </c>
      <c r="E290" s="8" t="inlineStr">
        <is>
          <t>Бот ETM</t>
        </is>
      </c>
      <c r="F290" s="8" t="inlineStr">
        <is>
          <t>A</t>
        </is>
      </c>
      <c r="G290" s="14" t="n">
        <v>51336</v>
      </c>
      <c r="H290" s="14" t="n">
        <v>-77004</v>
      </c>
      <c r="I290" s="14" t="n">
        <v>51336</v>
      </c>
      <c r="J290" s="14" t="n">
        <v>-25668</v>
      </c>
      <c r="K290" s="21" t="n">
        <v>46033.42444444444</v>
      </c>
      <c r="L290" s="21" t="n">
        <v>46033</v>
      </c>
      <c r="M290" s="8" t="inlineStr"/>
      <c r="N290" s="8" t="inlineStr">
        <is>
          <t>Разработчик/поддержка бота ETM</t>
        </is>
      </c>
      <c r="O290" s="8" t="inlineStr">
        <is>
          <t>k.dzhumaev</t>
        </is>
      </c>
      <c r="P290" s="12" t="inlineStr">
        <is>
          <t>В ETM 1 лишн. списание(й) одного билета на 25,668.00; без дубля сумма совпадает с 1С</t>
        </is>
      </c>
      <c r="Q290" s="8" t="inlineStr">
        <is>
          <t>57019508,57019527,57019559</t>
        </is>
      </c>
    </row>
    <row r="291">
      <c r="A291" s="8" t="inlineStr">
        <is>
          <t>G09614</t>
        </is>
      </c>
      <c r="B291" s="8" t="inlineStr">
        <is>
          <t>Кадырова Айнура Жумабекевна</t>
        </is>
      </c>
      <c r="C291" s="8" t="inlineStr">
        <is>
          <t>2420847582</t>
        </is>
      </c>
      <c r="D291" s="8" t="inlineStr">
        <is>
          <t>Есть в ETM, нет в 1С</t>
        </is>
      </c>
      <c r="E291" s="8" t="inlineStr">
        <is>
          <t>1С</t>
        </is>
      </c>
      <c r="F291" s="8" t="inlineStr">
        <is>
          <t>A</t>
        </is>
      </c>
      <c r="G291" s="14" t="n">
        <v>0</v>
      </c>
      <c r="H291" s="14" t="n">
        <v>-25665.91</v>
      </c>
      <c r="I291" s="14" t="n">
        <v>25665.9083</v>
      </c>
      <c r="J291" s="14" t="n">
        <v>-25665.91</v>
      </c>
      <c r="K291" s="21" t="n">
        <v>46172.73297453704</v>
      </c>
      <c r="L291" s="21" t="n"/>
      <c r="M291" s="8" t="inlineStr"/>
      <c r="N291" s="8" t="inlineStr">
        <is>
          <t>Бухгалтер 1С</t>
        </is>
      </c>
      <c r="O291" s="8" t="inlineStr">
        <is>
          <t>n.abdyldaeva</t>
        </is>
      </c>
      <c r="P291" s="12" t="inlineStr">
        <is>
          <t>Списание есть в ETM и продажа в реестре, но в 1С нет реализации по этим билетам — счёт не выставлен</t>
        </is>
      </c>
      <c r="Q291" s="8" t="inlineStr">
        <is>
          <t>57329546</t>
        </is>
      </c>
    </row>
    <row r="292">
      <c r="A292" s="8" t="inlineStr">
        <is>
          <t>G01604</t>
        </is>
      </c>
      <c r="B292" s="8" t="inlineStr">
        <is>
          <t>Karakol Express</t>
        </is>
      </c>
      <c r="C292" s="8" t="inlineStr">
        <is>
          <t>2461885014</t>
        </is>
      </c>
      <c r="D292" s="8" t="inlineStr">
        <is>
          <t>Есть в реестре и 1С, нет в ETM</t>
        </is>
      </c>
      <c r="E292" s="8" t="inlineStr">
        <is>
          <t>Бот ETM</t>
        </is>
      </c>
      <c r="F292" s="8" t="inlineStr">
        <is>
          <t>A</t>
        </is>
      </c>
      <c r="G292" s="14" t="n">
        <v>25659</v>
      </c>
      <c r="H292" s="14" t="n">
        <v>0</v>
      </c>
      <c r="I292" s="14" t="n">
        <v>25659</v>
      </c>
      <c r="J292" s="14" t="n">
        <v>25659</v>
      </c>
      <c r="K292" s="21" t="n"/>
      <c r="L292" s="21" t="n">
        <v>46063</v>
      </c>
      <c r="M292" s="8" t="inlineStr"/>
      <c r="N292" s="8" t="inlineStr">
        <is>
          <t>Разработчик/поддержка бота ETM</t>
        </is>
      </c>
      <c r="O292" s="8" t="inlineStr">
        <is>
          <t>r.sydykov</t>
        </is>
      </c>
      <c r="P292" s="12" t="inlineStr">
        <is>
          <t>Продажа есть в реестре и в 1С, но бот не перенёс её на баланс ETM — списания нет</t>
        </is>
      </c>
      <c r="Q292" s="8" t="inlineStr"/>
    </row>
    <row r="293">
      <c r="A293" s="8" t="inlineStr">
        <is>
          <t>G07625</t>
        </is>
      </c>
      <c r="B293" s="8" t="inlineStr">
        <is>
          <t>Жумабек кызы Умут</t>
        </is>
      </c>
      <c r="C293" s="8" t="inlineStr">
        <is>
          <t>2459532188</t>
        </is>
      </c>
      <c r="D293" s="8" t="inlineStr">
        <is>
          <t>Есть в реестре и 1С, нет в ETM</t>
        </is>
      </c>
      <c r="E293" s="8" t="inlineStr">
        <is>
          <t>Бот ETM</t>
        </is>
      </c>
      <c r="F293" s="8" t="inlineStr">
        <is>
          <t>A</t>
        </is>
      </c>
      <c r="G293" s="14" t="n">
        <v>25639</v>
      </c>
      <c r="H293" s="14" t="n">
        <v>0</v>
      </c>
      <c r="I293" s="14" t="n">
        <v>25639</v>
      </c>
      <c r="J293" s="14" t="n">
        <v>25639</v>
      </c>
      <c r="K293" s="21" t="n"/>
      <c r="L293" s="21" t="n">
        <v>46193</v>
      </c>
      <c r="M293" s="8" t="inlineStr"/>
      <c r="N293" s="8" t="inlineStr">
        <is>
          <t>Разработчик/поддержка бота ETM</t>
        </is>
      </c>
      <c r="O293" s="8" t="inlineStr">
        <is>
          <t>g.omurbekova</t>
        </is>
      </c>
      <c r="P293" s="12" t="inlineStr">
        <is>
          <t>Продажа есть в реестре и в 1С, но бот не перенёс её на баланс ETM — списания нет</t>
        </is>
      </c>
      <c r="Q293" s="8" t="inlineStr"/>
    </row>
    <row r="294">
      <c r="A294" s="8" t="inlineStr">
        <is>
          <t>G04154</t>
        </is>
      </c>
      <c r="B294" s="8" t="inlineStr">
        <is>
          <t>Абдылда уулу Б.</t>
        </is>
      </c>
      <c r="C294" s="8" t="inlineStr">
        <is>
          <t>2416944486</t>
        </is>
      </c>
      <c r="D294" s="8" t="inlineStr">
        <is>
          <t>Есть в ETM, нет в 1С</t>
        </is>
      </c>
      <c r="E294" s="8" t="inlineStr">
        <is>
          <t>1С</t>
        </is>
      </c>
      <c r="F294" s="8" t="inlineStr">
        <is>
          <t>A</t>
        </is>
      </c>
      <c r="G294" s="14" t="n">
        <v>0</v>
      </c>
      <c r="H294" s="14" t="n">
        <v>-25594.12</v>
      </c>
      <c r="I294" s="14" t="n">
        <v>25594.125</v>
      </c>
      <c r="J294" s="14" t="n">
        <v>-25594.12</v>
      </c>
      <c r="K294" s="21" t="n">
        <v>46223.69181712963</v>
      </c>
      <c r="L294" s="21" t="n"/>
      <c r="M294" s="8" t="inlineStr"/>
      <c r="N294" s="8" t="inlineStr">
        <is>
          <t>Бухгалтер 1С</t>
        </is>
      </c>
      <c r="O294" s="8" t="inlineStr">
        <is>
          <t>e.satarov</t>
        </is>
      </c>
      <c r="P294" s="12" t="inlineStr">
        <is>
          <t>Списание есть в ETM и продажа в реестре, но в 1С нет реализации по этим билетам — счёт не выставлен</t>
        </is>
      </c>
      <c r="Q294" s="8" t="inlineStr">
        <is>
          <t>57474301</t>
        </is>
      </c>
    </row>
    <row r="295">
      <c r="A295" s="8" t="inlineStr">
        <is>
          <t>G06220</t>
        </is>
      </c>
      <c r="B295" s="8" t="inlineStr">
        <is>
          <t>Бейшенова Н. Ч.</t>
        </is>
      </c>
      <c r="C295" s="8" t="inlineStr">
        <is>
          <t>2552672489</t>
        </is>
      </c>
      <c r="D295" s="8" t="inlineStr">
        <is>
          <t>Есть в ETM, нет в 1С</t>
        </is>
      </c>
      <c r="E295" s="8" t="inlineStr">
        <is>
          <t>1С</t>
        </is>
      </c>
      <c r="F295" s="8" t="inlineStr">
        <is>
          <t>A</t>
        </is>
      </c>
      <c r="G295" s="14" t="n">
        <v>0</v>
      </c>
      <c r="H295" s="14" t="n">
        <v>-25576.95</v>
      </c>
      <c r="I295" s="14" t="n"/>
      <c r="J295" s="14" t="n">
        <v>-25576.95</v>
      </c>
      <c r="K295" s="21" t="n">
        <v>46234.6059837963</v>
      </c>
      <c r="L295" s="21" t="n"/>
      <c r="M295" s="8" t="inlineStr"/>
      <c r="N295" s="8" t="inlineStr">
        <is>
          <t>Бухгалтер 1С</t>
        </is>
      </c>
      <c r="O295" s="8" t="inlineStr"/>
      <c r="P295" s="12" t="inlineStr">
        <is>
          <t>Списание есть в ETM, но в 1С нет реализации по этим билетам — счёт не выставлен</t>
        </is>
      </c>
      <c r="Q295" s="8" t="inlineStr">
        <is>
          <t>57503335</t>
        </is>
      </c>
    </row>
    <row r="296">
      <c r="A296" s="8" t="inlineStr">
        <is>
          <t>G03132</t>
        </is>
      </c>
      <c r="B296" s="8" t="inlineStr">
        <is>
          <t>SkyWay Travel</t>
        </is>
      </c>
      <c r="C296" s="8" t="inlineStr">
        <is>
          <t>2461885042</t>
        </is>
      </c>
      <c r="D296" s="8" t="inlineStr">
        <is>
          <t>Есть в ETM, нет в 1С</t>
        </is>
      </c>
      <c r="E296" s="8" t="inlineStr">
        <is>
          <t>1С</t>
        </is>
      </c>
      <c r="F296" s="8" t="inlineStr">
        <is>
          <t>A</t>
        </is>
      </c>
      <c r="G296" s="14" t="n">
        <v>0</v>
      </c>
      <c r="H296" s="14" t="n">
        <v>-25455</v>
      </c>
      <c r="I296" s="14" t="n"/>
      <c r="J296" s="14" t="n">
        <v>-25455</v>
      </c>
      <c r="K296" s="21" t="n">
        <v>46064.82696759259</v>
      </c>
      <c r="L296" s="21" t="n"/>
      <c r="M296" s="8" t="inlineStr"/>
      <c r="N296" s="8" t="inlineStr">
        <is>
          <t>Бухгалтер 1С</t>
        </is>
      </c>
      <c r="O296" s="8" t="inlineStr"/>
      <c r="P296" s="12" t="inlineStr">
        <is>
          <t>Списание есть в ETM, но в 1С нет реализации по этим билетам — счёт не выставлен</t>
        </is>
      </c>
      <c r="Q296" s="8" t="inlineStr">
        <is>
          <t>57085599</t>
        </is>
      </c>
    </row>
    <row r="297">
      <c r="A297" s="8" t="inlineStr">
        <is>
          <t>G03729</t>
        </is>
      </c>
      <c r="B297" s="8" t="inlineStr">
        <is>
          <t>SkyWay Travel</t>
        </is>
      </c>
      <c r="C297" s="8" t="inlineStr">
        <is>
          <t>2559102253</t>
        </is>
      </c>
      <c r="D297" s="8" t="inlineStr">
        <is>
          <t>Есть в ETM, нет в 1С</t>
        </is>
      </c>
      <c r="E297" s="8" t="inlineStr">
        <is>
          <t>1С</t>
        </is>
      </c>
      <c r="F297" s="8" t="inlineStr">
        <is>
          <t>A</t>
        </is>
      </c>
      <c r="G297" s="14" t="n">
        <v>0</v>
      </c>
      <c r="H297" s="14" t="n">
        <v>-25420.47</v>
      </c>
      <c r="I297" s="14" t="n"/>
      <c r="J297" s="14" t="n">
        <v>-25420.47</v>
      </c>
      <c r="K297" s="21" t="n">
        <v>46047.57508101852</v>
      </c>
      <c r="L297" s="21" t="n"/>
      <c r="M297" s="8" t="inlineStr"/>
      <c r="N297" s="8" t="inlineStr">
        <is>
          <t>Бухгалтер 1С</t>
        </is>
      </c>
      <c r="O297" s="8" t="inlineStr"/>
      <c r="P297" s="12" t="inlineStr">
        <is>
          <t>Списание есть в ETM, но в 1С нет реализации по этим билетам — счёт не выставлен</t>
        </is>
      </c>
      <c r="Q297" s="8" t="inlineStr">
        <is>
          <t>57052448</t>
        </is>
      </c>
    </row>
    <row r="298">
      <c r="A298" s="8" t="inlineStr">
        <is>
          <t>G03730</t>
        </is>
      </c>
      <c r="B298" s="8" t="inlineStr">
        <is>
          <t>SkyWay Travel</t>
        </is>
      </c>
      <c r="C298" s="8" t="inlineStr">
        <is>
          <t>2559102255</t>
        </is>
      </c>
      <c r="D298" s="8" t="inlineStr">
        <is>
          <t>Есть в ETM, нет в 1С</t>
        </is>
      </c>
      <c r="E298" s="8" t="inlineStr">
        <is>
          <t>1С</t>
        </is>
      </c>
      <c r="F298" s="8" t="inlineStr">
        <is>
          <t>A</t>
        </is>
      </c>
      <c r="G298" s="14" t="n">
        <v>0</v>
      </c>
      <c r="H298" s="14" t="n">
        <v>-25420.47</v>
      </c>
      <c r="I298" s="14" t="n"/>
      <c r="J298" s="14" t="n">
        <v>-25420.47</v>
      </c>
      <c r="K298" s="21" t="n">
        <v>46047.534375</v>
      </c>
      <c r="L298" s="21" t="n"/>
      <c r="M298" s="8" t="inlineStr"/>
      <c r="N298" s="8" t="inlineStr">
        <is>
          <t>Бухгалтер 1С</t>
        </is>
      </c>
      <c r="O298" s="8" t="inlineStr"/>
      <c r="P298" s="12" t="inlineStr">
        <is>
          <t>Списание есть в ETM, но в 1С нет реализации по этим билетам — счёт не выставлен</t>
        </is>
      </c>
      <c r="Q298" s="8" t="inlineStr">
        <is>
          <t>57052474</t>
        </is>
      </c>
    </row>
    <row r="299">
      <c r="A299" s="8" t="inlineStr">
        <is>
          <t>G03731</t>
        </is>
      </c>
      <c r="B299" s="8" t="inlineStr">
        <is>
          <t>SkyWay Travel</t>
        </is>
      </c>
      <c r="C299" s="8" t="inlineStr">
        <is>
          <t>2559102256</t>
        </is>
      </c>
      <c r="D299" s="8" t="inlineStr">
        <is>
          <t>Есть в ETM, нет в 1С</t>
        </is>
      </c>
      <c r="E299" s="8" t="inlineStr">
        <is>
          <t>1С</t>
        </is>
      </c>
      <c r="F299" s="8" t="inlineStr">
        <is>
          <t>A</t>
        </is>
      </c>
      <c r="G299" s="14" t="n">
        <v>0</v>
      </c>
      <c r="H299" s="14" t="n">
        <v>-25420.47</v>
      </c>
      <c r="I299" s="14" t="n"/>
      <c r="J299" s="14" t="n">
        <v>-25420.47</v>
      </c>
      <c r="K299" s="21" t="n">
        <v>46047.76238425926</v>
      </c>
      <c r="L299" s="21" t="n"/>
      <c r="M299" s="8" t="inlineStr"/>
      <c r="N299" s="8" t="inlineStr">
        <is>
          <t>Бухгалтер 1С</t>
        </is>
      </c>
      <c r="O299" s="8" t="inlineStr"/>
      <c r="P299" s="12" t="inlineStr">
        <is>
          <t>Списание есть в ETM, но в 1С нет реализации по этим билетам — счёт не выставлен</t>
        </is>
      </c>
      <c r="Q299" s="8" t="inlineStr">
        <is>
          <t>57052477</t>
        </is>
      </c>
    </row>
    <row r="300">
      <c r="A300" s="8" t="inlineStr">
        <is>
          <t>G09715</t>
        </is>
      </c>
      <c r="B300" s="8" t="inlineStr">
        <is>
          <t>Кадырова Айнура Жумабекевна</t>
        </is>
      </c>
      <c r="C300" s="8" t="inlineStr">
        <is>
          <t>2461884233</t>
        </is>
      </c>
      <c r="D300" s="8" t="inlineStr">
        <is>
          <t>Есть в реестре и 1С, нет в ETM</t>
        </is>
      </c>
      <c r="E300" s="8" t="inlineStr">
        <is>
          <t>Бот ETM</t>
        </is>
      </c>
      <c r="F300" s="8" t="inlineStr">
        <is>
          <t>A</t>
        </is>
      </c>
      <c r="G300" s="14" t="n">
        <v>25411</v>
      </c>
      <c r="H300" s="14" t="n">
        <v>0</v>
      </c>
      <c r="I300" s="14" t="n">
        <v>25411</v>
      </c>
      <c r="J300" s="14" t="n">
        <v>25411</v>
      </c>
      <c r="K300" s="21" t="n"/>
      <c r="L300" s="21" t="n">
        <v>46161</v>
      </c>
      <c r="M300" s="8" t="inlineStr"/>
      <c r="N300" s="8" t="inlineStr">
        <is>
          <t>Разработчик/поддержка бота ETM</t>
        </is>
      </c>
      <c r="O300" s="8" t="inlineStr">
        <is>
          <t>d.mambetova</t>
        </is>
      </c>
      <c r="P300" s="12" t="inlineStr">
        <is>
          <t>Продажа есть в реестре и в 1С, но бот не перенёс её на баланс ETM — списания нет</t>
        </is>
      </c>
      <c r="Q300" s="8" t="inlineStr"/>
    </row>
    <row r="301">
      <c r="A301" s="8" t="inlineStr">
        <is>
          <t>G14784</t>
        </is>
      </c>
      <c r="B301" s="8" t="inlineStr">
        <is>
          <t>ЫЙЫК ЭКСПРЕСС</t>
        </is>
      </c>
      <c r="C301" s="8" t="inlineStr">
        <is>
          <t>2461881986</t>
        </is>
      </c>
      <c r="D301" s="8" t="inlineStr">
        <is>
          <t>Есть в ETM, нет в 1С</t>
        </is>
      </c>
      <c r="E301" s="8" t="inlineStr">
        <is>
          <t>1С</t>
        </is>
      </c>
      <c r="F301" s="8" t="inlineStr">
        <is>
          <t>A</t>
        </is>
      </c>
      <c r="G301" s="14" t="n">
        <v>0</v>
      </c>
      <c r="H301" s="14" t="n">
        <v>-25357</v>
      </c>
      <c r="I301" s="14" t="n"/>
      <c r="J301" s="14" t="n">
        <v>-25357</v>
      </c>
      <c r="K301" s="21" t="n">
        <v>46161.33386574074</v>
      </c>
      <c r="L301" s="21" t="n"/>
      <c r="M301" s="8" t="inlineStr"/>
      <c r="N301" s="8" t="inlineStr">
        <is>
          <t>Бухгалтер 1С</t>
        </is>
      </c>
      <c r="O301" s="8" t="inlineStr"/>
      <c r="P301" s="12" t="inlineStr">
        <is>
          <t>Списание есть в ETM, но в 1С нет реализации по этим билетам — счёт не выставлен</t>
        </is>
      </c>
      <c r="Q301" s="8" t="inlineStr">
        <is>
          <t>57297705</t>
        </is>
      </c>
    </row>
    <row r="302">
      <c r="A302" s="8" t="inlineStr">
        <is>
          <t>G02874</t>
        </is>
      </c>
      <c r="B302" s="8" t="inlineStr">
        <is>
          <t>SkyWay Travel</t>
        </is>
      </c>
      <c r="C302" s="8" t="inlineStr">
        <is>
          <t>2460735521</t>
        </is>
      </c>
      <c r="D302" s="8" t="inlineStr">
        <is>
          <t>Сумма не сходится</t>
        </is>
      </c>
      <c r="E302" s="8" t="inlineStr">
        <is>
          <t>Бот ETM</t>
        </is>
      </c>
      <c r="F302" s="8" t="inlineStr">
        <is>
          <t>A</t>
        </is>
      </c>
      <c r="G302" s="14" t="n">
        <v>25328</v>
      </c>
      <c r="H302" s="14" t="n">
        <v>-50656</v>
      </c>
      <c r="I302" s="14" t="n">
        <v>25328</v>
      </c>
      <c r="J302" s="14" t="n">
        <v>-25328</v>
      </c>
      <c r="K302" s="21" t="n">
        <v>46035.63505787037</v>
      </c>
      <c r="L302" s="21" t="n">
        <v>46035</v>
      </c>
      <c r="M302" s="8" t="inlineStr"/>
      <c r="N302" s="8" t="inlineStr">
        <is>
          <t>Разработчик/поддержка бота ETM</t>
        </is>
      </c>
      <c r="O302" s="8" t="inlineStr">
        <is>
          <t>d.mambetova</t>
        </is>
      </c>
      <c r="P302" s="12" t="inlineStr">
        <is>
          <t>Реестр (25,328.00) совпадает с 1С (25,328.00), а в ETM 50,656.00: бот перенёс неверную сумму</t>
        </is>
      </c>
      <c r="Q302" s="8" t="inlineStr">
        <is>
          <t>57024621,57024633</t>
        </is>
      </c>
    </row>
    <row r="303">
      <c r="A303" s="8" t="inlineStr">
        <is>
          <t>G11472</t>
        </is>
      </c>
      <c r="B303" s="8" t="inlineStr">
        <is>
          <t>ОсОО Иссык Тур</t>
        </is>
      </c>
      <c r="C303" s="8" t="inlineStr">
        <is>
          <t>2559103743|2559103745|2559103747|2559103748</t>
        </is>
      </c>
      <c r="D303" s="8" t="inlineStr">
        <is>
          <t>Двойное списание в ETM</t>
        </is>
      </c>
      <c r="E303" s="8" t="inlineStr">
        <is>
          <t>Бот ETM</t>
        </is>
      </c>
      <c r="F303" s="8" t="inlineStr">
        <is>
          <t>A</t>
        </is>
      </c>
      <c r="G303" s="14" t="n">
        <v>101246</v>
      </c>
      <c r="H303" s="14" t="n">
        <v>-126557.5</v>
      </c>
      <c r="I303" s="14" t="n">
        <v>101246</v>
      </c>
      <c r="J303" s="14" t="n">
        <v>-25311.5</v>
      </c>
      <c r="K303" s="21" t="n">
        <v>46154.36326388889</v>
      </c>
      <c r="L303" s="21" t="n">
        <v>46154</v>
      </c>
      <c r="M303" s="8" t="inlineStr"/>
      <c r="N303" s="8" t="inlineStr">
        <is>
          <t>Разработчик/поддержка бота ETM</t>
        </is>
      </c>
      <c r="O303" s="8" t="inlineStr">
        <is>
          <t>d.mambetova</t>
        </is>
      </c>
      <c r="P303" s="12" t="inlineStr">
        <is>
          <t>В ETM 1 лишн. списание(й) одного билета на 25,311.50; без дубля сумма совпадает с 1С</t>
        </is>
      </c>
      <c r="Q303" s="8" t="inlineStr">
        <is>
          <t>57277805,57277803,57277817,57277835,57277858</t>
        </is>
      </c>
    </row>
    <row r="304">
      <c r="A304" s="8" t="inlineStr">
        <is>
          <t>G09270</t>
        </is>
      </c>
      <c r="B304" s="8" t="inlineStr">
        <is>
          <t>ИССЫК ТРИП</t>
        </is>
      </c>
      <c r="C304" s="8" t="inlineStr">
        <is>
          <t>2552668201</t>
        </is>
      </c>
      <c r="D304" s="8" t="inlineStr">
        <is>
          <t>Есть в ETM, нет в 1С</t>
        </is>
      </c>
      <c r="E304" s="8" t="inlineStr">
        <is>
          <t>1С</t>
        </is>
      </c>
      <c r="F304" s="8" t="inlineStr">
        <is>
          <t>A</t>
        </is>
      </c>
      <c r="G304" s="14" t="n">
        <v>0</v>
      </c>
      <c r="H304" s="14" t="n">
        <v>-25272.75</v>
      </c>
      <c r="I304" s="14" t="n">
        <v>2.717500000002474</v>
      </c>
      <c r="J304" s="14" t="n">
        <v>-25272.75</v>
      </c>
      <c r="K304" s="21" t="n">
        <v>46222.50971064815</v>
      </c>
      <c r="L304" s="21" t="n"/>
      <c r="M304" s="8" t="inlineStr"/>
      <c r="N304" s="8" t="inlineStr">
        <is>
          <t>Бухгалтер 1С</t>
        </is>
      </c>
      <c r="O304" s="8" t="inlineStr">
        <is>
          <t>b.isakov</t>
        </is>
      </c>
      <c r="P304" s="12" t="inlineStr">
        <is>
          <t>Списание есть в ETM и продажа в реестре, но в 1С нет реализации по этим билетам — счёт не выставлен</t>
        </is>
      </c>
      <c r="Q304" s="8" t="inlineStr">
        <is>
          <t>57470637</t>
        </is>
      </c>
    </row>
    <row r="305">
      <c r="A305" s="8" t="inlineStr">
        <is>
          <t>G07785</t>
        </is>
      </c>
      <c r="B305" s="8" t="inlineStr">
        <is>
          <t>ИП Абдыраманова Ж. Д.</t>
        </is>
      </c>
      <c r="C305" s="8" t="inlineStr">
        <is>
          <t>2461883459</t>
        </is>
      </c>
      <c r="D305" s="8" t="inlineStr">
        <is>
          <t>Есть в ETM, нет в 1С</t>
        </is>
      </c>
      <c r="E305" s="8" t="inlineStr">
        <is>
          <t>1С</t>
        </is>
      </c>
      <c r="F305" s="8" t="inlineStr">
        <is>
          <t>A</t>
        </is>
      </c>
      <c r="G305" s="14" t="n">
        <v>0</v>
      </c>
      <c r="H305" s="14" t="n">
        <v>-25213</v>
      </c>
      <c r="I305" s="14" t="n">
        <v>800</v>
      </c>
      <c r="J305" s="14" t="n">
        <v>-25213</v>
      </c>
      <c r="K305" s="21" t="n">
        <v>46211.47716435185</v>
      </c>
      <c r="L305" s="21" t="n"/>
      <c r="M305" s="8" t="inlineStr"/>
      <c r="N305" s="8" t="inlineStr">
        <is>
          <t>Бухгалтер 1С</t>
        </is>
      </c>
      <c r="O305" s="8" t="inlineStr">
        <is>
          <t>a.toktosunova|g.omurbekova</t>
        </is>
      </c>
      <c r="P305" s="12" t="inlineStr">
        <is>
          <t>Списание есть в ETM и продажа в реестре, но в 1С нет реализации по этим билетам — счёт не выставлен</t>
        </is>
      </c>
      <c r="Q305" s="8" t="inlineStr">
        <is>
          <t>57440334</t>
        </is>
      </c>
    </row>
    <row r="306">
      <c r="A306" s="8" t="inlineStr">
        <is>
          <t>G15326</t>
        </is>
      </c>
      <c r="B306" s="8" t="inlineStr">
        <is>
          <t>Эсенбек уулу Азамат</t>
        </is>
      </c>
      <c r="C306" s="8" t="inlineStr">
        <is>
          <t>2552667431</t>
        </is>
      </c>
      <c r="D306" s="8" t="inlineStr">
        <is>
          <t>Есть в ETM, нет в 1С</t>
        </is>
      </c>
      <c r="E306" s="8" t="inlineStr">
        <is>
          <t>1С</t>
        </is>
      </c>
      <c r="F306" s="8" t="inlineStr">
        <is>
          <t>A</t>
        </is>
      </c>
      <c r="G306" s="14" t="n">
        <v>0</v>
      </c>
      <c r="H306" s="14" t="n">
        <v>-25189.56</v>
      </c>
      <c r="I306" s="14" t="n">
        <v>1500</v>
      </c>
      <c r="J306" s="14" t="n">
        <v>-25189.56</v>
      </c>
      <c r="K306" s="21" t="n">
        <v>46171.47778935185</v>
      </c>
      <c r="L306" s="21" t="n"/>
      <c r="M306" s="8" t="inlineStr"/>
      <c r="N306" s="8" t="inlineStr">
        <is>
          <t>Бухгалтер 1С</t>
        </is>
      </c>
      <c r="O306" s="8" t="inlineStr">
        <is>
          <t>d.mambetova|g.omurbekova</t>
        </is>
      </c>
      <c r="P306" s="12" t="inlineStr">
        <is>
          <t>Списание есть в ETM и продажа в реестре, но в 1С нет реализации по этим билетам — счёт не выставлен</t>
        </is>
      </c>
      <c r="Q306" s="8" t="inlineStr">
        <is>
          <t>57325281</t>
        </is>
      </c>
    </row>
    <row r="307">
      <c r="A307" s="8" t="inlineStr">
        <is>
          <t>G12194</t>
        </is>
      </c>
      <c r="B307" s="8" t="inlineStr">
        <is>
          <t>Осмонова А. Н.</t>
        </is>
      </c>
      <c r="C307" s="8" t="inlineStr">
        <is>
          <t>2559101210</t>
        </is>
      </c>
      <c r="D307" s="8" t="inlineStr">
        <is>
          <t>Есть в ETM, нет в 1С</t>
        </is>
      </c>
      <c r="E307" s="8" t="inlineStr">
        <is>
          <t>1С</t>
        </is>
      </c>
      <c r="F307" s="8" t="inlineStr">
        <is>
          <t>A</t>
        </is>
      </c>
      <c r="G307" s="14" t="n">
        <v>0</v>
      </c>
      <c r="H307" s="14" t="n">
        <v>-25040.75</v>
      </c>
      <c r="I307" s="14" t="n"/>
      <c r="J307" s="14" t="n">
        <v>-25040.75</v>
      </c>
      <c r="K307" s="21" t="n">
        <v>46052.73572916666</v>
      </c>
      <c r="L307" s="21" t="n"/>
      <c r="M307" s="8" t="inlineStr"/>
      <c r="N307" s="8" t="inlineStr">
        <is>
          <t>Бухгалтер 1С</t>
        </is>
      </c>
      <c r="O307" s="8" t="inlineStr"/>
      <c r="P307" s="12" t="inlineStr">
        <is>
          <t>Списание есть в ETM, но в 1С нет реализации по этим билетам — счёт не выставлен</t>
        </is>
      </c>
      <c r="Q307" s="8" t="inlineStr">
        <is>
          <t>57064217</t>
        </is>
      </c>
    </row>
    <row r="308">
      <c r="A308" s="8" t="inlineStr">
        <is>
          <t>G12195</t>
        </is>
      </c>
      <c r="B308" s="8" t="inlineStr">
        <is>
          <t>Осмонова А. Н.</t>
        </is>
      </c>
      <c r="C308" s="8" t="inlineStr">
        <is>
          <t>2559101212</t>
        </is>
      </c>
      <c r="D308" s="8" t="inlineStr">
        <is>
          <t>Есть в ETM, нет в 1С</t>
        </is>
      </c>
      <c r="E308" s="8" t="inlineStr">
        <is>
          <t>1С</t>
        </is>
      </c>
      <c r="F308" s="8" t="inlineStr">
        <is>
          <t>A</t>
        </is>
      </c>
      <c r="G308" s="14" t="n">
        <v>0</v>
      </c>
      <c r="H308" s="14" t="n">
        <v>-25040.75</v>
      </c>
      <c r="I308" s="14" t="n"/>
      <c r="J308" s="14" t="n">
        <v>-25040.75</v>
      </c>
      <c r="K308" s="21" t="n">
        <v>46052.68831018519</v>
      </c>
      <c r="L308" s="21" t="n"/>
      <c r="M308" s="8" t="inlineStr"/>
      <c r="N308" s="8" t="inlineStr">
        <is>
          <t>Бухгалтер 1С</t>
        </is>
      </c>
      <c r="O308" s="8" t="inlineStr"/>
      <c r="P308" s="12" t="inlineStr">
        <is>
          <t>Списание есть в ETM, но в 1С нет реализации по этим билетам — счёт не выставлен</t>
        </is>
      </c>
      <c r="Q308" s="8" t="inlineStr">
        <is>
          <t>57064254</t>
        </is>
      </c>
    </row>
    <row r="309">
      <c r="A309" s="8" t="inlineStr">
        <is>
          <t>G12196</t>
        </is>
      </c>
      <c r="B309" s="8" t="inlineStr">
        <is>
          <t>Осмонова А. Н.</t>
        </is>
      </c>
      <c r="C309" s="8" t="inlineStr">
        <is>
          <t>2559101213</t>
        </is>
      </c>
      <c r="D309" s="8" t="inlineStr">
        <is>
          <t>Есть в ETM, нет в 1С</t>
        </is>
      </c>
      <c r="E309" s="8" t="inlineStr">
        <is>
          <t>1С</t>
        </is>
      </c>
      <c r="F309" s="8" t="inlineStr">
        <is>
          <t>A</t>
        </is>
      </c>
      <c r="G309" s="14" t="n">
        <v>0</v>
      </c>
      <c r="H309" s="14" t="n">
        <v>-25040.75</v>
      </c>
      <c r="I309" s="14" t="n"/>
      <c r="J309" s="14" t="n">
        <v>-25040.75</v>
      </c>
      <c r="K309" s="21" t="n">
        <v>46052.41245370371</v>
      </c>
      <c r="L309" s="21" t="n"/>
      <c r="M309" s="8" t="inlineStr"/>
      <c r="N309" s="8" t="inlineStr">
        <is>
          <t>Бухгалтер 1С</t>
        </is>
      </c>
      <c r="O309" s="8" t="inlineStr"/>
      <c r="P309" s="12" t="inlineStr">
        <is>
          <t>Списание есть в ETM, но в 1С нет реализации по этим билетам — счёт не выставлен</t>
        </is>
      </c>
      <c r="Q309" s="8" t="inlineStr">
        <is>
          <t>57064289</t>
        </is>
      </c>
    </row>
    <row r="310">
      <c r="A310" s="8" t="inlineStr">
        <is>
          <t>G13680</t>
        </is>
      </c>
      <c r="B310" s="8" t="inlineStr">
        <is>
          <t>ТАЛАС ЛАЙН</t>
        </is>
      </c>
      <c r="C310" s="8" t="inlineStr">
        <is>
          <t>2420846875</t>
        </is>
      </c>
      <c r="D310" s="8" t="inlineStr">
        <is>
          <t>Есть в ETM, нет в 1С</t>
        </is>
      </c>
      <c r="E310" s="8" t="inlineStr">
        <is>
          <t>1С</t>
        </is>
      </c>
      <c r="F310" s="8" t="inlineStr">
        <is>
          <t>A</t>
        </is>
      </c>
      <c r="G310" s="14" t="n">
        <v>0</v>
      </c>
      <c r="H310" s="14" t="n">
        <v>-25020</v>
      </c>
      <c r="I310" s="14" t="n"/>
      <c r="J310" s="14" t="n">
        <v>-25020</v>
      </c>
      <c r="K310" s="21" t="n">
        <v>46146.68869212963</v>
      </c>
      <c r="L310" s="21" t="n"/>
      <c r="M310" s="8" t="inlineStr"/>
      <c r="N310" s="8" t="inlineStr">
        <is>
          <t>Бухгалтер 1С</t>
        </is>
      </c>
      <c r="O310" s="8" t="inlineStr"/>
      <c r="P310" s="12" t="inlineStr">
        <is>
          <t>Списание есть в ETM, но в 1С нет реализации по этим билетам — счёт не выставлен</t>
        </is>
      </c>
      <c r="Q310" s="8" t="inlineStr">
        <is>
          <t>57251816</t>
        </is>
      </c>
    </row>
    <row r="311">
      <c r="A311" s="8" t="inlineStr">
        <is>
          <t>G02659</t>
        </is>
      </c>
      <c r="B311" s="8" t="inlineStr">
        <is>
          <t>SkyWay Travel</t>
        </is>
      </c>
      <c r="C311" s="8" t="inlineStr">
        <is>
          <t>2459528651</t>
        </is>
      </c>
      <c r="D311" s="8" t="inlineStr">
        <is>
          <t>Двойное списание в ETM</t>
        </is>
      </c>
      <c r="E311" s="8" t="inlineStr">
        <is>
          <t>Бот ETM</t>
        </is>
      </c>
      <c r="F311" s="8" t="inlineStr">
        <is>
          <t>A</t>
        </is>
      </c>
      <c r="G311" s="14" t="n">
        <v>24821</v>
      </c>
      <c r="H311" s="14" t="n">
        <v>-49642</v>
      </c>
      <c r="I311" s="14" t="n">
        <v>24821</v>
      </c>
      <c r="J311" s="14" t="n">
        <v>-24821</v>
      </c>
      <c r="K311" s="21" t="n">
        <v>46120.54263888889</v>
      </c>
      <c r="L311" s="21" t="n">
        <v>46120</v>
      </c>
      <c r="M311" s="8" t="inlineStr"/>
      <c r="N311" s="8" t="inlineStr">
        <is>
          <t>Разработчик/поддержка бота ETM</t>
        </is>
      </c>
      <c r="O311" s="8" t="inlineStr">
        <is>
          <t>e.satarov</t>
        </is>
      </c>
      <c r="P311" s="12" t="inlineStr">
        <is>
          <t>В ETM 1 лишн. списание(й) одного билета на 24,821.00; без дубля сумма совпадает с 1С</t>
        </is>
      </c>
      <c r="Q311" s="8" t="inlineStr">
        <is>
          <t>57196686,57196716</t>
        </is>
      </c>
    </row>
    <row r="312">
      <c r="A312" s="8" t="inlineStr">
        <is>
          <t>G07937</t>
        </is>
      </c>
      <c r="B312" s="8" t="inlineStr">
        <is>
          <t>ИП Бейшенова Д. О.</t>
        </is>
      </c>
      <c r="C312" s="8" t="inlineStr">
        <is>
          <t>2459530434</t>
        </is>
      </c>
      <c r="D312" s="8" t="inlineStr">
        <is>
          <t>Есть в ETM, нет в 1С</t>
        </is>
      </c>
      <c r="E312" s="8" t="inlineStr">
        <is>
          <t>1С</t>
        </is>
      </c>
      <c r="F312" s="8" t="inlineStr">
        <is>
          <t>A</t>
        </is>
      </c>
      <c r="G312" s="14" t="n">
        <v>0</v>
      </c>
      <c r="H312" s="14" t="n">
        <v>-24802</v>
      </c>
      <c r="I312" s="14" t="n"/>
      <c r="J312" s="14" t="n">
        <v>-24802</v>
      </c>
      <c r="K312" s="21" t="n">
        <v>46034.75618055555</v>
      </c>
      <c r="L312" s="21" t="n"/>
      <c r="M312" s="8" t="inlineStr"/>
      <c r="N312" s="8" t="inlineStr">
        <is>
          <t>Бухгалтер 1С</t>
        </is>
      </c>
      <c r="O312" s="8" t="inlineStr"/>
      <c r="P312" s="12" t="inlineStr">
        <is>
          <t>Списание есть в ETM, но в 1С нет реализации по этим билетам — счёт не выставлен</t>
        </is>
      </c>
      <c r="Q312" s="8" t="inlineStr">
        <is>
          <t>57023117</t>
        </is>
      </c>
    </row>
    <row r="313">
      <c r="A313" s="8" t="inlineStr">
        <is>
          <t>G12311</t>
        </is>
      </c>
      <c r="B313" s="8" t="inlineStr">
        <is>
          <t>САЛАМ ЭЙР</t>
        </is>
      </c>
      <c r="C313" s="8" t="inlineStr">
        <is>
          <t>2459528172</t>
        </is>
      </c>
      <c r="D313" s="8" t="inlineStr">
        <is>
          <t>Есть в ETM, нет в 1С</t>
        </is>
      </c>
      <c r="E313" s="8" t="inlineStr">
        <is>
          <t>1С</t>
        </is>
      </c>
      <c r="F313" s="8" t="inlineStr">
        <is>
          <t>A</t>
        </is>
      </c>
      <c r="G313" s="14" t="n">
        <v>0</v>
      </c>
      <c r="H313" s="14" t="n">
        <v>-24782</v>
      </c>
      <c r="I313" s="14" t="n">
        <v>0</v>
      </c>
      <c r="J313" s="14" t="n">
        <v>-24782</v>
      </c>
      <c r="K313" s="21" t="n">
        <v>46027.40820601852</v>
      </c>
      <c r="L313" s="21" t="n"/>
      <c r="M313" s="8" t="inlineStr"/>
      <c r="N313" s="8" t="inlineStr">
        <is>
          <t>Бухгалтер 1С</t>
        </is>
      </c>
      <c r="O313" s="8" t="inlineStr">
        <is>
          <t>b.isakov|k.dzhumaev</t>
        </is>
      </c>
      <c r="P313" s="12" t="inlineStr">
        <is>
          <t>Списание есть в ETM и продажа в реестре, но в 1С нет реализации по этим билетам — счёт не выставлен</t>
        </is>
      </c>
      <c r="Q313" s="8" t="inlineStr">
        <is>
          <t>57007616</t>
        </is>
      </c>
    </row>
    <row r="314">
      <c r="A314" s="8" t="inlineStr">
        <is>
          <t>G14162</t>
        </is>
      </c>
      <c r="B314" s="8" t="inlineStr">
        <is>
          <t>Урматова Айпери Нурбековна</t>
        </is>
      </c>
      <c r="C314" s="8" t="inlineStr">
        <is>
          <t>2459526751</t>
        </is>
      </c>
      <c r="D314" s="8" t="inlineStr">
        <is>
          <t>Сумма не сходится</t>
        </is>
      </c>
      <c r="E314" s="8" t="inlineStr">
        <is>
          <t>1С</t>
        </is>
      </c>
      <c r="F314" s="8" t="inlineStr">
        <is>
          <t>A</t>
        </is>
      </c>
      <c r="G314" s="14" t="n">
        <v>-12383</v>
      </c>
      <c r="H314" s="14" t="n">
        <v>-12383</v>
      </c>
      <c r="I314" s="14" t="n">
        <v>12383</v>
      </c>
      <c r="J314" s="14" t="n">
        <v>-24766</v>
      </c>
      <c r="K314" s="21" t="n">
        <v>46027.49211805555</v>
      </c>
      <c r="L314" s="21" t="n">
        <v>46047</v>
      </c>
      <c r="M314" s="8" t="inlineStr"/>
      <c r="N314" s="8" t="inlineStr">
        <is>
          <t>Бухгалтер 1С</t>
        </is>
      </c>
      <c r="O314" s="8" t="inlineStr">
        <is>
          <t>n.abdyldaeva|r.sydykov</t>
        </is>
      </c>
      <c r="P314" s="12" t="inlineStr">
        <is>
          <t>Реестр (12,383.00) совпадает с ETM (12,383.00), а в 1С -12,383.00: неверная сумма в 1С</t>
        </is>
      </c>
      <c r="Q314" s="8" t="inlineStr">
        <is>
          <t>57006985,57051102</t>
        </is>
      </c>
    </row>
    <row r="315">
      <c r="A315" s="8" t="inlineStr">
        <is>
          <t>G02680</t>
        </is>
      </c>
      <c r="B315" s="8" t="inlineStr">
        <is>
          <t>SkyWay Travel</t>
        </is>
      </c>
      <c r="C315" s="8" t="inlineStr">
        <is>
          <t>2459529055|2459529056|2459529059</t>
        </is>
      </c>
      <c r="D315" s="8" t="inlineStr">
        <is>
          <t>Двойное списание в ETM</t>
        </is>
      </c>
      <c r="E315" s="8" t="inlineStr">
        <is>
          <t>Бот ETM</t>
        </is>
      </c>
      <c r="F315" s="8" t="inlineStr">
        <is>
          <t>A</t>
        </is>
      </c>
      <c r="G315" s="14" t="n">
        <v>74037</v>
      </c>
      <c r="H315" s="14" t="n">
        <v>-98716</v>
      </c>
      <c r="I315" s="14" t="n">
        <v>74037</v>
      </c>
      <c r="J315" s="14" t="n">
        <v>-24679</v>
      </c>
      <c r="K315" s="21" t="n">
        <v>46056.34103009259</v>
      </c>
      <c r="L315" s="21" t="n">
        <v>46056</v>
      </c>
      <c r="M315" s="8" t="inlineStr"/>
      <c r="N315" s="8" t="inlineStr">
        <is>
          <t>Разработчик/поддержка бота ETM</t>
        </is>
      </c>
      <c r="O315" s="8" t="inlineStr">
        <is>
          <t>k.dzhumaev</t>
        </is>
      </c>
      <c r="P315" s="12" t="inlineStr">
        <is>
          <t>В ETM 1 лишн. списание(й) одного билета на 24,679.00; без дубля сумма совпадает с 1С</t>
        </is>
      </c>
      <c r="Q315" s="8" t="inlineStr">
        <is>
          <t>57071208,57071273,57071237,57071280</t>
        </is>
      </c>
    </row>
    <row r="316">
      <c r="A316" s="8" t="inlineStr">
        <is>
          <t>G01227</t>
        </is>
      </c>
      <c r="B316" s="8" t="inlineStr">
        <is>
          <t>Karakol Express</t>
        </is>
      </c>
      <c r="C316" s="8" t="inlineStr">
        <is>
          <t>2420846550</t>
        </is>
      </c>
      <c r="D316" s="8" t="inlineStr">
        <is>
          <t>Сумма не сходится</t>
        </is>
      </c>
      <c r="E316" s="8" t="inlineStr">
        <is>
          <t>1С</t>
        </is>
      </c>
      <c r="F316" s="8" t="inlineStr">
        <is>
          <t>A</t>
        </is>
      </c>
      <c r="G316" s="14" t="n">
        <v>-24669.53</v>
      </c>
      <c r="H316" s="14" t="n">
        <v>0</v>
      </c>
      <c r="I316" s="14" t="n">
        <v>-0.001599999999598367</v>
      </c>
      <c r="J316" s="14" t="n">
        <v>-24669.53</v>
      </c>
      <c r="K316" s="21" t="n">
        <v>46028.51725694445</v>
      </c>
      <c r="L316" s="21" t="n">
        <v>46047</v>
      </c>
      <c r="M316" s="8" t="inlineStr"/>
      <c r="N316" s="8" t="inlineStr">
        <is>
          <t>Бухгалтер 1С</t>
        </is>
      </c>
      <c r="O316" s="8" t="inlineStr">
        <is>
          <t>k.dzhumaev|n.abdyldaeva</t>
        </is>
      </c>
      <c r="P316" s="12" t="inlineStr">
        <is>
          <t>Реестр (-0.00) совпадает с ETM (-0.00), а в 1С -24,669.53: неверная сумма в 1С</t>
        </is>
      </c>
      <c r="Q316" s="8" t="inlineStr">
        <is>
          <t>57010274,57051137</t>
        </is>
      </c>
    </row>
    <row r="317">
      <c r="A317" s="8" t="inlineStr">
        <is>
          <t>G14482</t>
        </is>
      </c>
      <c r="B317" s="8" t="inlineStr">
        <is>
          <t>Чолпон Тревел</t>
        </is>
      </c>
      <c r="C317" s="8" t="inlineStr">
        <is>
          <t>2460738417</t>
        </is>
      </c>
      <c r="D317" s="8" t="inlineStr">
        <is>
          <t>Сумма не сходится</t>
        </is>
      </c>
      <c r="E317" s="8" t="inlineStr">
        <is>
          <t>1С</t>
        </is>
      </c>
      <c r="F317" s="8" t="inlineStr">
        <is>
          <t>A</t>
        </is>
      </c>
      <c r="G317" s="14" t="n">
        <v>-22150.8</v>
      </c>
      <c r="H317" s="14" t="n">
        <v>-2461.200000000001</v>
      </c>
      <c r="I317" s="14" t="n">
        <v>2461.200000000001</v>
      </c>
      <c r="J317" s="14" t="n">
        <v>-24612</v>
      </c>
      <c r="K317" s="21" t="n">
        <v>46168.79761574074</v>
      </c>
      <c r="L317" s="21" t="n">
        <v>46188</v>
      </c>
      <c r="M317" s="8" t="inlineStr"/>
      <c r="N317" s="8" t="inlineStr">
        <is>
          <t>Бухгалтер 1С</t>
        </is>
      </c>
      <c r="O317" s="8" t="inlineStr">
        <is>
          <t>a.toktosunova|g.omurbekova</t>
        </is>
      </c>
      <c r="P317" s="12" t="inlineStr">
        <is>
          <t>Реестр (2,461.20) совпадает с ETM (2,461.20), а в 1С -22,150.80: неверная сумма в 1С</t>
        </is>
      </c>
      <c r="Q317" s="8" t="inlineStr">
        <is>
          <t>57319762,57368360</t>
        </is>
      </c>
    </row>
    <row r="318">
      <c r="A318" s="8" t="inlineStr">
        <is>
          <t>G02919</t>
        </is>
      </c>
      <c r="B318" s="8" t="inlineStr">
        <is>
          <t>SkyWay Travel</t>
        </is>
      </c>
      <c r="C318" s="8" t="inlineStr">
        <is>
          <t>2460736859</t>
        </is>
      </c>
      <c r="D318" s="8" t="inlineStr">
        <is>
          <t>Есть в ETM, нет в 1С</t>
        </is>
      </c>
      <c r="E318" s="8" t="inlineStr">
        <is>
          <t>1С</t>
        </is>
      </c>
      <c r="F318" s="8" t="inlineStr">
        <is>
          <t>A</t>
        </is>
      </c>
      <c r="G318" s="14" t="n">
        <v>0</v>
      </c>
      <c r="H318" s="14" t="n">
        <v>-24557</v>
      </c>
      <c r="I318" s="14" t="n">
        <v>0</v>
      </c>
      <c r="J318" s="14" t="n">
        <v>-24557</v>
      </c>
      <c r="K318" s="21" t="n">
        <v>46128.3972337963</v>
      </c>
      <c r="L318" s="21" t="n"/>
      <c r="M318" s="8" t="inlineStr"/>
      <c r="N318" s="8" t="inlineStr">
        <is>
          <t>Бухгалтер 1С</t>
        </is>
      </c>
      <c r="O318" s="8" t="inlineStr">
        <is>
          <t>d.mambetova|r.sydykov</t>
        </is>
      </c>
      <c r="P318" s="12" t="inlineStr">
        <is>
          <t>Списание есть в ETM и продажа в реестре, но в 1С нет реализации по этим билетам — счёт не выставлен</t>
        </is>
      </c>
      <c r="Q318" s="8" t="inlineStr">
        <is>
          <t>57210938</t>
        </is>
      </c>
    </row>
    <row r="319">
      <c r="A319" s="8" t="inlineStr">
        <is>
          <t>G12020</t>
        </is>
      </c>
      <c r="B319" s="8" t="inlineStr">
        <is>
          <t>ОсОО Чолпон Авиакасса</t>
        </is>
      </c>
      <c r="C319" s="8" t="inlineStr">
        <is>
          <t>2460734477</t>
        </is>
      </c>
      <c r="D319" s="8" t="inlineStr">
        <is>
          <t>Двойное списание в ETM</t>
        </is>
      </c>
      <c r="E319" s="8" t="inlineStr">
        <is>
          <t>Бот ETM</t>
        </is>
      </c>
      <c r="F319" s="8" t="inlineStr">
        <is>
          <t>A</t>
        </is>
      </c>
      <c r="G319" s="14" t="n">
        <v>24443</v>
      </c>
      <c r="H319" s="14" t="n">
        <v>-48886</v>
      </c>
      <c r="I319" s="14" t="n">
        <v>24443</v>
      </c>
      <c r="J319" s="14" t="n">
        <v>-24443</v>
      </c>
      <c r="K319" s="21" t="n">
        <v>46034.34418981482</v>
      </c>
      <c r="L319" s="21" t="n">
        <v>46034</v>
      </c>
      <c r="M319" s="8" t="inlineStr"/>
      <c r="N319" s="8" t="inlineStr">
        <is>
          <t>Разработчик/поддержка бота ETM</t>
        </is>
      </c>
      <c r="O319" s="8" t="inlineStr">
        <is>
          <t>e.satarov</t>
        </is>
      </c>
      <c r="P319" s="12" t="inlineStr">
        <is>
          <t>В ETM 1 лишн. списание(й) одного билета на 24,443.00; без дубля сумма совпадает с 1С</t>
        </is>
      </c>
      <c r="Q319" s="8" t="inlineStr">
        <is>
          <t>57021989,57022029</t>
        </is>
      </c>
    </row>
    <row r="320">
      <c r="A320" s="8" t="inlineStr">
        <is>
          <t>G08169</t>
        </is>
      </c>
      <c r="B320" s="8" t="inlineStr">
        <is>
          <t>ИП Жумабекова Б. Н.</t>
        </is>
      </c>
      <c r="C320" s="8" t="inlineStr">
        <is>
          <t>2460733626</t>
        </is>
      </c>
      <c r="D320" s="8" t="inlineStr">
        <is>
          <t>Есть в реестре и 1С, нет в ETM</t>
        </is>
      </c>
      <c r="E320" s="8" t="inlineStr">
        <is>
          <t>Бот ETM</t>
        </is>
      </c>
      <c r="F320" s="8" t="inlineStr">
        <is>
          <t>A</t>
        </is>
      </c>
      <c r="G320" s="14" t="n">
        <v>24428</v>
      </c>
      <c r="H320" s="14" t="n">
        <v>0</v>
      </c>
      <c r="I320" s="14" t="n">
        <v>24428</v>
      </c>
      <c r="J320" s="14" t="n">
        <v>24428</v>
      </c>
      <c r="K320" s="21" t="n"/>
      <c r="L320" s="21" t="n">
        <v>46092</v>
      </c>
      <c r="M320" s="8" t="inlineStr"/>
      <c r="N320" s="8" t="inlineStr">
        <is>
          <t>Разработчик/поддержка бота ETM</t>
        </is>
      </c>
      <c r="O320" s="8" t="inlineStr">
        <is>
          <t>a.toktosunova</t>
        </is>
      </c>
      <c r="P320" s="12" t="inlineStr">
        <is>
          <t>Продажа есть в реестре и в 1С, но бот не перенёс её на баланс ETM — списания нет</t>
        </is>
      </c>
      <c r="Q320" s="8" t="inlineStr"/>
    </row>
    <row r="321">
      <c r="A321" s="8" t="inlineStr">
        <is>
          <t>G08007</t>
        </is>
      </c>
      <c r="B321" s="8" t="inlineStr">
        <is>
          <t>ИП Бейшенова Д. О.</t>
        </is>
      </c>
      <c r="C321" s="8" t="inlineStr">
        <is>
          <t>2552668021</t>
        </is>
      </c>
      <c r="D321" s="8" t="inlineStr">
        <is>
          <t>Есть в ETM, нет в 1С</t>
        </is>
      </c>
      <c r="E321" s="8" t="inlineStr">
        <is>
          <t>1С</t>
        </is>
      </c>
      <c r="F321" s="8" t="inlineStr">
        <is>
          <t>A</t>
        </is>
      </c>
      <c r="G321" s="14" t="n">
        <v>0</v>
      </c>
      <c r="H321" s="14" t="n">
        <v>-24350.17</v>
      </c>
      <c r="I321" s="14" t="n"/>
      <c r="J321" s="14" t="n">
        <v>-24350.17</v>
      </c>
      <c r="K321" s="21" t="n">
        <v>46234.52119212963</v>
      </c>
      <c r="L321" s="21" t="n"/>
      <c r="M321" s="8" t="inlineStr"/>
      <c r="N321" s="8" t="inlineStr">
        <is>
          <t>Бухгалтер 1С</t>
        </is>
      </c>
      <c r="O321" s="8" t="inlineStr"/>
      <c r="P321" s="12" t="inlineStr">
        <is>
          <t>Списание есть в ETM, но в 1С нет реализации по этим билетам — счёт не выставлен</t>
        </is>
      </c>
      <c r="Q321" s="8" t="inlineStr">
        <is>
          <t>57501472</t>
        </is>
      </c>
    </row>
    <row r="322">
      <c r="A322" s="8" t="inlineStr">
        <is>
          <t>G03457</t>
        </is>
      </c>
      <c r="B322" s="8" t="inlineStr">
        <is>
          <t>SkyWay Travel</t>
        </is>
      </c>
      <c r="C322" s="8" t="inlineStr">
        <is>
          <t>2552669891</t>
        </is>
      </c>
      <c r="D322" s="8" t="inlineStr">
        <is>
          <t>Есть в реестре и 1С, нет в ETM</t>
        </is>
      </c>
      <c r="E322" s="8" t="inlineStr">
        <is>
          <t>Бот ETM</t>
        </is>
      </c>
      <c r="F322" s="8" t="inlineStr">
        <is>
          <t>A</t>
        </is>
      </c>
      <c r="G322" s="14" t="n">
        <v>24286.22</v>
      </c>
      <c r="H322" s="14" t="n">
        <v>0</v>
      </c>
      <c r="I322" s="14" t="n">
        <v>24286.215</v>
      </c>
      <c r="J322" s="14" t="n">
        <v>24286.22</v>
      </c>
      <c r="K322" s="21" t="n"/>
      <c r="L322" s="21" t="n">
        <v>46196</v>
      </c>
      <c r="M322" s="8" t="inlineStr"/>
      <c r="N322" s="8" t="inlineStr">
        <is>
          <t>Разработчик/поддержка бота ETM</t>
        </is>
      </c>
      <c r="O322" s="8" t="inlineStr">
        <is>
          <t>e.satarov</t>
        </is>
      </c>
      <c r="P322" s="12" t="inlineStr">
        <is>
          <t>Продажа есть в реестре и в 1С, но бот не перенёс её на баланс ETM — списания нет</t>
        </is>
      </c>
      <c r="Q322" s="8" t="inlineStr"/>
    </row>
    <row r="323">
      <c r="A323" s="8" t="inlineStr">
        <is>
          <t>G03908</t>
        </is>
      </c>
      <c r="B323" s="8" t="inlineStr">
        <is>
          <t>Sunrise Tours</t>
        </is>
      </c>
      <c r="C323" s="8" t="inlineStr">
        <is>
          <t>2420844258</t>
        </is>
      </c>
      <c r="D323" s="8" t="inlineStr">
        <is>
          <t>Двойное списание в ETM</t>
        </is>
      </c>
      <c r="E323" s="8" t="inlineStr">
        <is>
          <t>Бот ETM</t>
        </is>
      </c>
      <c r="F323" s="8" t="inlineStr">
        <is>
          <t>A</t>
        </is>
      </c>
      <c r="G323" s="14" t="n">
        <v>24155.87</v>
      </c>
      <c r="H323" s="14" t="n">
        <v>-48311.74</v>
      </c>
      <c r="I323" s="14" t="n">
        <v>24155.871</v>
      </c>
      <c r="J323" s="14" t="n">
        <v>-24155.87</v>
      </c>
      <c r="K323" s="21" t="n">
        <v>46189.74246527778</v>
      </c>
      <c r="L323" s="21" t="n">
        <v>46189</v>
      </c>
      <c r="M323" s="8" t="inlineStr"/>
      <c r="N323" s="8" t="inlineStr">
        <is>
          <t>Разработчик/поддержка бота ETM</t>
        </is>
      </c>
      <c r="O323" s="8" t="inlineStr">
        <is>
          <t>d.mambetova</t>
        </is>
      </c>
      <c r="P323" s="12" t="inlineStr">
        <is>
          <t>В ETM 1 лишн. списание(й) одного билета на 24,155.87; без дубля сумма совпадает с 1С</t>
        </is>
      </c>
      <c r="Q323" s="8" t="inlineStr">
        <is>
          <t>57372401,57372375</t>
        </is>
      </c>
    </row>
    <row r="324">
      <c r="A324" s="8" t="inlineStr">
        <is>
          <t>G02519</t>
        </is>
      </c>
      <c r="B324" s="8" t="inlineStr">
        <is>
          <t>SkyWay Travel</t>
        </is>
      </c>
      <c r="C324" s="8" t="inlineStr">
        <is>
          <t>2420846148</t>
        </is>
      </c>
      <c r="D324" s="8" t="inlineStr">
        <is>
          <t>Есть в ETM, нет в 1С</t>
        </is>
      </c>
      <c r="E324" s="8" t="inlineStr">
        <is>
          <t>1С</t>
        </is>
      </c>
      <c r="F324" s="8" t="inlineStr">
        <is>
          <t>A</t>
        </is>
      </c>
      <c r="G324" s="14" t="n">
        <v>0</v>
      </c>
      <c r="H324" s="14" t="n">
        <v>-24143.6</v>
      </c>
      <c r="I324" s="14" t="n">
        <v>24143.6013</v>
      </c>
      <c r="J324" s="14" t="n">
        <v>-24143.6</v>
      </c>
      <c r="K324" s="21" t="n">
        <v>46078.59979166667</v>
      </c>
      <c r="L324" s="21" t="n"/>
      <c r="M324" s="8" t="inlineStr"/>
      <c r="N324" s="8" t="inlineStr">
        <is>
          <t>Бухгалтер 1С</t>
        </is>
      </c>
      <c r="O324" s="8" t="inlineStr">
        <is>
          <t>b.isakov</t>
        </is>
      </c>
      <c r="P324" s="12" t="inlineStr">
        <is>
          <t>Списание есть в ETM и продажа в реестре, но в 1С нет реализации по этим билетам — счёт не выставлен</t>
        </is>
      </c>
      <c r="Q324" s="8" t="inlineStr">
        <is>
          <t>57108929</t>
        </is>
      </c>
    </row>
    <row r="325">
      <c r="A325" s="8" t="inlineStr">
        <is>
          <t>G06025</t>
        </is>
      </c>
      <c r="B325" s="8" t="inlineStr">
        <is>
          <t>Байтур Трип</t>
        </is>
      </c>
      <c r="C325" s="8" t="inlineStr">
        <is>
          <t>2420848414</t>
        </is>
      </c>
      <c r="D325" s="8" t="inlineStr">
        <is>
          <t>Есть в ETM, нет в 1С</t>
        </is>
      </c>
      <c r="E325" s="8" t="inlineStr">
        <is>
          <t>1С</t>
        </is>
      </c>
      <c r="F325" s="8" t="inlineStr">
        <is>
          <t>A</t>
        </is>
      </c>
      <c r="G325" s="14" t="n">
        <v>0</v>
      </c>
      <c r="H325" s="14" t="n">
        <v>-24001.57</v>
      </c>
      <c r="I325" s="14" t="n"/>
      <c r="J325" s="14" t="n">
        <v>-24001.57</v>
      </c>
      <c r="K325" s="21" t="n">
        <v>46026.48524305555</v>
      </c>
      <c r="L325" s="21" t="n"/>
      <c r="M325" s="8" t="inlineStr"/>
      <c r="N325" s="8" t="inlineStr">
        <is>
          <t>Бухгалтер 1С</t>
        </is>
      </c>
      <c r="O325" s="8" t="inlineStr"/>
      <c r="P325" s="12" t="inlineStr">
        <is>
          <t>Списание есть в ETM, но в 1С нет реализации по этим билетам — счёт не выставлен</t>
        </is>
      </c>
      <c r="Q325" s="8" t="inlineStr">
        <is>
          <t>57006795</t>
        </is>
      </c>
    </row>
    <row r="326">
      <c r="A326" s="8" t="inlineStr">
        <is>
          <t>G15238</t>
        </is>
      </c>
      <c r="B326" s="8" t="inlineStr">
        <is>
          <t>Ыйык Тур</t>
        </is>
      </c>
      <c r="C326" s="8" t="inlineStr">
        <is>
          <t>2559100607|2559100610</t>
        </is>
      </c>
      <c r="D326" s="8" t="inlineStr">
        <is>
          <t>Двойное списание в ETM</t>
        </is>
      </c>
      <c r="E326" s="8" t="inlineStr">
        <is>
          <t>Бот ETM</t>
        </is>
      </c>
      <c r="F326" s="8" t="inlineStr">
        <is>
          <t>A</t>
        </is>
      </c>
      <c r="G326" s="14" t="n">
        <v>47374.98</v>
      </c>
      <c r="H326" s="14" t="n">
        <v>-71062.47</v>
      </c>
      <c r="I326" s="14" t="n">
        <v>47374.98</v>
      </c>
      <c r="J326" s="14" t="n">
        <v>-23687.49</v>
      </c>
      <c r="K326" s="21" t="n">
        <v>46069.52538194445</v>
      </c>
      <c r="L326" s="21" t="n">
        <v>46069</v>
      </c>
      <c r="M326" s="8" t="inlineStr"/>
      <c r="N326" s="8" t="inlineStr">
        <is>
          <t>Разработчик/поддержка бота ETM</t>
        </is>
      </c>
      <c r="O326" s="8" t="inlineStr">
        <is>
          <t>a.toktosunova</t>
        </is>
      </c>
      <c r="P326" s="12" t="inlineStr">
        <is>
          <t>В ETM 1 лишн. списание(й) одного билета на 23,687.49; без дубля сумма совпадает с 1С</t>
        </is>
      </c>
      <c r="Q326" s="8" t="inlineStr">
        <is>
          <t>57093202,57093151,57093188</t>
        </is>
      </c>
    </row>
    <row r="327">
      <c r="A327" s="8" t="inlineStr">
        <is>
          <t>G02511</t>
        </is>
      </c>
      <c r="B327" s="8" t="inlineStr">
        <is>
          <t>SkyWay Travel</t>
        </is>
      </c>
      <c r="C327" s="8" t="inlineStr">
        <is>
          <t>2420845827</t>
        </is>
      </c>
      <c r="D327" s="8" t="inlineStr">
        <is>
          <t>Есть в реестре и 1С, нет в ETM</t>
        </is>
      </c>
      <c r="E327" s="8" t="inlineStr">
        <is>
          <t>Бот ETM</t>
        </is>
      </c>
      <c r="F327" s="8" t="inlineStr">
        <is>
          <t>A</t>
        </is>
      </c>
      <c r="G327" s="14" t="n">
        <v>23582.46</v>
      </c>
      <c r="H327" s="14" t="n">
        <v>0</v>
      </c>
      <c r="I327" s="14" t="n">
        <v>23582.4628</v>
      </c>
      <c r="J327" s="14" t="n">
        <v>23582.46</v>
      </c>
      <c r="K327" s="21" t="n"/>
      <c r="L327" s="21" t="n">
        <v>46091</v>
      </c>
      <c r="M327" s="8" t="inlineStr"/>
      <c r="N327" s="8" t="inlineStr">
        <is>
          <t>Разработчик/поддержка бота ETM</t>
        </is>
      </c>
      <c r="O327" s="8" t="inlineStr">
        <is>
          <t>g.omurbekova</t>
        </is>
      </c>
      <c r="P327" s="12" t="inlineStr">
        <is>
          <t>Продажа есть в реестре и в 1С, но бот не перенёс её на баланс ETM — списания нет</t>
        </is>
      </c>
      <c r="Q327" s="8" t="inlineStr"/>
    </row>
    <row r="328">
      <c r="A328" s="8" t="inlineStr">
        <is>
          <t>G05272</t>
        </is>
      </c>
      <c r="B328" s="8" t="inlineStr">
        <is>
          <t>Ак-Куу Авиа</t>
        </is>
      </c>
      <c r="C328" s="8" t="inlineStr">
        <is>
          <t>2552668004</t>
        </is>
      </c>
      <c r="D328" s="8" t="inlineStr">
        <is>
          <t>Есть в ETM, нет в 1С</t>
        </is>
      </c>
      <c r="E328" s="8" t="inlineStr">
        <is>
          <t>1С</t>
        </is>
      </c>
      <c r="F328" s="8" t="inlineStr">
        <is>
          <t>A</t>
        </is>
      </c>
      <c r="G328" s="14" t="n">
        <v>0</v>
      </c>
      <c r="H328" s="14" t="n">
        <v>-23566.09</v>
      </c>
      <c r="I328" s="14" t="n">
        <v>23566.09</v>
      </c>
      <c r="J328" s="14" t="n">
        <v>-23566.09</v>
      </c>
      <c r="K328" s="21" t="n">
        <v>46062.44579861111</v>
      </c>
      <c r="L328" s="21" t="n"/>
      <c r="M328" s="8" t="inlineStr"/>
      <c r="N328" s="8" t="inlineStr">
        <is>
          <t>Бухгалтер 1С</t>
        </is>
      </c>
      <c r="O328" s="8" t="inlineStr">
        <is>
          <t>n.abdyldaeva</t>
        </is>
      </c>
      <c r="P328" s="12" t="inlineStr">
        <is>
          <t>Списание есть в ETM и продажа в реестре, но в 1С нет реализации по этим билетам — счёт не выставлен</t>
        </is>
      </c>
      <c r="Q328" s="8" t="inlineStr">
        <is>
          <t>57080176</t>
        </is>
      </c>
    </row>
    <row r="329">
      <c r="A329" s="8" t="inlineStr">
        <is>
          <t>G01671</t>
        </is>
      </c>
      <c r="B329" s="8" t="inlineStr">
        <is>
          <t>Karakol Express</t>
        </is>
      </c>
      <c r="C329" s="8" t="inlineStr">
        <is>
          <t>2476316224</t>
        </is>
      </c>
      <c r="D329" s="8" t="inlineStr">
        <is>
          <t>Есть в ETM, нет в 1С</t>
        </is>
      </c>
      <c r="E329" s="8" t="inlineStr">
        <is>
          <t>1С</t>
        </is>
      </c>
      <c r="F329" s="8" t="inlineStr">
        <is>
          <t>A</t>
        </is>
      </c>
      <c r="G329" s="14" t="n">
        <v>0</v>
      </c>
      <c r="H329" s="14" t="n">
        <v>-23389.5</v>
      </c>
      <c r="I329" s="14" t="n">
        <v>23389.5</v>
      </c>
      <c r="J329" s="14" t="n">
        <v>-23389.5</v>
      </c>
      <c r="K329" s="21" t="n">
        <v>46042.73505787037</v>
      </c>
      <c r="L329" s="21" t="n"/>
      <c r="M329" s="8" t="inlineStr"/>
      <c r="N329" s="8" t="inlineStr">
        <is>
          <t>Бухгалтер 1С</t>
        </is>
      </c>
      <c r="O329" s="8" t="inlineStr">
        <is>
          <t>b.isakov</t>
        </is>
      </c>
      <c r="P329" s="12" t="inlineStr">
        <is>
          <t>Списание есть в ETM и продажа в реестре, но в 1С нет реализации по этим билетам — счёт не выставлен</t>
        </is>
      </c>
      <c r="Q329" s="8" t="inlineStr">
        <is>
          <t>57040583</t>
        </is>
      </c>
    </row>
    <row r="330">
      <c r="A330" s="8" t="inlineStr">
        <is>
          <t>G03477</t>
        </is>
      </c>
      <c r="B330" s="8" t="inlineStr">
        <is>
          <t>SkyWay Travel</t>
        </is>
      </c>
      <c r="C330" s="8" t="inlineStr">
        <is>
          <t>2552670256</t>
        </is>
      </c>
      <c r="D330" s="8" t="inlineStr">
        <is>
          <t>Есть в реестре и 1С, нет в ETM</t>
        </is>
      </c>
      <c r="E330" s="8" t="inlineStr">
        <is>
          <t>Бот ETM</t>
        </is>
      </c>
      <c r="F330" s="8" t="inlineStr">
        <is>
          <t>A</t>
        </is>
      </c>
      <c r="G330" s="14" t="n">
        <v>23368.42</v>
      </c>
      <c r="H330" s="14" t="n">
        <v>0</v>
      </c>
      <c r="I330" s="14" t="n">
        <v>23368.425</v>
      </c>
      <c r="J330" s="14" t="n">
        <v>23368.42</v>
      </c>
      <c r="K330" s="21" t="n"/>
      <c r="L330" s="21" t="n">
        <v>46090</v>
      </c>
      <c r="M330" s="8" t="inlineStr"/>
      <c r="N330" s="8" t="inlineStr">
        <is>
          <t>Разработчик/поддержка бота ETM</t>
        </is>
      </c>
      <c r="O330" s="8" t="inlineStr">
        <is>
          <t>e.satarov</t>
        </is>
      </c>
      <c r="P330" s="12" t="inlineStr">
        <is>
          <t>Продажа есть в реестре и в 1С, но бот не перенёс её на баланс ETM — списания нет</t>
        </is>
      </c>
      <c r="Q330" s="8" t="inlineStr"/>
    </row>
    <row r="331">
      <c r="A331" s="8" t="inlineStr">
        <is>
          <t>G02410</t>
        </is>
      </c>
      <c r="B331" s="8" t="inlineStr">
        <is>
          <t>SkyWay Travel</t>
        </is>
      </c>
      <c r="C331" s="8" t="inlineStr">
        <is>
          <t>2416946318</t>
        </is>
      </c>
      <c r="D331" s="8" t="inlineStr">
        <is>
          <t>Есть в ETM, нет в 1С</t>
        </is>
      </c>
      <c r="E331" s="8" t="inlineStr">
        <is>
          <t>1С</t>
        </is>
      </c>
      <c r="F331" s="8" t="inlineStr">
        <is>
          <t>A</t>
        </is>
      </c>
      <c r="G331" s="14" t="n">
        <v>0</v>
      </c>
      <c r="H331" s="14" t="n">
        <v>-23227.56</v>
      </c>
      <c r="I331" s="14" t="n"/>
      <c r="J331" s="14" t="n">
        <v>-23227.56</v>
      </c>
      <c r="K331" s="21" t="n">
        <v>46137.8315162037</v>
      </c>
      <c r="L331" s="21" t="n"/>
      <c r="M331" s="8" t="inlineStr"/>
      <c r="N331" s="8" t="inlineStr">
        <is>
          <t>Бухгалтер 1С</t>
        </is>
      </c>
      <c r="O331" s="8" t="inlineStr"/>
      <c r="P331" s="12" t="inlineStr">
        <is>
          <t>Списание есть в ETM, но в 1С нет реализации по этим билетам — счёт не выставлен</t>
        </is>
      </c>
      <c r="Q331" s="8" t="inlineStr">
        <is>
          <t>57229508</t>
        </is>
      </c>
    </row>
    <row r="332">
      <c r="A332" s="8" t="inlineStr">
        <is>
          <t>G08247</t>
        </is>
      </c>
      <c r="B332" s="8" t="inlineStr">
        <is>
          <t>ИП Мамбетова Ч. Э.</t>
        </is>
      </c>
      <c r="C332" s="8" t="inlineStr">
        <is>
          <t>2420845204</t>
        </is>
      </c>
      <c r="D332" s="8" t="inlineStr">
        <is>
          <t>Есть в ETM, нет в 1С</t>
        </is>
      </c>
      <c r="E332" s="8" t="inlineStr">
        <is>
          <t>1С</t>
        </is>
      </c>
      <c r="F332" s="8" t="inlineStr">
        <is>
          <t>A</t>
        </is>
      </c>
      <c r="G332" s="14" t="n">
        <v>0</v>
      </c>
      <c r="H332" s="14" t="n">
        <v>-23197.55</v>
      </c>
      <c r="I332" s="14" t="n">
        <v>23197.5525</v>
      </c>
      <c r="J332" s="14" t="n">
        <v>-23197.55</v>
      </c>
      <c r="K332" s="21" t="n">
        <v>46194.55956018518</v>
      </c>
      <c r="L332" s="21" t="n"/>
      <c r="M332" s="8" t="inlineStr"/>
      <c r="N332" s="8" t="inlineStr">
        <is>
          <t>Бухгалтер 1С</t>
        </is>
      </c>
      <c r="O332" s="8" t="inlineStr">
        <is>
          <t>r.sydykov</t>
        </is>
      </c>
      <c r="P332" s="12" t="inlineStr">
        <is>
          <t>Списание есть в ETM и продажа в реестре, но в 1С нет реализации по этим билетам — счёт не выставлен</t>
        </is>
      </c>
      <c r="Q332" s="8" t="inlineStr">
        <is>
          <t>57386568</t>
        </is>
      </c>
    </row>
    <row r="333">
      <c r="A333" s="8" t="inlineStr">
        <is>
          <t>G11619</t>
        </is>
      </c>
      <c r="B333" s="8" t="inlineStr">
        <is>
          <t>ОсОО Кок-Жайык Вояж</t>
        </is>
      </c>
      <c r="C333" s="8" t="inlineStr">
        <is>
          <t>2416944122</t>
        </is>
      </c>
      <c r="D333" s="8" t="inlineStr">
        <is>
          <t>Есть в реестре и 1С, нет в ETM</t>
        </is>
      </c>
      <c r="E333" s="8" t="inlineStr">
        <is>
          <t>Бот ETM</t>
        </is>
      </c>
      <c r="F333" s="8" t="inlineStr">
        <is>
          <t>A</t>
        </is>
      </c>
      <c r="G333" s="14" t="n">
        <v>23129.2</v>
      </c>
      <c r="H333" s="14" t="n">
        <v>0</v>
      </c>
      <c r="I333" s="14" t="n">
        <v>23129.2</v>
      </c>
      <c r="J333" s="14" t="n">
        <v>23129.2</v>
      </c>
      <c r="K333" s="21" t="n"/>
      <c r="L333" s="21" t="n">
        <v>46103</v>
      </c>
      <c r="M333" s="8" t="inlineStr"/>
      <c r="N333" s="8" t="inlineStr">
        <is>
          <t>Разработчик/поддержка бота ETM</t>
        </is>
      </c>
      <c r="O333" s="8" t="inlineStr">
        <is>
          <t>e.satarov</t>
        </is>
      </c>
      <c r="P333" s="12" t="inlineStr">
        <is>
          <t>Продажа есть в реестре и в 1С, но бот не перенёс её на баланс ETM — списания нет</t>
        </is>
      </c>
      <c r="Q333" s="8" t="inlineStr"/>
    </row>
    <row r="334">
      <c r="A334" s="8" t="inlineStr">
        <is>
          <t>G13524</t>
        </is>
      </c>
      <c r="B334" s="8" t="inlineStr">
        <is>
          <t>Сыдыков С. У.</t>
        </is>
      </c>
      <c r="C334" s="8" t="inlineStr">
        <is>
          <t>2416941866|2416941867</t>
        </is>
      </c>
      <c r="D334" s="8" t="inlineStr">
        <is>
          <t>Двойное списание в ETM</t>
        </is>
      </c>
      <c r="E334" s="8" t="inlineStr">
        <is>
          <t>Бот ETM</t>
        </is>
      </c>
      <c r="F334" s="8" t="inlineStr">
        <is>
          <t>A</t>
        </is>
      </c>
      <c r="G334" s="14" t="n">
        <v>46167.46</v>
      </c>
      <c r="H334" s="14" t="n">
        <v>-69251.19</v>
      </c>
      <c r="I334" s="14" t="n">
        <v>46167.46</v>
      </c>
      <c r="J334" s="14" t="n">
        <v>-23083.73</v>
      </c>
      <c r="K334" s="21" t="n">
        <v>46041.52128472222</v>
      </c>
      <c r="L334" s="21" t="n">
        <v>46041</v>
      </c>
      <c r="M334" s="8" t="inlineStr"/>
      <c r="N334" s="8" t="inlineStr">
        <is>
          <t>Разработчик/поддержка бота ETM</t>
        </is>
      </c>
      <c r="O334" s="8" t="inlineStr">
        <is>
          <t>g.omurbekova</t>
        </is>
      </c>
      <c r="P334" s="12" t="inlineStr">
        <is>
          <t>В ETM 1 лишн. списание(й) одного билета на 23,083.73; без дубля сумма совпадает с 1С</t>
        </is>
      </c>
      <c r="Q334" s="8" t="inlineStr">
        <is>
          <t>57038509,57038534,57038494</t>
        </is>
      </c>
    </row>
    <row r="335">
      <c r="A335" s="8" t="inlineStr">
        <is>
          <t>G09372</t>
        </is>
      </c>
      <c r="B335" s="8" t="inlineStr">
        <is>
          <t>ИССЫК ТРИП</t>
        </is>
      </c>
      <c r="C335" s="8" t="inlineStr">
        <is>
          <t>2559103302</t>
        </is>
      </c>
      <c r="D335" s="8" t="inlineStr">
        <is>
          <t>Есть в реестре и 1С, нет в ETM</t>
        </is>
      </c>
      <c r="E335" s="8" t="inlineStr">
        <is>
          <t>Бот ETM</t>
        </is>
      </c>
      <c r="F335" s="8" t="inlineStr">
        <is>
          <t>A</t>
        </is>
      </c>
      <c r="G335" s="14" t="n">
        <v>23024.56</v>
      </c>
      <c r="H335" s="14" t="n">
        <v>0</v>
      </c>
      <c r="I335" s="14" t="n">
        <v>23024.56</v>
      </c>
      <c r="J335" s="14" t="n">
        <v>23024.56</v>
      </c>
      <c r="K335" s="21" t="n"/>
      <c r="L335" s="21" t="n">
        <v>46123</v>
      </c>
      <c r="M335" s="8" t="inlineStr"/>
      <c r="N335" s="8" t="inlineStr">
        <is>
          <t>Разработчик/поддержка бота ETM</t>
        </is>
      </c>
      <c r="O335" s="8" t="inlineStr">
        <is>
          <t>n.abdyldaeva</t>
        </is>
      </c>
      <c r="P335" s="12" t="inlineStr">
        <is>
          <t>Продажа есть в реестре и в 1С, но бот не перенёс её на баланс ETM — списания нет</t>
        </is>
      </c>
      <c r="Q335" s="8" t="inlineStr"/>
    </row>
    <row r="336">
      <c r="A336" s="8" t="inlineStr">
        <is>
          <t>G00420</t>
        </is>
      </c>
      <c r="B336" s="8" t="inlineStr">
        <is>
          <t>Blue Bird Travel</t>
        </is>
      </c>
      <c r="C336" s="8" t="inlineStr">
        <is>
          <t>2476315976</t>
        </is>
      </c>
      <c r="D336" s="8" t="inlineStr">
        <is>
          <t>Есть в ETM, нет в 1С</t>
        </is>
      </c>
      <c r="E336" s="8" t="inlineStr">
        <is>
          <t>1С</t>
        </is>
      </c>
      <c r="F336" s="8" t="inlineStr">
        <is>
          <t>A</t>
        </is>
      </c>
      <c r="G336" s="14" t="n">
        <v>0</v>
      </c>
      <c r="H336" s="14" t="n">
        <v>-22832.14</v>
      </c>
      <c r="I336" s="14" t="n"/>
      <c r="J336" s="14" t="n">
        <v>-22832.14</v>
      </c>
      <c r="K336" s="21" t="n">
        <v>46219.46232638889</v>
      </c>
      <c r="L336" s="21" t="n"/>
      <c r="M336" s="8" t="inlineStr"/>
      <c r="N336" s="8" t="inlineStr">
        <is>
          <t>Бухгалтер 1С</t>
        </is>
      </c>
      <c r="O336" s="8" t="inlineStr"/>
      <c r="P336" s="12" t="inlineStr">
        <is>
          <t>Списание есть в ETM, но в 1С нет реализации по этим билетам — счёт не выставлен</t>
        </is>
      </c>
      <c r="Q336" s="8" t="inlineStr">
        <is>
          <t>57463999</t>
        </is>
      </c>
    </row>
    <row r="337">
      <c r="A337" s="8" t="inlineStr">
        <is>
          <t>G00421</t>
        </is>
      </c>
      <c r="B337" s="8" t="inlineStr">
        <is>
          <t>Blue Bird Travel</t>
        </is>
      </c>
      <c r="C337" s="8" t="inlineStr">
        <is>
          <t>2476315977</t>
        </is>
      </c>
      <c r="D337" s="8" t="inlineStr">
        <is>
          <t>Есть в ETM, нет в 1С</t>
        </is>
      </c>
      <c r="E337" s="8" t="inlineStr">
        <is>
          <t>1С</t>
        </is>
      </c>
      <c r="F337" s="8" t="inlineStr">
        <is>
          <t>A</t>
        </is>
      </c>
      <c r="G337" s="14" t="n">
        <v>0</v>
      </c>
      <c r="H337" s="14" t="n">
        <v>-22832.14</v>
      </c>
      <c r="I337" s="14" t="n"/>
      <c r="J337" s="14" t="n">
        <v>-22832.14</v>
      </c>
      <c r="K337" s="21" t="n">
        <v>46219.67734953704</v>
      </c>
      <c r="L337" s="21" t="n"/>
      <c r="M337" s="8" t="inlineStr"/>
      <c r="N337" s="8" t="inlineStr">
        <is>
          <t>Бухгалтер 1С</t>
        </is>
      </c>
      <c r="O337" s="8" t="inlineStr"/>
      <c r="P337" s="12" t="inlineStr">
        <is>
          <t>Списание есть в ETM, но в 1С нет реализации по этим билетам — счёт не выставлен</t>
        </is>
      </c>
      <c r="Q337" s="8" t="inlineStr">
        <is>
          <t>57464006</t>
        </is>
      </c>
    </row>
    <row r="338">
      <c r="A338" s="8" t="inlineStr">
        <is>
          <t>G08312</t>
        </is>
      </c>
      <c r="B338" s="8" t="inlineStr">
        <is>
          <t>ИП Мамбетова Ч. Э.</t>
        </is>
      </c>
      <c r="C338" s="8" t="inlineStr">
        <is>
          <t>2559101051</t>
        </is>
      </c>
      <c r="D338" s="8" t="inlineStr">
        <is>
          <t>Есть в реестре и 1С, нет в ETM</t>
        </is>
      </c>
      <c r="E338" s="8" t="inlineStr">
        <is>
          <t>Бот ETM</t>
        </is>
      </c>
      <c r="F338" s="8" t="inlineStr">
        <is>
          <t>A</t>
        </is>
      </c>
      <c r="G338" s="14" t="n">
        <v>22823.4</v>
      </c>
      <c r="H338" s="14" t="n">
        <v>0</v>
      </c>
      <c r="I338" s="14" t="n">
        <v>22823.4</v>
      </c>
      <c r="J338" s="14" t="n">
        <v>22823.4</v>
      </c>
      <c r="K338" s="21" t="n"/>
      <c r="L338" s="21" t="n">
        <v>46038</v>
      </c>
      <c r="M338" s="8" t="inlineStr"/>
      <c r="N338" s="8" t="inlineStr">
        <is>
          <t>Разработчик/поддержка бота ETM</t>
        </is>
      </c>
      <c r="O338" s="8" t="inlineStr">
        <is>
          <t>d.mambetova</t>
        </is>
      </c>
      <c r="P338" s="12" t="inlineStr">
        <is>
          <t>Продажа есть в реестре и в 1С, но бот не перенёс её на баланс ETM — списания нет</t>
        </is>
      </c>
      <c r="Q338" s="8" t="inlineStr"/>
    </row>
    <row r="339">
      <c r="A339" s="8" t="inlineStr">
        <is>
          <t>G11256</t>
        </is>
      </c>
      <c r="B339" s="8" t="inlineStr">
        <is>
          <t>ОсОО Алтын Эйр</t>
        </is>
      </c>
      <c r="C339" s="8" t="inlineStr">
        <is>
          <t>2476316078</t>
        </is>
      </c>
      <c r="D339" s="8" t="inlineStr">
        <is>
          <t>Есть в ETM, нет в 1С</t>
        </is>
      </c>
      <c r="E339" s="8" t="inlineStr">
        <is>
          <t>1С</t>
        </is>
      </c>
      <c r="F339" s="8" t="inlineStr">
        <is>
          <t>A</t>
        </is>
      </c>
      <c r="G339" s="14" t="n">
        <v>0</v>
      </c>
      <c r="H339" s="14" t="n">
        <v>-22588.22</v>
      </c>
      <c r="I339" s="14" t="n">
        <v>22588.22</v>
      </c>
      <c r="J339" s="14" t="n">
        <v>-22588.22</v>
      </c>
      <c r="K339" s="21" t="n">
        <v>46187.82591435185</v>
      </c>
      <c r="L339" s="21" t="n"/>
      <c r="M339" s="8" t="inlineStr"/>
      <c r="N339" s="8" t="inlineStr">
        <is>
          <t>Бухгалтер 1С</t>
        </is>
      </c>
      <c r="O339" s="8" t="inlineStr">
        <is>
          <t>r.sydykov</t>
        </is>
      </c>
      <c r="P339" s="12" t="inlineStr">
        <is>
          <t>Списание есть в ETM и продажа в реестре, но в 1С нет реализации по этим билетам — счёт не выставлен</t>
        </is>
      </c>
      <c r="Q339" s="8" t="inlineStr">
        <is>
          <t>57366956</t>
        </is>
      </c>
    </row>
    <row r="340">
      <c r="A340" s="8" t="inlineStr">
        <is>
          <t>G04069</t>
        </is>
      </c>
      <c r="B340" s="8" t="inlineStr">
        <is>
          <t>Tengri Trip</t>
        </is>
      </c>
      <c r="C340" s="8" t="inlineStr">
        <is>
          <t>2476315250</t>
        </is>
      </c>
      <c r="D340" s="8" t="inlineStr">
        <is>
          <t>Есть в реестре и 1С, нет в ETM</t>
        </is>
      </c>
      <c r="E340" s="8" t="inlineStr">
        <is>
          <t>Бот ETM</t>
        </is>
      </c>
      <c r="F340" s="8" t="inlineStr">
        <is>
          <t>A</t>
        </is>
      </c>
      <c r="G340" s="14" t="n">
        <v>22586.06</v>
      </c>
      <c r="H340" s="14" t="n">
        <v>0</v>
      </c>
      <c r="I340" s="14" t="n">
        <v>22586.06</v>
      </c>
      <c r="J340" s="14" t="n">
        <v>22586.06</v>
      </c>
      <c r="K340" s="21" t="n"/>
      <c r="L340" s="21" t="n">
        <v>46217</v>
      </c>
      <c r="M340" s="8" t="inlineStr"/>
      <c r="N340" s="8" t="inlineStr">
        <is>
          <t>Разработчик/поддержка бота ETM</t>
        </is>
      </c>
      <c r="O340" s="8" t="inlineStr">
        <is>
          <t>n.abdyldaeva</t>
        </is>
      </c>
      <c r="P340" s="12" t="inlineStr">
        <is>
          <t>Продажа есть в реестре и в 1С, но бот не перенёс её на баланс ETM — списания нет</t>
        </is>
      </c>
      <c r="Q340" s="8" t="inlineStr"/>
    </row>
    <row r="341">
      <c r="A341" s="8" t="inlineStr">
        <is>
          <t>G10984</t>
        </is>
      </c>
      <c r="B341" s="8" t="inlineStr">
        <is>
          <t>ОсОО Ала-Арча Авиа</t>
        </is>
      </c>
      <c r="C341" s="8" t="inlineStr">
        <is>
          <t>2559103491</t>
        </is>
      </c>
      <c r="D341" s="8" t="inlineStr">
        <is>
          <t>Есть в реестре и 1С, нет в ETM</t>
        </is>
      </c>
      <c r="E341" s="8" t="inlineStr">
        <is>
          <t>Бот ETM</t>
        </is>
      </c>
      <c r="F341" s="8" t="inlineStr">
        <is>
          <t>A</t>
        </is>
      </c>
      <c r="G341" s="14" t="n">
        <v>22566.6</v>
      </c>
      <c r="H341" s="14" t="n">
        <v>0</v>
      </c>
      <c r="I341" s="14" t="n">
        <v>22566.6</v>
      </c>
      <c r="J341" s="14" t="n">
        <v>22566.6</v>
      </c>
      <c r="K341" s="21" t="n"/>
      <c r="L341" s="21" t="n">
        <v>46149</v>
      </c>
      <c r="M341" s="8" t="inlineStr"/>
      <c r="N341" s="8" t="inlineStr">
        <is>
          <t>Разработчик/поддержка бота ETM</t>
        </is>
      </c>
      <c r="O341" s="8" t="inlineStr">
        <is>
          <t>d.mambetova</t>
        </is>
      </c>
      <c r="P341" s="12" t="inlineStr">
        <is>
          <t>Продажа есть в реестре и в 1С, но бот не перенёс её на баланс ETM — списания нет</t>
        </is>
      </c>
      <c r="Q341" s="8" t="inlineStr"/>
    </row>
    <row r="342">
      <c r="A342" s="8" t="inlineStr">
        <is>
          <t>G15175</t>
        </is>
      </c>
      <c r="B342" s="8" t="inlineStr">
        <is>
          <t>Ыйык Тур</t>
        </is>
      </c>
      <c r="C342" s="8" t="inlineStr">
        <is>
          <t>2476320016</t>
        </is>
      </c>
      <c r="D342" s="8" t="inlineStr">
        <is>
          <t>Есть в реестре и 1С, нет в ETM</t>
        </is>
      </c>
      <c r="E342" s="8" t="inlineStr">
        <is>
          <t>Бот ETM</t>
        </is>
      </c>
      <c r="F342" s="8" t="inlineStr">
        <is>
          <t>A</t>
        </is>
      </c>
      <c r="G342" s="14" t="n">
        <v>22550.68</v>
      </c>
      <c r="H342" s="14" t="n">
        <v>0</v>
      </c>
      <c r="I342" s="14" t="n">
        <v>22550.68</v>
      </c>
      <c r="J342" s="14" t="n">
        <v>22550.68</v>
      </c>
      <c r="K342" s="21" t="n"/>
      <c r="L342" s="21" t="n">
        <v>46127</v>
      </c>
      <c r="M342" s="8" t="inlineStr"/>
      <c r="N342" s="8" t="inlineStr">
        <is>
          <t>Разработчик/поддержка бота ETM</t>
        </is>
      </c>
      <c r="O342" s="8" t="inlineStr">
        <is>
          <t>d.mambetova</t>
        </is>
      </c>
      <c r="P342" s="12" t="inlineStr">
        <is>
          <t>Продажа есть в реестре и в 1С, но бот не перенёс её на баланс ETM — списания нет</t>
        </is>
      </c>
      <c r="Q342" s="8" t="inlineStr"/>
    </row>
    <row r="343">
      <c r="A343" s="8" t="inlineStr">
        <is>
          <t>G01954</t>
        </is>
      </c>
      <c r="B343" s="8" t="inlineStr">
        <is>
          <t>Karakol Express</t>
        </is>
      </c>
      <c r="C343" s="8" t="inlineStr">
        <is>
          <t>2559102738</t>
        </is>
      </c>
      <c r="D343" s="8" t="inlineStr">
        <is>
          <t>Есть в ETM, нет в 1С</t>
        </is>
      </c>
      <c r="E343" s="8" t="inlineStr">
        <is>
          <t>1С</t>
        </is>
      </c>
      <c r="F343" s="8" t="inlineStr">
        <is>
          <t>A</t>
        </is>
      </c>
      <c r="G343" s="14" t="n">
        <v>0</v>
      </c>
      <c r="H343" s="14" t="n">
        <v>-22496.1</v>
      </c>
      <c r="I343" s="14" t="n">
        <v>22496.1</v>
      </c>
      <c r="J343" s="14" t="n">
        <v>-22496.1</v>
      </c>
      <c r="K343" s="21" t="n">
        <v>46155.58972222222</v>
      </c>
      <c r="L343" s="21" t="n"/>
      <c r="M343" s="8" t="inlineStr"/>
      <c r="N343" s="8" t="inlineStr">
        <is>
          <t>Бухгалтер 1С</t>
        </is>
      </c>
      <c r="O343" s="8" t="inlineStr">
        <is>
          <t>r.sydykov</t>
        </is>
      </c>
      <c r="P343" s="12" t="inlineStr">
        <is>
          <t>Списание есть в ETM и продажа в реестре, но в 1С нет реализации по этим билетам — счёт не выставлен</t>
        </is>
      </c>
      <c r="Q343" s="8" t="inlineStr">
        <is>
          <t>57280999</t>
        </is>
      </c>
    </row>
    <row r="344">
      <c r="A344" s="8" t="inlineStr">
        <is>
          <t>G12606</t>
        </is>
      </c>
      <c r="B344" s="8" t="inlineStr">
        <is>
          <t>Салам Авиакасса</t>
        </is>
      </c>
      <c r="C344" s="8" t="inlineStr">
        <is>
          <t>2420846958</t>
        </is>
      </c>
      <c r="D344" s="8" t="inlineStr">
        <is>
          <t>Есть в ETM, нет в 1С</t>
        </is>
      </c>
      <c r="E344" s="8" t="inlineStr">
        <is>
          <t>1С</t>
        </is>
      </c>
      <c r="F344" s="8" t="inlineStr">
        <is>
          <t>A</t>
        </is>
      </c>
      <c r="G344" s="14" t="n">
        <v>0</v>
      </c>
      <c r="H344" s="14" t="n">
        <v>-22443.72</v>
      </c>
      <c r="I344" s="14" t="n"/>
      <c r="J344" s="14" t="n">
        <v>-22443.72</v>
      </c>
      <c r="K344" s="21" t="n">
        <v>46171.69663194445</v>
      </c>
      <c r="L344" s="21" t="n"/>
      <c r="M344" s="8" t="inlineStr"/>
      <c r="N344" s="8" t="inlineStr">
        <is>
          <t>Бухгалтер 1С</t>
        </is>
      </c>
      <c r="O344" s="8" t="inlineStr"/>
      <c r="P344" s="12" t="inlineStr">
        <is>
          <t>Списание есть в ETM, но в 1С нет реализации по этим билетам — счёт не выставлен</t>
        </is>
      </c>
      <c r="Q344" s="8" t="inlineStr">
        <is>
          <t>57326777</t>
        </is>
      </c>
    </row>
    <row r="345">
      <c r="A345" s="8" t="inlineStr">
        <is>
          <t>G14325</t>
        </is>
      </c>
      <c r="B345" s="8" t="inlineStr">
        <is>
          <t>ЧОЛПОН ТУР</t>
        </is>
      </c>
      <c r="C345" s="8" t="inlineStr">
        <is>
          <t>2476319227</t>
        </is>
      </c>
      <c r="D345" s="8" t="inlineStr">
        <is>
          <t>Есть в реестре и 1С, нет в ETM</t>
        </is>
      </c>
      <c r="E345" s="8" t="inlineStr">
        <is>
          <t>Бот ETM</t>
        </is>
      </c>
      <c r="F345" s="8" t="inlineStr">
        <is>
          <t>A</t>
        </is>
      </c>
      <c r="G345" s="14" t="n">
        <v>22413.6</v>
      </c>
      <c r="H345" s="14" t="n">
        <v>0</v>
      </c>
      <c r="I345" s="14" t="n">
        <v>22413.6</v>
      </c>
      <c r="J345" s="14" t="n">
        <v>22413.6</v>
      </c>
      <c r="K345" s="21" t="n"/>
      <c r="L345" s="21" t="n">
        <v>46160</v>
      </c>
      <c r="M345" s="8" t="inlineStr"/>
      <c r="N345" s="8" t="inlineStr">
        <is>
          <t>Разработчик/поддержка бота ETM</t>
        </is>
      </c>
      <c r="O345" s="8" t="inlineStr">
        <is>
          <t>d.mambetova</t>
        </is>
      </c>
      <c r="P345" s="12" t="inlineStr">
        <is>
          <t>Продажа есть в реестре и в 1С, но бот не перенёс её на баланс ETM — списания нет</t>
        </is>
      </c>
      <c r="Q345" s="8" t="inlineStr"/>
    </row>
    <row r="346">
      <c r="A346" s="8" t="inlineStr">
        <is>
          <t>G06729</t>
        </is>
      </c>
      <c r="B346" s="8" t="inlineStr">
        <is>
          <t>Джолдошова Салтанат Сатаревна</t>
        </is>
      </c>
      <c r="C346" s="8" t="inlineStr">
        <is>
          <t>2476316498</t>
        </is>
      </c>
      <c r="D346" s="8" t="inlineStr">
        <is>
          <t>Есть в ETM, нет в 1С</t>
        </is>
      </c>
      <c r="E346" s="8" t="inlineStr">
        <is>
          <t>1С</t>
        </is>
      </c>
      <c r="F346" s="8" t="inlineStr">
        <is>
          <t>A</t>
        </is>
      </c>
      <c r="G346" s="14" t="n">
        <v>0</v>
      </c>
      <c r="H346" s="14" t="n">
        <v>-22360.1</v>
      </c>
      <c r="I346" s="14" t="n">
        <v>22360.1</v>
      </c>
      <c r="J346" s="14" t="n">
        <v>-22360.1</v>
      </c>
      <c r="K346" s="21" t="n">
        <v>46060.83145833333</v>
      </c>
      <c r="L346" s="21" t="n"/>
      <c r="M346" s="8" t="inlineStr"/>
      <c r="N346" s="8" t="inlineStr">
        <is>
          <t>Бухгалтер 1С</t>
        </is>
      </c>
      <c r="O346" s="8" t="inlineStr">
        <is>
          <t>e.satarov</t>
        </is>
      </c>
      <c r="P346" s="12" t="inlineStr">
        <is>
          <t>Списание есть в ETM и продажа в реестре, но в 1С нет реализации по этим билетам — счёт не выставлен</t>
        </is>
      </c>
      <c r="Q346" s="8" t="inlineStr">
        <is>
          <t>57077779</t>
        </is>
      </c>
    </row>
    <row r="347">
      <c r="A347" s="8" t="inlineStr">
        <is>
          <t>G03256</t>
        </is>
      </c>
      <c r="B347" s="8" t="inlineStr">
        <is>
          <t>SkyWay Travel</t>
        </is>
      </c>
      <c r="C347" s="8" t="inlineStr">
        <is>
          <t>2476316541</t>
        </is>
      </c>
      <c r="D347" s="8" t="inlineStr">
        <is>
          <t>Есть в ETM, нет в 1С</t>
        </is>
      </c>
      <c r="E347" s="8" t="inlineStr">
        <is>
          <t>1С</t>
        </is>
      </c>
      <c r="F347" s="8" t="inlineStr">
        <is>
          <t>A</t>
        </is>
      </c>
      <c r="G347" s="14" t="n">
        <v>0</v>
      </c>
      <c r="H347" s="14" t="n">
        <v>-22181.62</v>
      </c>
      <c r="I347" s="14" t="n">
        <v>22181.62</v>
      </c>
      <c r="J347" s="14" t="n">
        <v>-22181.62</v>
      </c>
      <c r="K347" s="21" t="n">
        <v>46038.59855324074</v>
      </c>
      <c r="L347" s="21" t="n"/>
      <c r="M347" s="8" t="inlineStr"/>
      <c r="N347" s="8" t="inlineStr">
        <is>
          <t>Бухгалтер 1С</t>
        </is>
      </c>
      <c r="O347" s="8" t="inlineStr">
        <is>
          <t>g.omurbekova</t>
        </is>
      </c>
      <c r="P347" s="12" t="inlineStr">
        <is>
          <t>Списание есть в ETM и продажа в реестре, но в 1С нет реализации по этим билетам — счёт не выставлен</t>
        </is>
      </c>
      <c r="Q347" s="8" t="inlineStr">
        <is>
          <t>57031904</t>
        </is>
      </c>
    </row>
    <row r="348">
      <c r="A348" s="8" t="inlineStr">
        <is>
          <t>G02889</t>
        </is>
      </c>
      <c r="B348" s="8" t="inlineStr">
        <is>
          <t>SkyWay Travel</t>
        </is>
      </c>
      <c r="C348" s="8" t="inlineStr">
        <is>
          <t>2460735872|2460735873</t>
        </is>
      </c>
      <c r="D348" s="8" t="inlineStr">
        <is>
          <t>Есть в ETM, нет в 1С</t>
        </is>
      </c>
      <c r="E348" s="8" t="inlineStr">
        <is>
          <t>1С</t>
        </is>
      </c>
      <c r="F348" s="8" t="inlineStr">
        <is>
          <t>A</t>
        </is>
      </c>
      <c r="G348" s="14" t="n">
        <v>0</v>
      </c>
      <c r="H348" s="14" t="n">
        <v>-22058</v>
      </c>
      <c r="I348" s="14" t="n">
        <v>22058</v>
      </c>
      <c r="J348" s="14" t="n">
        <v>-22058</v>
      </c>
      <c r="K348" s="21" t="n">
        <v>46033.61203703703</v>
      </c>
      <c r="L348" s="21" t="n"/>
      <c r="M348" s="8" t="inlineStr"/>
      <c r="N348" s="8" t="inlineStr">
        <is>
          <t>Бухгалтер 1С</t>
        </is>
      </c>
      <c r="O348" s="8" t="inlineStr">
        <is>
          <t>n.abdyldaeva</t>
        </is>
      </c>
      <c r="P348" s="12" t="inlineStr">
        <is>
          <t>Списание есть в ETM и продажа в реестре, но в 1С нет реализации по этим билетам — счёт не выставлен</t>
        </is>
      </c>
      <c r="Q348" s="8" t="inlineStr">
        <is>
          <t>57020368</t>
        </is>
      </c>
    </row>
    <row r="349">
      <c r="A349" s="8" t="inlineStr">
        <is>
          <t>G08439</t>
        </is>
      </c>
      <c r="B349" s="8" t="inlineStr">
        <is>
          <t>ИП Муратов Э. У.</t>
        </is>
      </c>
      <c r="C349" s="8" t="inlineStr">
        <is>
          <t>2476317622</t>
        </is>
      </c>
      <c r="D349" s="8" t="inlineStr">
        <is>
          <t>Есть в реестре и 1С, нет в ETM</t>
        </is>
      </c>
      <c r="E349" s="8" t="inlineStr">
        <is>
          <t>Бот ETM</t>
        </is>
      </c>
      <c r="F349" s="8" t="inlineStr">
        <is>
          <t>A</t>
        </is>
      </c>
      <c r="G349" s="14" t="n">
        <v>21871.58</v>
      </c>
      <c r="H349" s="14" t="n">
        <v>0</v>
      </c>
      <c r="I349" s="14" t="n">
        <v>21871.58</v>
      </c>
      <c r="J349" s="14" t="n">
        <v>21871.58</v>
      </c>
      <c r="K349" s="21" t="n"/>
      <c r="L349" s="21" t="n">
        <v>46039</v>
      </c>
      <c r="M349" s="8" t="inlineStr"/>
      <c r="N349" s="8" t="inlineStr">
        <is>
          <t>Разработчик/поддержка бота ETM</t>
        </is>
      </c>
      <c r="O349" s="8" t="inlineStr">
        <is>
          <t>e.satarov</t>
        </is>
      </c>
      <c r="P349" s="12" t="inlineStr">
        <is>
          <t>Продажа есть в реестре и в 1С, но бот не перенёс её на баланс ETM — списания нет</t>
        </is>
      </c>
      <c r="Q349" s="8" t="inlineStr"/>
    </row>
    <row r="350">
      <c r="A350" s="8" t="inlineStr">
        <is>
          <t>G02580</t>
        </is>
      </c>
      <c r="B350" s="8" t="inlineStr">
        <is>
          <t>SkyWay Travel</t>
        </is>
      </c>
      <c r="C350" s="8" t="inlineStr">
        <is>
          <t>2420848275</t>
        </is>
      </c>
      <c r="D350" s="8" t="inlineStr">
        <is>
          <t>Есть в ETM, нет в 1С</t>
        </is>
      </c>
      <c r="E350" s="8" t="inlineStr">
        <is>
          <t>1С</t>
        </is>
      </c>
      <c r="F350" s="8" t="inlineStr">
        <is>
          <t>A</t>
        </is>
      </c>
      <c r="G350" s="14" t="n">
        <v>0</v>
      </c>
      <c r="H350" s="14" t="n">
        <v>-21248.96</v>
      </c>
      <c r="I350" s="14" t="n">
        <v>0</v>
      </c>
      <c r="J350" s="14" t="n">
        <v>-21248.96</v>
      </c>
      <c r="K350" s="21" t="n">
        <v>46191.35412037037</v>
      </c>
      <c r="L350" s="21" t="n"/>
      <c r="M350" s="8" t="inlineStr"/>
      <c r="N350" s="8" t="inlineStr">
        <is>
          <t>Бухгалтер 1С</t>
        </is>
      </c>
      <c r="O350" s="8" t="inlineStr">
        <is>
          <t>e.satarov|n.abdyldaeva</t>
        </is>
      </c>
      <c r="P350" s="12" t="inlineStr">
        <is>
          <t>Списание есть в ETM и продажа в реестре, но в 1С нет реализации по этим билетам — счёт не выставлен</t>
        </is>
      </c>
      <c r="Q350" s="8" t="inlineStr">
        <is>
          <t>57379390</t>
        </is>
      </c>
    </row>
    <row r="351">
      <c r="A351" s="8" t="inlineStr">
        <is>
          <t>G04775</t>
        </is>
      </c>
      <c r="B351" s="8" t="inlineStr">
        <is>
          <t>Ак-Куу Авиа</t>
        </is>
      </c>
      <c r="C351" s="8" t="inlineStr">
        <is>
          <t>2416943884</t>
        </is>
      </c>
      <c r="D351" s="8" t="inlineStr">
        <is>
          <t>Есть в ETM, нет в 1С</t>
        </is>
      </c>
      <c r="E351" s="8" t="inlineStr">
        <is>
          <t>1С</t>
        </is>
      </c>
      <c r="F351" s="8" t="inlineStr">
        <is>
          <t>A</t>
        </is>
      </c>
      <c r="G351" s="14" t="n">
        <v>0</v>
      </c>
      <c r="H351" s="14" t="n">
        <v>-21235.61</v>
      </c>
      <c r="I351" s="14" t="n"/>
      <c r="J351" s="14" t="n">
        <v>-21235.61</v>
      </c>
      <c r="K351" s="21" t="n">
        <v>46187.73547453704</v>
      </c>
      <c r="L351" s="21" t="n"/>
      <c r="M351" s="8" t="inlineStr"/>
      <c r="N351" s="8" t="inlineStr">
        <is>
          <t>Бухгалтер 1С</t>
        </is>
      </c>
      <c r="O351" s="8" t="inlineStr"/>
      <c r="P351" s="12" t="inlineStr">
        <is>
          <t>Списание есть в ETM, но в 1С нет реализации по этим билетам — счёт не выставлен</t>
        </is>
      </c>
      <c r="Q351" s="8" t="inlineStr">
        <is>
          <t>57367268</t>
        </is>
      </c>
    </row>
    <row r="352">
      <c r="A352" s="8" t="inlineStr">
        <is>
          <t>G04776</t>
        </is>
      </c>
      <c r="B352" s="8" t="inlineStr">
        <is>
          <t>Ак-Куу Авиа</t>
        </is>
      </c>
      <c r="C352" s="8" t="inlineStr">
        <is>
          <t>2416943887</t>
        </is>
      </c>
      <c r="D352" s="8" t="inlineStr">
        <is>
          <t>Есть в ETM, нет в 1С</t>
        </is>
      </c>
      <c r="E352" s="8" t="inlineStr">
        <is>
          <t>1С</t>
        </is>
      </c>
      <c r="F352" s="8" t="inlineStr">
        <is>
          <t>A</t>
        </is>
      </c>
      <c r="G352" s="14" t="n">
        <v>0</v>
      </c>
      <c r="H352" s="14" t="n">
        <v>-21235.61</v>
      </c>
      <c r="I352" s="14" t="n"/>
      <c r="J352" s="14" t="n">
        <v>-21235.61</v>
      </c>
      <c r="K352" s="21" t="n">
        <v>46187.6903587963</v>
      </c>
      <c r="L352" s="21" t="n"/>
      <c r="M352" s="8" t="inlineStr"/>
      <c r="N352" s="8" t="inlineStr">
        <is>
          <t>Бухгалтер 1С</t>
        </is>
      </c>
      <c r="O352" s="8" t="inlineStr"/>
      <c r="P352" s="12" t="inlineStr">
        <is>
          <t>Списание есть в ETM, но в 1С нет реализации по этим билетам — счёт не выставлен</t>
        </is>
      </c>
      <c r="Q352" s="8" t="inlineStr">
        <is>
          <t>57367291</t>
        </is>
      </c>
    </row>
    <row r="353">
      <c r="A353" s="8" t="inlineStr">
        <is>
          <t>G00185</t>
        </is>
      </c>
      <c r="B353" s="8" t="inlineStr">
        <is>
          <t>Aylana Tour</t>
        </is>
      </c>
      <c r="C353" s="8" t="inlineStr">
        <is>
          <t>2460734998|2460735000</t>
        </is>
      </c>
      <c r="D353" s="8" t="inlineStr">
        <is>
          <t>Есть в ETM, нет в 1С</t>
        </is>
      </c>
      <c r="E353" s="8" t="inlineStr">
        <is>
          <t>1С</t>
        </is>
      </c>
      <c r="F353" s="8" t="inlineStr">
        <is>
          <t>A</t>
        </is>
      </c>
      <c r="G353" s="14" t="n">
        <v>0</v>
      </c>
      <c r="H353" s="14" t="n">
        <v>-20854</v>
      </c>
      <c r="I353" s="14" t="n">
        <v>20854</v>
      </c>
      <c r="J353" s="14" t="n">
        <v>-20854</v>
      </c>
      <c r="K353" s="21" t="n">
        <v>46230.47876157407</v>
      </c>
      <c r="L353" s="21" t="n"/>
      <c r="M353" s="8" t="inlineStr"/>
      <c r="N353" s="8" t="inlineStr">
        <is>
          <t>Бухгалтер 1С</t>
        </is>
      </c>
      <c r="O353" s="8" t="inlineStr">
        <is>
          <t>n.abdyldaeva</t>
        </is>
      </c>
      <c r="P353" s="12" t="inlineStr">
        <is>
          <t>Списание есть в ETM и продажа в реестре, но в 1С нет реализации по этим билетам — счёт не выставлен</t>
        </is>
      </c>
      <c r="Q353" s="8" t="inlineStr">
        <is>
          <t>57491950,57491965</t>
        </is>
      </c>
    </row>
    <row r="354">
      <c r="A354" s="8" t="inlineStr">
        <is>
          <t>G02353</t>
        </is>
      </c>
      <c r="B354" s="8" t="inlineStr">
        <is>
          <t>SkyWay Travel</t>
        </is>
      </c>
      <c r="C354" s="8" t="inlineStr">
        <is>
          <t>2416944981</t>
        </is>
      </c>
      <c r="D354" s="8" t="inlineStr">
        <is>
          <t>Сумма не сходится</t>
        </is>
      </c>
      <c r="E354" s="8" t="inlineStr">
        <is>
          <t>1С</t>
        </is>
      </c>
      <c r="F354" s="8" t="inlineStr">
        <is>
          <t>A</t>
        </is>
      </c>
      <c r="G354" s="14" t="n">
        <v>-10416.15</v>
      </c>
      <c r="H354" s="14" t="n">
        <v>-10416.15</v>
      </c>
      <c r="I354" s="14" t="n">
        <v>10416.15</v>
      </c>
      <c r="J354" s="14" t="n">
        <v>-20832.3</v>
      </c>
      <c r="K354" s="21" t="n">
        <v>46157.515</v>
      </c>
      <c r="L354" s="21" t="n">
        <v>46201</v>
      </c>
      <c r="M354" s="8" t="inlineStr"/>
      <c r="N354" s="8" t="inlineStr">
        <is>
          <t>Бухгалтер 1С</t>
        </is>
      </c>
      <c r="O354" s="8" t="inlineStr">
        <is>
          <t>a.toktosunova|n.abdyldaeva</t>
        </is>
      </c>
      <c r="P354" s="12" t="inlineStr">
        <is>
          <t>Реестр (10,416.15) совпадает с ETM (10,416.15), а в 1С -10,416.15: неверная сумма в 1С</t>
        </is>
      </c>
      <c r="Q354" s="8" t="inlineStr">
        <is>
          <t>57287600,57407614</t>
        </is>
      </c>
    </row>
    <row r="355">
      <c r="A355" s="8" t="inlineStr">
        <is>
          <t>G06651</t>
        </is>
      </c>
      <c r="B355" s="8" t="inlineStr">
        <is>
          <t>Джолдошова Салтанат Сатаревна</t>
        </is>
      </c>
      <c r="C355" s="8" t="inlineStr">
        <is>
          <t>2460735817|2460735818</t>
        </is>
      </c>
      <c r="D355" s="8" t="inlineStr">
        <is>
          <t>Есть в ETM, нет в 1С</t>
        </is>
      </c>
      <c r="E355" s="8" t="inlineStr">
        <is>
          <t>1С</t>
        </is>
      </c>
      <c r="F355" s="8" t="inlineStr">
        <is>
          <t>A</t>
        </is>
      </c>
      <c r="G355" s="14" t="n">
        <v>0</v>
      </c>
      <c r="H355" s="14" t="n">
        <v>-20750</v>
      </c>
      <c r="I355" s="14" t="n"/>
      <c r="J355" s="14" t="n">
        <v>-20750</v>
      </c>
      <c r="K355" s="21" t="n">
        <v>46090.37090277778</v>
      </c>
      <c r="L355" s="21" t="n"/>
      <c r="M355" s="8" t="inlineStr"/>
      <c r="N355" s="8" t="inlineStr">
        <is>
          <t>Бухгалтер 1С</t>
        </is>
      </c>
      <c r="O355" s="8" t="inlineStr"/>
      <c r="P355" s="12" t="inlineStr">
        <is>
          <t>Списание есть в ETM, но в 1С нет реализации по этим билетам — счёт не выставлен</t>
        </is>
      </c>
      <c r="Q355" s="8" t="inlineStr">
        <is>
          <t>57134836</t>
        </is>
      </c>
    </row>
    <row r="356">
      <c r="A356" s="8" t="inlineStr">
        <is>
          <t>G01519</t>
        </is>
      </c>
      <c r="B356" s="8" t="inlineStr">
        <is>
          <t>Karakol Express</t>
        </is>
      </c>
      <c r="C356" s="8" t="inlineStr">
        <is>
          <t>2460738521|2460738522</t>
        </is>
      </c>
      <c r="D356" s="8" t="inlineStr">
        <is>
          <t>Сумма не сходится</t>
        </is>
      </c>
      <c r="E356" s="8" t="inlineStr">
        <is>
          <t>Бот ETM</t>
        </is>
      </c>
      <c r="F356" s="8" t="inlineStr">
        <is>
          <t>A</t>
        </is>
      </c>
      <c r="G356" s="14" t="n">
        <v>41348</v>
      </c>
      <c r="H356" s="14" t="n">
        <v>-62022</v>
      </c>
      <c r="I356" s="14" t="n">
        <v>41348</v>
      </c>
      <c r="J356" s="14" t="n">
        <v>-20674</v>
      </c>
      <c r="K356" s="21" t="n">
        <v>46049.57377314815</v>
      </c>
      <c r="L356" s="21" t="n">
        <v>46049</v>
      </c>
      <c r="M356" s="8" t="inlineStr"/>
      <c r="N356" s="8" t="inlineStr">
        <is>
          <t>Разработчик/поддержка бота ETM</t>
        </is>
      </c>
      <c r="O356" s="8" t="inlineStr">
        <is>
          <t>g.omurbekova</t>
        </is>
      </c>
      <c r="P356" s="12" t="inlineStr">
        <is>
          <t>Реестр (41,348.00) совпадает с 1С (41,348.00), а в ETM 62,022.00: бот перенёс неверную сумму</t>
        </is>
      </c>
      <c r="Q356" s="8" t="inlineStr">
        <is>
          <t>57057093,57057099,57057137</t>
        </is>
      </c>
    </row>
    <row r="357">
      <c r="A357" s="8" t="inlineStr">
        <is>
          <t>G14687</t>
        </is>
      </c>
      <c r="B357" s="8" t="inlineStr">
        <is>
          <t>Чынарова Бурул Джолдошовна</t>
        </is>
      </c>
      <c r="C357" s="8" t="inlineStr">
        <is>
          <t>2559100527</t>
        </is>
      </c>
      <c r="D357" s="8" t="inlineStr">
        <is>
          <t>Есть в ETM, нет в 1С</t>
        </is>
      </c>
      <c r="E357" s="8" t="inlineStr">
        <is>
          <t>1С</t>
        </is>
      </c>
      <c r="F357" s="8" t="inlineStr">
        <is>
          <t>A</t>
        </is>
      </c>
      <c r="G357" s="14" t="n">
        <v>0</v>
      </c>
      <c r="H357" s="14" t="n">
        <v>-20602.1</v>
      </c>
      <c r="I357" s="14" t="n">
        <v>20602.1</v>
      </c>
      <c r="J357" s="14" t="n">
        <v>-20602.1</v>
      </c>
      <c r="K357" s="21" t="n">
        <v>46203.6924537037</v>
      </c>
      <c r="L357" s="21" t="n"/>
      <c r="M357" s="8" t="inlineStr"/>
      <c r="N357" s="8" t="inlineStr">
        <is>
          <t>Бухгалтер 1С</t>
        </is>
      </c>
      <c r="O357" s="8" t="inlineStr">
        <is>
          <t>k.dzhumaev</t>
        </is>
      </c>
      <c r="P357" s="12" t="inlineStr">
        <is>
          <t>Списание есть в ETM и продажа в реестре, но в 1С нет реализации по этим билетам — счёт не выставлен</t>
        </is>
      </c>
      <c r="Q357" s="8" t="inlineStr">
        <is>
          <t>57414405</t>
        </is>
      </c>
    </row>
    <row r="358">
      <c r="A358" s="8" t="inlineStr">
        <is>
          <t>G00966</t>
        </is>
      </c>
      <c r="B358" s="8" t="inlineStr">
        <is>
          <t>Jailoo Trip</t>
        </is>
      </c>
      <c r="C358" s="8" t="inlineStr">
        <is>
          <t>2420843070</t>
        </is>
      </c>
      <c r="D358" s="8" t="inlineStr">
        <is>
          <t>Есть в ETM, нет в 1С</t>
        </is>
      </c>
      <c r="E358" s="8" t="inlineStr">
        <is>
          <t>1С</t>
        </is>
      </c>
      <c r="F358" s="8" t="inlineStr">
        <is>
          <t>A</t>
        </is>
      </c>
      <c r="G358" s="14" t="n">
        <v>0</v>
      </c>
      <c r="H358" s="14" t="n">
        <v>-20600.38</v>
      </c>
      <c r="I358" s="14" t="n"/>
      <c r="J358" s="14" t="n">
        <v>-20600.38</v>
      </c>
      <c r="K358" s="21" t="n">
        <v>46120.45903935185</v>
      </c>
      <c r="L358" s="21" t="n"/>
      <c r="M358" s="8" t="inlineStr"/>
      <c r="N358" s="8" t="inlineStr">
        <is>
          <t>Бухгалтер 1С</t>
        </is>
      </c>
      <c r="O358" s="8" t="inlineStr"/>
      <c r="P358" s="12" t="inlineStr">
        <is>
          <t>Списание есть в ETM, но в 1С нет реализации по этим билетам — счёт не выставлен</t>
        </is>
      </c>
      <c r="Q358" s="8" t="inlineStr">
        <is>
          <t>57196051</t>
        </is>
      </c>
    </row>
    <row r="359">
      <c r="A359" s="8" t="inlineStr">
        <is>
          <t>G08148</t>
        </is>
      </c>
      <c r="B359" s="8" t="inlineStr">
        <is>
          <t>ИП Жумабекова Б. Н.</t>
        </is>
      </c>
      <c r="C359" s="8" t="inlineStr">
        <is>
          <t>2420846138</t>
        </is>
      </c>
      <c r="D359" s="8" t="inlineStr">
        <is>
          <t>Есть в ETM, нет в 1С</t>
        </is>
      </c>
      <c r="E359" s="8" t="inlineStr">
        <is>
          <t>1С</t>
        </is>
      </c>
      <c r="F359" s="8" t="inlineStr">
        <is>
          <t>A</t>
        </is>
      </c>
      <c r="G359" s="14" t="n">
        <v>0</v>
      </c>
      <c r="H359" s="14" t="n">
        <v>-20432.35</v>
      </c>
      <c r="I359" s="14" t="n">
        <v>20432.3525</v>
      </c>
      <c r="J359" s="14" t="n">
        <v>-20432.35</v>
      </c>
      <c r="K359" s="21" t="n">
        <v>46072.72045138889</v>
      </c>
      <c r="L359" s="21" t="n"/>
      <c r="M359" s="8" t="inlineStr"/>
      <c r="N359" s="8" t="inlineStr">
        <is>
          <t>Бухгалтер 1С</t>
        </is>
      </c>
      <c r="O359" s="8" t="inlineStr">
        <is>
          <t>k.dzhumaev</t>
        </is>
      </c>
      <c r="P359" s="12" t="inlineStr">
        <is>
          <t>Списание есть в ETM и продажа в реестре, но в 1С нет реализации по этим билетам — счёт не выставлен</t>
        </is>
      </c>
      <c r="Q359" s="8" t="inlineStr">
        <is>
          <t>57098540</t>
        </is>
      </c>
    </row>
    <row r="360">
      <c r="A360" s="8" t="inlineStr">
        <is>
          <t>G10143</t>
        </is>
      </c>
      <c r="B360" s="8" t="inlineStr">
        <is>
          <t>Манас Вояж</t>
        </is>
      </c>
      <c r="C360" s="8" t="inlineStr">
        <is>
          <t>2476317857</t>
        </is>
      </c>
      <c r="D360" s="8" t="inlineStr">
        <is>
          <t>Есть в ETM, нет в 1С</t>
        </is>
      </c>
      <c r="E360" s="8" t="inlineStr">
        <is>
          <t>1С</t>
        </is>
      </c>
      <c r="F360" s="8" t="inlineStr">
        <is>
          <t>A</t>
        </is>
      </c>
      <c r="G360" s="14" t="n">
        <v>0</v>
      </c>
      <c r="H360" s="14" t="n">
        <v>-20411.24</v>
      </c>
      <c r="I360" s="14" t="n">
        <v>20411.24</v>
      </c>
      <c r="J360" s="14" t="n">
        <v>-20411.24</v>
      </c>
      <c r="K360" s="21" t="n">
        <v>46182.71587962963</v>
      </c>
      <c r="L360" s="21" t="n"/>
      <c r="M360" s="8" t="inlineStr"/>
      <c r="N360" s="8" t="inlineStr">
        <is>
          <t>Бухгалтер 1С</t>
        </is>
      </c>
      <c r="O360" s="8" t="inlineStr">
        <is>
          <t>g.omurbekova</t>
        </is>
      </c>
      <c r="P360" s="12" t="inlineStr">
        <is>
          <t>Списание есть в ETM и продажа в реестре, но в 1С нет реализации по этим билетам — счёт не выставлен</t>
        </is>
      </c>
      <c r="Q360" s="8" t="inlineStr">
        <is>
          <t>57354712</t>
        </is>
      </c>
    </row>
    <row r="361">
      <c r="A361" s="8" t="inlineStr">
        <is>
          <t>G04525</t>
        </is>
      </c>
      <c r="B361" s="8" t="inlineStr">
        <is>
          <t>Абдылда уулу Б.</t>
        </is>
      </c>
      <c r="C361" s="8" t="inlineStr">
        <is>
          <t>2559102248</t>
        </is>
      </c>
      <c r="D361" s="8" t="inlineStr">
        <is>
          <t>Есть в реестре и 1С, нет в ETM</t>
        </is>
      </c>
      <c r="E361" s="8" t="inlineStr">
        <is>
          <t>Бот ETM</t>
        </is>
      </c>
      <c r="F361" s="8" t="inlineStr">
        <is>
          <t>A</t>
        </is>
      </c>
      <c r="G361" s="14" t="n">
        <v>20399.75</v>
      </c>
      <c r="H361" s="14" t="n">
        <v>0</v>
      </c>
      <c r="I361" s="14" t="n">
        <v>20399.75</v>
      </c>
      <c r="J361" s="14" t="n">
        <v>20399.75</v>
      </c>
      <c r="K361" s="21" t="n"/>
      <c r="L361" s="21" t="n">
        <v>46079</v>
      </c>
      <c r="M361" s="8" t="inlineStr"/>
      <c r="N361" s="8" t="inlineStr">
        <is>
          <t>Разработчик/поддержка бота ETM</t>
        </is>
      </c>
      <c r="O361" s="8" t="inlineStr">
        <is>
          <t>b.isakov</t>
        </is>
      </c>
      <c r="P361" s="12" t="inlineStr">
        <is>
          <t>Продажа есть в реестре и в 1С, но бот не перенёс её на баланс ETM — списания нет</t>
        </is>
      </c>
      <c r="Q361" s="8" t="inlineStr"/>
    </row>
    <row r="362">
      <c r="A362" s="8" t="inlineStr">
        <is>
          <t>G05312</t>
        </is>
      </c>
      <c r="B362" s="8" t="inlineStr">
        <is>
          <t>Ак-Куу Авиа</t>
        </is>
      </c>
      <c r="C362" s="8" t="inlineStr">
        <is>
          <t>2552670147</t>
        </is>
      </c>
      <c r="D362" s="8" t="inlineStr">
        <is>
          <t>Есть в ETM, нет в 1С</t>
        </is>
      </c>
      <c r="E362" s="8" t="inlineStr">
        <is>
          <t>1С</t>
        </is>
      </c>
      <c r="F362" s="8" t="inlineStr">
        <is>
          <t>A</t>
        </is>
      </c>
      <c r="G362" s="14" t="n">
        <v>0</v>
      </c>
      <c r="H362" s="14" t="n">
        <v>-20152.44</v>
      </c>
      <c r="I362" s="14" t="n">
        <v>20152.4375</v>
      </c>
      <c r="J362" s="14" t="n">
        <v>-20152.44</v>
      </c>
      <c r="K362" s="21" t="n">
        <v>46087.58841435185</v>
      </c>
      <c r="L362" s="21" t="n"/>
      <c r="M362" s="8" t="inlineStr"/>
      <c r="N362" s="8" t="inlineStr">
        <is>
          <t>Бухгалтер 1С</t>
        </is>
      </c>
      <c r="O362" s="8" t="inlineStr">
        <is>
          <t>r.sydykov</t>
        </is>
      </c>
      <c r="P362" s="12" t="inlineStr">
        <is>
          <t>Списание есть в ETM и продажа в реестре, но в 1С нет реализации по этим билетам — счёт не выставлен</t>
        </is>
      </c>
      <c r="Q362" s="8" t="inlineStr">
        <is>
          <t>57127693</t>
        </is>
      </c>
    </row>
    <row r="363">
      <c r="A363" s="8" t="inlineStr">
        <is>
          <t>G05149</t>
        </is>
      </c>
      <c r="B363" s="8" t="inlineStr">
        <is>
          <t>Ак-Куу Авиа</t>
        </is>
      </c>
      <c r="C363" s="8" t="inlineStr">
        <is>
          <t>2461885191</t>
        </is>
      </c>
      <c r="D363" s="8" t="inlineStr">
        <is>
          <t>Есть в ETM, нет в 1С</t>
        </is>
      </c>
      <c r="E363" s="8" t="inlineStr">
        <is>
          <t>1С</t>
        </is>
      </c>
      <c r="F363" s="8" t="inlineStr">
        <is>
          <t>A</t>
        </is>
      </c>
      <c r="G363" s="14" t="n">
        <v>0</v>
      </c>
      <c r="H363" s="14" t="n">
        <v>-20091</v>
      </c>
      <c r="I363" s="14" t="n">
        <v>20091</v>
      </c>
      <c r="J363" s="14" t="n">
        <v>-20091</v>
      </c>
      <c r="K363" s="21" t="n">
        <v>46065.45655092593</v>
      </c>
      <c r="L363" s="21" t="n"/>
      <c r="M363" s="8" t="inlineStr"/>
      <c r="N363" s="8" t="inlineStr">
        <is>
          <t>Бухгалтер 1С</t>
        </is>
      </c>
      <c r="O363" s="8" t="inlineStr">
        <is>
          <t>d.mambetova</t>
        </is>
      </c>
      <c r="P363" s="12" t="inlineStr">
        <is>
          <t>Списание есть в ETM и продажа в реестре, но в 1С нет реализации по этим билетам — счёт не выставлен</t>
        </is>
      </c>
      <c r="Q363" s="8" t="inlineStr">
        <is>
          <t>57087377</t>
        </is>
      </c>
    </row>
    <row r="364">
      <c r="A364" s="8" t="inlineStr">
        <is>
          <t>G03658</t>
        </is>
      </c>
      <c r="B364" s="8" t="inlineStr">
        <is>
          <t>SkyWay Travel</t>
        </is>
      </c>
      <c r="C364" s="8" t="inlineStr">
        <is>
          <t>2559100360</t>
        </is>
      </c>
      <c r="D364" s="8" t="inlineStr">
        <is>
          <t>Есть в ETM, нет в 1С</t>
        </is>
      </c>
      <c r="E364" s="8" t="inlineStr">
        <is>
          <t>1С</t>
        </is>
      </c>
      <c r="F364" s="8" t="inlineStr">
        <is>
          <t>A</t>
        </is>
      </c>
      <c r="G364" s="14" t="n">
        <v>0</v>
      </c>
      <c r="H364" s="14" t="n">
        <v>-19872.18</v>
      </c>
      <c r="I364" s="14" t="n">
        <v>19872.18</v>
      </c>
      <c r="J364" s="14" t="n">
        <v>-19872.18</v>
      </c>
      <c r="K364" s="21" t="n">
        <v>46163.79491898148</v>
      </c>
      <c r="L364" s="21" t="n"/>
      <c r="M364" s="8" t="inlineStr"/>
      <c r="N364" s="8" t="inlineStr">
        <is>
          <t>Бухгалтер 1С</t>
        </is>
      </c>
      <c r="O364" s="8" t="inlineStr">
        <is>
          <t>g.omurbekova</t>
        </is>
      </c>
      <c r="P364" s="12" t="inlineStr">
        <is>
          <t>Списание есть в ETM и продажа в реестре, но в 1С нет реализации по этим билетам — счёт не выставлен</t>
        </is>
      </c>
      <c r="Q364" s="8" t="inlineStr">
        <is>
          <t>57304406</t>
        </is>
      </c>
    </row>
    <row r="365">
      <c r="A365" s="8" t="inlineStr">
        <is>
          <t>G10225</t>
        </is>
      </c>
      <c r="B365" s="8" t="inlineStr">
        <is>
          <t>Манас Тревел</t>
        </is>
      </c>
      <c r="C365" s="8" t="inlineStr">
        <is>
          <t>2420844651</t>
        </is>
      </c>
      <c r="D365" s="8" t="inlineStr">
        <is>
          <t>Есть в реестре и 1С, нет в ETM</t>
        </is>
      </c>
      <c r="E365" s="8" t="inlineStr">
        <is>
          <t>Бот ETM</t>
        </is>
      </c>
      <c r="F365" s="8" t="inlineStr">
        <is>
          <t>A</t>
        </is>
      </c>
      <c r="G365" s="14" t="n">
        <v>19781.1</v>
      </c>
      <c r="H365" s="14" t="n">
        <v>0</v>
      </c>
      <c r="I365" s="14" t="n">
        <v>19781.105</v>
      </c>
      <c r="J365" s="14" t="n">
        <v>19781.1</v>
      </c>
      <c r="K365" s="21" t="n"/>
      <c r="L365" s="21" t="n">
        <v>46046</v>
      </c>
      <c r="M365" s="8" t="inlineStr"/>
      <c r="N365" s="8" t="inlineStr">
        <is>
          <t>Разработчик/поддержка бота ETM</t>
        </is>
      </c>
      <c r="O365" s="8" t="inlineStr">
        <is>
          <t>k.dzhumaev</t>
        </is>
      </c>
      <c r="P365" s="12" t="inlineStr">
        <is>
          <t>Продажа есть в реестре и в 1С, но бот не перенёс её на баланс ETM — списания нет</t>
        </is>
      </c>
      <c r="Q365" s="8" t="inlineStr"/>
    </row>
    <row r="366">
      <c r="A366" s="8" t="inlineStr">
        <is>
          <t>G13792</t>
        </is>
      </c>
      <c r="B366" s="8" t="inlineStr">
        <is>
          <t>ТАЛАС ЛАЙН</t>
        </is>
      </c>
      <c r="C366" s="8" t="inlineStr">
        <is>
          <t>2559102225</t>
        </is>
      </c>
      <c r="D366" s="8" t="inlineStr">
        <is>
          <t>Есть в ETM, нет в 1С</t>
        </is>
      </c>
      <c r="E366" s="8" t="inlineStr">
        <is>
          <t>1С</t>
        </is>
      </c>
      <c r="F366" s="8" t="inlineStr">
        <is>
          <t>A</t>
        </is>
      </c>
      <c r="G366" s="14" t="n">
        <v>0</v>
      </c>
      <c r="H366" s="14" t="n">
        <v>-19725.9</v>
      </c>
      <c r="I366" s="14" t="n">
        <v>19725.9</v>
      </c>
      <c r="J366" s="14" t="n">
        <v>-19725.9</v>
      </c>
      <c r="K366" s="21" t="n">
        <v>46136.39769675926</v>
      </c>
      <c r="L366" s="21" t="n"/>
      <c r="M366" s="8" t="inlineStr"/>
      <c r="N366" s="8" t="inlineStr">
        <is>
          <t>Бухгалтер 1С</t>
        </is>
      </c>
      <c r="O366" s="8" t="inlineStr">
        <is>
          <t>g.omurbekova</t>
        </is>
      </c>
      <c r="P366" s="12" t="inlineStr">
        <is>
          <t>Списание есть в ETM и продажа в реестре, но в 1С нет реализации по этим билетам — счёт не выставлен</t>
        </is>
      </c>
      <c r="Q366" s="8" t="inlineStr">
        <is>
          <t>57227022</t>
        </is>
      </c>
    </row>
    <row r="367">
      <c r="A367" s="8" t="inlineStr">
        <is>
          <t>G02164</t>
        </is>
      </c>
      <c r="B367" s="8" t="inlineStr">
        <is>
          <t>Silk Route Air</t>
        </is>
      </c>
      <c r="C367" s="8" t="inlineStr">
        <is>
          <t>2459529899</t>
        </is>
      </c>
      <c r="D367" s="8" t="inlineStr">
        <is>
          <t>Двойное списание в ETM</t>
        </is>
      </c>
      <c r="E367" s="8" t="inlineStr">
        <is>
          <t>Бот ETM</t>
        </is>
      </c>
      <c r="F367" s="8" t="inlineStr">
        <is>
          <t>A</t>
        </is>
      </c>
      <c r="G367" s="14" t="n">
        <v>19682</v>
      </c>
      <c r="H367" s="14" t="n">
        <v>-39364</v>
      </c>
      <c r="I367" s="14" t="n">
        <v>19682</v>
      </c>
      <c r="J367" s="14" t="n">
        <v>-19682</v>
      </c>
      <c r="K367" s="21" t="n">
        <v>46114.4399537037</v>
      </c>
      <c r="L367" s="21" t="n">
        <v>46114</v>
      </c>
      <c r="M367" s="8" t="inlineStr"/>
      <c r="N367" s="8" t="inlineStr">
        <is>
          <t>Разработчик/поддержка бота ETM</t>
        </is>
      </c>
      <c r="O367" s="8" t="inlineStr">
        <is>
          <t>a.toktosunova</t>
        </is>
      </c>
      <c r="P367" s="12" t="inlineStr">
        <is>
          <t>В ETM 1 лишн. списание(й) одного билета на 19,682.00; без дубля сумма совпадает с 1С</t>
        </is>
      </c>
      <c r="Q367" s="8" t="inlineStr">
        <is>
          <t>57186458,57186437</t>
        </is>
      </c>
    </row>
    <row r="368">
      <c r="A368" s="8" t="inlineStr">
        <is>
          <t>G07293</t>
        </is>
      </c>
      <c r="B368" s="8" t="inlineStr">
        <is>
          <t>Жибек Эйр</t>
        </is>
      </c>
      <c r="C368" s="8" t="inlineStr">
        <is>
          <t>2461881492|2461881494</t>
        </is>
      </c>
      <c r="D368" s="8" t="inlineStr">
        <is>
          <t>Сумма не сходится</t>
        </is>
      </c>
      <c r="E368" s="8" t="inlineStr">
        <is>
          <t>1С</t>
        </is>
      </c>
      <c r="F368" s="8" t="inlineStr">
        <is>
          <t>A</t>
        </is>
      </c>
      <c r="G368" s="14" t="n">
        <v>-9808</v>
      </c>
      <c r="H368" s="14" t="n">
        <v>-9808</v>
      </c>
      <c r="I368" s="14" t="n">
        <v>9808</v>
      </c>
      <c r="J368" s="14" t="n">
        <v>-19616</v>
      </c>
      <c r="K368" s="21" t="n">
        <v>46140.42969907408</v>
      </c>
      <c r="L368" s="21" t="n">
        <v>46181</v>
      </c>
      <c r="M368" s="8" t="inlineStr"/>
      <c r="N368" s="8" t="inlineStr">
        <is>
          <t>Бухгалтер 1С</t>
        </is>
      </c>
      <c r="O368" s="8" t="inlineStr">
        <is>
          <t>b.isakov|n.abdyldaeva</t>
        </is>
      </c>
      <c r="P368" s="12" t="inlineStr">
        <is>
          <t>Реестр (9,808.00) совпадает с ETM (9,808.00), а в 1С -9,808.00: неверная сумма в 1С</t>
        </is>
      </c>
      <c r="Q368" s="8" t="inlineStr">
        <is>
          <t>57233969,57233930,57350495</t>
        </is>
      </c>
    </row>
    <row r="369">
      <c r="A369" s="8" t="inlineStr">
        <is>
          <t>G09628</t>
        </is>
      </c>
      <c r="B369" s="8" t="inlineStr">
        <is>
          <t>Кадырова Айнура Жумабекевна</t>
        </is>
      </c>
      <c r="C369" s="8" t="inlineStr">
        <is>
          <t>2459526977</t>
        </is>
      </c>
      <c r="D369" s="8" t="inlineStr">
        <is>
          <t>Есть в ETM, нет в 1С</t>
        </is>
      </c>
      <c r="E369" s="8" t="inlineStr">
        <is>
          <t>1С</t>
        </is>
      </c>
      <c r="F369" s="8" t="inlineStr">
        <is>
          <t>A</t>
        </is>
      </c>
      <c r="G369" s="14" t="n">
        <v>0</v>
      </c>
      <c r="H369" s="14" t="n">
        <v>-19594</v>
      </c>
      <c r="I369" s="14" t="n">
        <v>19594</v>
      </c>
      <c r="J369" s="14" t="n">
        <v>-19594</v>
      </c>
      <c r="K369" s="21" t="n">
        <v>46208.45809027777</v>
      </c>
      <c r="L369" s="21" t="n"/>
      <c r="M369" s="8" t="inlineStr"/>
      <c r="N369" s="8" t="inlineStr">
        <is>
          <t>Бухгалтер 1С</t>
        </is>
      </c>
      <c r="O369" s="8" t="inlineStr">
        <is>
          <t>k.dzhumaev</t>
        </is>
      </c>
      <c r="P369" s="12" t="inlineStr">
        <is>
          <t>Списание есть в ETM и продажа в реестре, но в 1С нет реализации по этим билетам — счёт не выставлен</t>
        </is>
      </c>
      <c r="Q369" s="8" t="inlineStr">
        <is>
          <t>57430579</t>
        </is>
      </c>
    </row>
    <row r="370">
      <c r="A370" s="8" t="inlineStr">
        <is>
          <t>G04827</t>
        </is>
      </c>
      <c r="B370" s="8" t="inlineStr">
        <is>
          <t>Ак-Куу Авиа</t>
        </is>
      </c>
      <c r="C370" s="8" t="inlineStr">
        <is>
          <t>2420843971</t>
        </is>
      </c>
      <c r="D370" s="8" t="inlineStr">
        <is>
          <t>Есть в ETM, нет в 1С</t>
        </is>
      </c>
      <c r="E370" s="8" t="inlineStr">
        <is>
          <t>1С</t>
        </is>
      </c>
      <c r="F370" s="8" t="inlineStr">
        <is>
          <t>A</t>
        </is>
      </c>
      <c r="G370" s="14" t="n">
        <v>0</v>
      </c>
      <c r="H370" s="14" t="n">
        <v>-19551.37</v>
      </c>
      <c r="I370" s="14" t="n">
        <v>19551.3733</v>
      </c>
      <c r="J370" s="14" t="n">
        <v>-19551.37</v>
      </c>
      <c r="K370" s="21" t="n">
        <v>46220.42699074074</v>
      </c>
      <c r="L370" s="21" t="n"/>
      <c r="M370" s="8" t="inlineStr"/>
      <c r="N370" s="8" t="inlineStr">
        <is>
          <t>Бухгалтер 1С</t>
        </is>
      </c>
      <c r="O370" s="8" t="inlineStr">
        <is>
          <t>g.omurbekova</t>
        </is>
      </c>
      <c r="P370" s="12" t="inlineStr">
        <is>
          <t>Списание есть в ETM и продажа в реестре, но в 1С нет реализации по этим билетам — счёт не выставлен</t>
        </is>
      </c>
      <c r="Q370" s="8" t="inlineStr">
        <is>
          <t>57466164</t>
        </is>
      </c>
    </row>
    <row r="371">
      <c r="A371" s="8" t="inlineStr">
        <is>
          <t>G09742</t>
        </is>
      </c>
      <c r="B371" s="8" t="inlineStr">
        <is>
          <t>Кадырова Айнура Жумабекевна</t>
        </is>
      </c>
      <c r="C371" s="8" t="inlineStr">
        <is>
          <t>2476316231</t>
        </is>
      </c>
      <c r="D371" s="8" t="inlineStr">
        <is>
          <t>Есть в реестре и 1С, нет в ETM</t>
        </is>
      </c>
      <c r="E371" s="8" t="inlineStr">
        <is>
          <t>Бот ETM</t>
        </is>
      </c>
      <c r="F371" s="8" t="inlineStr">
        <is>
          <t>A</t>
        </is>
      </c>
      <c r="G371" s="14" t="n">
        <v>19456.72</v>
      </c>
      <c r="H371" s="14" t="n">
        <v>0</v>
      </c>
      <c r="I371" s="14" t="n">
        <v>19456.72</v>
      </c>
      <c r="J371" s="14" t="n">
        <v>19456.72</v>
      </c>
      <c r="K371" s="21" t="n"/>
      <c r="L371" s="21" t="n">
        <v>46162</v>
      </c>
      <c r="M371" s="8" t="inlineStr"/>
      <c r="N371" s="8" t="inlineStr">
        <is>
          <t>Разработчик/поддержка бота ETM</t>
        </is>
      </c>
      <c r="O371" s="8" t="inlineStr">
        <is>
          <t>b.isakov</t>
        </is>
      </c>
      <c r="P371" s="12" t="inlineStr">
        <is>
          <t>Продажа есть в реестре и в 1С, но бот не перенёс её на баланс ETM — списания нет</t>
        </is>
      </c>
      <c r="Q371" s="8" t="inlineStr"/>
    </row>
    <row r="372">
      <c r="A372" s="8" t="inlineStr">
        <is>
          <t>G08544</t>
        </is>
      </c>
      <c r="B372" s="8" t="inlineStr">
        <is>
          <t>ИП Токтосун кызы Н.</t>
        </is>
      </c>
      <c r="C372" s="8" t="inlineStr">
        <is>
          <t>2459527349</t>
        </is>
      </c>
      <c r="D372" s="8" t="inlineStr">
        <is>
          <t>Сумма не сходится</t>
        </is>
      </c>
      <c r="E372" s="8" t="inlineStr">
        <is>
          <t>1С</t>
        </is>
      </c>
      <c r="F372" s="8" t="inlineStr">
        <is>
          <t>A</t>
        </is>
      </c>
      <c r="G372" s="14" t="n">
        <v>19384</v>
      </c>
      <c r="H372" s="14" t="n">
        <v>0</v>
      </c>
      <c r="I372" s="14" t="n">
        <v>0</v>
      </c>
      <c r="J372" s="14" t="n">
        <v>19384</v>
      </c>
      <c r="K372" s="21" t="n">
        <v>46039.67373842592</v>
      </c>
      <c r="L372" s="21" t="n">
        <v>46039</v>
      </c>
      <c r="M372" s="8" t="inlineStr"/>
      <c r="N372" s="8" t="inlineStr">
        <is>
          <t>Бухгалтер 1С</t>
        </is>
      </c>
      <c r="O372" s="8" t="inlineStr">
        <is>
          <t>n.abdyldaeva</t>
        </is>
      </c>
      <c r="P372" s="12" t="inlineStr">
        <is>
          <t>Реестр (0.00) совпадает с ETM (-0.00), а в 1С 19,384.00: неверная сумма в 1С</t>
        </is>
      </c>
      <c r="Q372" s="8" t="inlineStr">
        <is>
          <t>57033814,57066575</t>
        </is>
      </c>
    </row>
    <row r="373">
      <c r="A373" s="8" t="inlineStr">
        <is>
          <t>G12313</t>
        </is>
      </c>
      <c r="B373" s="8" t="inlineStr">
        <is>
          <t>САЛАМ ЭЙР</t>
        </is>
      </c>
      <c r="C373" s="8" t="inlineStr">
        <is>
          <t>2459528343</t>
        </is>
      </c>
      <c r="D373" s="8" t="inlineStr">
        <is>
          <t>Сумма не сходится</t>
        </is>
      </c>
      <c r="E373" s="8" t="inlineStr">
        <is>
          <t>Бот ETM</t>
        </is>
      </c>
      <c r="F373" s="8" t="inlineStr">
        <is>
          <t>A</t>
        </is>
      </c>
      <c r="G373" s="14" t="n">
        <v>9679.5</v>
      </c>
      <c r="H373" s="14" t="n">
        <v>9679.5</v>
      </c>
      <c r="I373" s="14" t="n">
        <v>9679.5</v>
      </c>
      <c r="J373" s="14" t="n">
        <v>19359</v>
      </c>
      <c r="K373" s="21" t="n">
        <v>46162.72622685185</v>
      </c>
      <c r="L373" s="21" t="n">
        <v>46155</v>
      </c>
      <c r="M373" s="8" t="inlineStr"/>
      <c r="N373" s="8" t="inlineStr">
        <is>
          <t>Разработчик/поддержка бота ETM</t>
        </is>
      </c>
      <c r="O373" s="8" t="inlineStr">
        <is>
          <t>a.toktosunova|n.abdyldaeva</t>
        </is>
      </c>
      <c r="P373" s="12" t="inlineStr">
        <is>
          <t>Реестр (9,679.50) совпадает с 1С (9,679.50), а в ETM -9,679.50: бот перенёс неверную сумму</t>
        </is>
      </c>
      <c r="Q373" s="8" t="inlineStr">
        <is>
          <t>57300614</t>
        </is>
      </c>
    </row>
    <row r="374">
      <c r="A374" s="8" t="inlineStr">
        <is>
          <t>G09927</t>
        </is>
      </c>
      <c r="B374" s="8" t="inlineStr">
        <is>
          <t>МУРАС ТРИП</t>
        </is>
      </c>
      <c r="C374" s="8" t="inlineStr">
        <is>
          <t>2420846940</t>
        </is>
      </c>
      <c r="D374" s="8" t="inlineStr">
        <is>
          <t>Двойное списание в ETM</t>
        </is>
      </c>
      <c r="E374" s="8" t="inlineStr">
        <is>
          <t>Бот ETM</t>
        </is>
      </c>
      <c r="F374" s="8" t="inlineStr">
        <is>
          <t>A</t>
        </is>
      </c>
      <c r="G374" s="14" t="n">
        <v>19358.53</v>
      </c>
      <c r="H374" s="14" t="n">
        <v>-38717.06</v>
      </c>
      <c r="I374" s="14" t="n">
        <v>19358.5318</v>
      </c>
      <c r="J374" s="14" t="n">
        <v>-19358.53</v>
      </c>
      <c r="K374" s="21" t="n">
        <v>46171.74037037037</v>
      </c>
      <c r="L374" s="21" t="n">
        <v>46171</v>
      </c>
      <c r="M374" s="8" t="inlineStr"/>
      <c r="N374" s="8" t="inlineStr">
        <is>
          <t>Разработчик/поддержка бота ETM</t>
        </is>
      </c>
      <c r="O374" s="8" t="inlineStr">
        <is>
          <t>a.toktosunova</t>
        </is>
      </c>
      <c r="P374" s="12" t="inlineStr">
        <is>
          <t>В ETM 1 лишн. списание(й) одного билета на 19,358.53; без дубля сумма совпадает с 1С</t>
        </is>
      </c>
      <c r="Q374" s="8" t="inlineStr">
        <is>
          <t>57326766,57326768</t>
        </is>
      </c>
    </row>
    <row r="375">
      <c r="A375" s="8" t="inlineStr">
        <is>
          <t>G06624</t>
        </is>
      </c>
      <c r="B375" s="8" t="inlineStr">
        <is>
          <t>Джолдошова Салтанат Сатаревна</t>
        </is>
      </c>
      <c r="C375" s="8" t="inlineStr">
        <is>
          <t>2459530819</t>
        </is>
      </c>
      <c r="D375" s="8" t="inlineStr">
        <is>
          <t>Двойное списание в ETM</t>
        </is>
      </c>
      <c r="E375" s="8" t="inlineStr">
        <is>
          <t>Бот ETM</t>
        </is>
      </c>
      <c r="F375" s="8" t="inlineStr">
        <is>
          <t>A</t>
        </is>
      </c>
      <c r="G375" s="14" t="n">
        <v>19356</v>
      </c>
      <c r="H375" s="14" t="n">
        <v>-38712</v>
      </c>
      <c r="I375" s="14" t="n">
        <v>19356</v>
      </c>
      <c r="J375" s="14" t="n">
        <v>-19356</v>
      </c>
      <c r="K375" s="21" t="n">
        <v>46215.34763888889</v>
      </c>
      <c r="L375" s="21" t="n">
        <v>46215</v>
      </c>
      <c r="M375" s="8" t="inlineStr"/>
      <c r="N375" s="8" t="inlineStr">
        <is>
          <t>Разработчик/поддержка бота ETM</t>
        </is>
      </c>
      <c r="O375" s="8" t="inlineStr">
        <is>
          <t>g.omurbekova</t>
        </is>
      </c>
      <c r="P375" s="12" t="inlineStr">
        <is>
          <t>В ETM 1 лишн. списание(й) одного билета на 19,356.00; без дубля сумма совпадает с 1С</t>
        </is>
      </c>
      <c r="Q375" s="8" t="inlineStr">
        <is>
          <t>57453480,57453474</t>
        </is>
      </c>
    </row>
    <row r="376">
      <c r="A376" s="8" t="inlineStr">
        <is>
          <t>G13731</t>
        </is>
      </c>
      <c r="B376" s="8" t="inlineStr">
        <is>
          <t>ТАЛАС ЛАЙН</t>
        </is>
      </c>
      <c r="C376" s="8" t="inlineStr">
        <is>
          <t>2461881634</t>
        </is>
      </c>
      <c r="D376" s="8" t="inlineStr">
        <is>
          <t>Двойное списание в ETM</t>
        </is>
      </c>
      <c r="E376" s="8" t="inlineStr">
        <is>
          <t>Бот ETM</t>
        </is>
      </c>
      <c r="F376" s="8" t="inlineStr">
        <is>
          <t>A</t>
        </is>
      </c>
      <c r="G376" s="14" t="n">
        <v>19231</v>
      </c>
      <c r="H376" s="14" t="n">
        <v>-38462</v>
      </c>
      <c r="I376" s="14" t="n">
        <v>19231</v>
      </c>
      <c r="J376" s="14" t="n">
        <v>-19231</v>
      </c>
      <c r="K376" s="21" t="n">
        <v>46101.44078703703</v>
      </c>
      <c r="L376" s="21" t="n">
        <v>46101</v>
      </c>
      <c r="M376" s="8" t="inlineStr"/>
      <c r="N376" s="8" t="inlineStr">
        <is>
          <t>Разработчик/поддержка бота ETM</t>
        </is>
      </c>
      <c r="O376" s="8" t="inlineStr">
        <is>
          <t>b.isakov</t>
        </is>
      </c>
      <c r="P376" s="12" t="inlineStr">
        <is>
          <t>В ETM 1 лишн. списание(й) одного билета на 19,231.00; без дубля сумма совпадает с 1С</t>
        </is>
      </c>
      <c r="Q376" s="8" t="inlineStr">
        <is>
          <t>57159732,57159742</t>
        </is>
      </c>
    </row>
    <row r="377">
      <c r="A377" s="8" t="inlineStr">
        <is>
          <t>G06102</t>
        </is>
      </c>
      <c r="B377" s="8" t="inlineStr">
        <is>
          <t>Байтур Трип</t>
        </is>
      </c>
      <c r="C377" s="8" t="inlineStr">
        <is>
          <t>2476316286</t>
        </is>
      </c>
      <c r="D377" s="8" t="inlineStr">
        <is>
          <t>Есть в реестре и 1С, нет в ETM</t>
        </is>
      </c>
      <c r="E377" s="8" t="inlineStr">
        <is>
          <t>Бот ETM</t>
        </is>
      </c>
      <c r="F377" s="8" t="inlineStr">
        <is>
          <t>A</t>
        </is>
      </c>
      <c r="G377" s="14" t="n">
        <v>19216.27</v>
      </c>
      <c r="H377" s="14" t="n">
        <v>0</v>
      </c>
      <c r="I377" s="14" t="n">
        <v>19216.27</v>
      </c>
      <c r="J377" s="14" t="n">
        <v>19216.27</v>
      </c>
      <c r="K377" s="21" t="n"/>
      <c r="L377" s="21" t="n">
        <v>46180</v>
      </c>
      <c r="M377" s="8" t="inlineStr"/>
      <c r="N377" s="8" t="inlineStr">
        <is>
          <t>Разработчик/поддержка бота ETM</t>
        </is>
      </c>
      <c r="O377" s="8" t="inlineStr">
        <is>
          <t>g.omurbekova</t>
        </is>
      </c>
      <c r="P377" s="12" t="inlineStr">
        <is>
          <t>Продажа есть в реестре и в 1С, но бот не перенёс её на баланс ETM — списания нет</t>
        </is>
      </c>
      <c r="Q377" s="8" t="inlineStr"/>
    </row>
    <row r="378">
      <c r="A378" s="8" t="inlineStr">
        <is>
          <t>G06581</t>
        </is>
      </c>
      <c r="B378" s="8" t="inlineStr">
        <is>
          <t>Джолдошова Салтанат Сатаревна</t>
        </is>
      </c>
      <c r="C378" s="8" t="inlineStr">
        <is>
          <t>2420846338</t>
        </is>
      </c>
      <c r="D378" s="8" t="inlineStr">
        <is>
          <t>Есть в ETM, нет в 1С</t>
        </is>
      </c>
      <c r="E378" s="8" t="inlineStr">
        <is>
          <t>1С</t>
        </is>
      </c>
      <c r="F378" s="8" t="inlineStr">
        <is>
          <t>A</t>
        </is>
      </c>
      <c r="G378" s="14" t="n">
        <v>0</v>
      </c>
      <c r="H378" s="14" t="n">
        <v>-19051.52</v>
      </c>
      <c r="I378" s="14" t="n"/>
      <c r="J378" s="14" t="n">
        <v>-19051.52</v>
      </c>
      <c r="K378" s="21" t="n">
        <v>46187.72413194444</v>
      </c>
      <c r="L378" s="21" t="n"/>
      <c r="M378" s="8" t="inlineStr"/>
      <c r="N378" s="8" t="inlineStr">
        <is>
          <t>Бухгалтер 1С</t>
        </is>
      </c>
      <c r="O378" s="8" t="inlineStr"/>
      <c r="P378" s="12" t="inlineStr">
        <is>
          <t>Списание есть в ETM, но в 1С нет реализации по этим билетам — счёт не выставлен</t>
        </is>
      </c>
      <c r="Q378" s="8" t="inlineStr">
        <is>
          <t>57367339</t>
        </is>
      </c>
    </row>
    <row r="379">
      <c r="A379" s="8" t="inlineStr">
        <is>
          <t>G06074</t>
        </is>
      </c>
      <c r="B379" s="8" t="inlineStr">
        <is>
          <t>Байтур Трип</t>
        </is>
      </c>
      <c r="C379" s="8" t="inlineStr">
        <is>
          <t>2461880930</t>
        </is>
      </c>
      <c r="D379" s="8" t="inlineStr">
        <is>
          <t>Есть в ETM, нет в 1С</t>
        </is>
      </c>
      <c r="E379" s="8" t="inlineStr">
        <is>
          <t>1С</t>
        </is>
      </c>
      <c r="F379" s="8" t="inlineStr">
        <is>
          <t>A</t>
        </is>
      </c>
      <c r="G379" s="14" t="n">
        <v>0</v>
      </c>
      <c r="H379" s="14" t="n">
        <v>-18972</v>
      </c>
      <c r="I379" s="14" t="n">
        <v>0</v>
      </c>
      <c r="J379" s="14" t="n">
        <v>-18972</v>
      </c>
      <c r="K379" s="21" t="n">
        <v>46086.54167824074</v>
      </c>
      <c r="L379" s="21" t="n"/>
      <c r="M379" s="8" t="inlineStr"/>
      <c r="N379" s="8" t="inlineStr">
        <is>
          <t>Бухгалтер 1С</t>
        </is>
      </c>
      <c r="O379" s="8" t="inlineStr">
        <is>
          <t>b.isakov|g.omurbekova</t>
        </is>
      </c>
      <c r="P379" s="12" t="inlineStr">
        <is>
          <t>Списание есть в ETM и продажа в реестре, но в 1С нет реализации по этим билетам — счёт не выставлен</t>
        </is>
      </c>
      <c r="Q379" s="8" t="inlineStr">
        <is>
          <t>57124368</t>
        </is>
      </c>
    </row>
    <row r="380">
      <c r="A380" s="8" t="inlineStr">
        <is>
          <t>G09743</t>
        </is>
      </c>
      <c r="B380" s="8" t="inlineStr">
        <is>
          <t>Кадырова Айнура Жумабекевна</t>
        </is>
      </c>
      <c r="C380" s="8" t="inlineStr">
        <is>
          <t>2476316802</t>
        </is>
      </c>
      <c r="D380" s="8" t="inlineStr">
        <is>
          <t>Есть в ETM, нет в 1С</t>
        </is>
      </c>
      <c r="E380" s="8" t="inlineStr">
        <is>
          <t>1С</t>
        </is>
      </c>
      <c r="F380" s="8" t="inlineStr">
        <is>
          <t>A</t>
        </is>
      </c>
      <c r="G380" s="14" t="n">
        <v>0</v>
      </c>
      <c r="H380" s="14" t="n">
        <v>-18935.48</v>
      </c>
      <c r="I380" s="14" t="n">
        <v>18935.48</v>
      </c>
      <c r="J380" s="14" t="n">
        <v>-18935.48</v>
      </c>
      <c r="K380" s="21" t="n">
        <v>46189.3544212963</v>
      </c>
      <c r="L380" s="21" t="n"/>
      <c r="M380" s="8" t="inlineStr"/>
      <c r="N380" s="8" t="inlineStr">
        <is>
          <t>Бухгалтер 1С</t>
        </is>
      </c>
      <c r="O380" s="8" t="inlineStr">
        <is>
          <t>r.sydykov</t>
        </is>
      </c>
      <c r="P380" s="12" t="inlineStr">
        <is>
          <t>Списание есть в ETM и продажа в реестре, но в 1С нет реализации по этим билетам — счёт не выставлен</t>
        </is>
      </c>
      <c r="Q380" s="8" t="inlineStr">
        <is>
          <t>57373123</t>
        </is>
      </c>
    </row>
    <row r="381">
      <c r="A381" s="8" t="inlineStr">
        <is>
          <t>G10795</t>
        </is>
      </c>
      <c r="B381" s="8" t="inlineStr">
        <is>
          <t>Ниязбеков Кубат Таалайевич</t>
        </is>
      </c>
      <c r="C381" s="8" t="inlineStr">
        <is>
          <t>2420847240</t>
        </is>
      </c>
      <c r="D381" s="8" t="inlineStr">
        <is>
          <t>Есть в ETM, нет в 1С</t>
        </is>
      </c>
      <c r="E381" s="8" t="inlineStr">
        <is>
          <t>1С</t>
        </is>
      </c>
      <c r="F381" s="8" t="inlineStr">
        <is>
          <t>A</t>
        </is>
      </c>
      <c r="G381" s="14" t="n">
        <v>0</v>
      </c>
      <c r="H381" s="14" t="n">
        <v>-18876.11</v>
      </c>
      <c r="I381" s="14" t="n">
        <v>18876.1055</v>
      </c>
      <c r="J381" s="14" t="n">
        <v>-18876.11</v>
      </c>
      <c r="K381" s="21" t="n">
        <v>46088.63780092593</v>
      </c>
      <c r="L381" s="21" t="n"/>
      <c r="M381" s="8" t="inlineStr"/>
      <c r="N381" s="8" t="inlineStr">
        <is>
          <t>Бухгалтер 1С</t>
        </is>
      </c>
      <c r="O381" s="8" t="inlineStr">
        <is>
          <t>k.dzhumaev</t>
        </is>
      </c>
      <c r="P381" s="12" t="inlineStr">
        <is>
          <t>Списание есть в ETM и продажа в реестре, но в 1С нет реализации по этим билетам — счёт не выставлен</t>
        </is>
      </c>
      <c r="Q381" s="8" t="inlineStr">
        <is>
          <t>57130468</t>
        </is>
      </c>
    </row>
    <row r="382">
      <c r="A382" s="8" t="inlineStr">
        <is>
          <t>G01261</t>
        </is>
      </c>
      <c r="B382" s="8" t="inlineStr">
        <is>
          <t>Karakol Express</t>
        </is>
      </c>
      <c r="C382" s="8" t="inlineStr">
        <is>
          <t>2420848315</t>
        </is>
      </c>
      <c r="D382" s="8" t="inlineStr">
        <is>
          <t>Есть в ETM, нет в 1С</t>
        </is>
      </c>
      <c r="E382" s="8" t="inlineStr">
        <is>
          <t>1С</t>
        </is>
      </c>
      <c r="F382" s="8" t="inlineStr">
        <is>
          <t>A</t>
        </is>
      </c>
      <c r="G382" s="14" t="n">
        <v>0</v>
      </c>
      <c r="H382" s="14" t="n">
        <v>-18756.37</v>
      </c>
      <c r="I382" s="14" t="n"/>
      <c r="J382" s="14" t="n">
        <v>-18756.37</v>
      </c>
      <c r="K382" s="21" t="n">
        <v>46124.6424537037</v>
      </c>
      <c r="L382" s="21" t="n"/>
      <c r="M382" s="8" t="inlineStr"/>
      <c r="N382" s="8" t="inlineStr">
        <is>
          <t>Бухгалтер 1С</t>
        </is>
      </c>
      <c r="O382" s="8" t="inlineStr"/>
      <c r="P382" s="12" t="inlineStr">
        <is>
          <t>Списание есть в ETM, но в 1С нет реализации по этим билетам — счёт не выставлен</t>
        </is>
      </c>
      <c r="Q382" s="8" t="inlineStr">
        <is>
          <t>57204007</t>
        </is>
      </c>
    </row>
    <row r="383">
      <c r="A383" s="8" t="inlineStr">
        <is>
          <t>G02581</t>
        </is>
      </c>
      <c r="B383" s="8" t="inlineStr">
        <is>
          <t>SkyWay Travel</t>
        </is>
      </c>
      <c r="C383" s="8" t="inlineStr">
        <is>
          <t>2420848277|2420848280</t>
        </is>
      </c>
      <c r="D383" s="8" t="inlineStr">
        <is>
          <t>Сумма не сходится</t>
        </is>
      </c>
      <c r="E383" s="8" t="inlineStr">
        <is>
          <t>Бот ETM</t>
        </is>
      </c>
      <c r="F383" s="8" t="inlineStr">
        <is>
          <t>A</t>
        </is>
      </c>
      <c r="G383" s="14" t="n">
        <v>37463.14</v>
      </c>
      <c r="H383" s="14" t="n">
        <v>-56194.71</v>
      </c>
      <c r="I383" s="14" t="n">
        <v>37463.136</v>
      </c>
      <c r="J383" s="14" t="n">
        <v>-18731.57</v>
      </c>
      <c r="K383" s="21" t="n">
        <v>46216.45534722223</v>
      </c>
      <c r="L383" s="21" t="n">
        <v>46216</v>
      </c>
      <c r="M383" s="8" t="inlineStr"/>
      <c r="N383" s="8" t="inlineStr">
        <is>
          <t>Разработчик/поддержка бота ETM</t>
        </is>
      </c>
      <c r="O383" s="8" t="inlineStr">
        <is>
          <t>a.toktosunova</t>
        </is>
      </c>
      <c r="P383" s="12" t="inlineStr">
        <is>
          <t>Реестр (37,463.14) совпадает с 1С (37,463.14), а в ETM 56,194.71: бот перенёс неверную сумму</t>
        </is>
      </c>
      <c r="Q383" s="8" t="inlineStr">
        <is>
          <t>57456521,57456558,57456566</t>
        </is>
      </c>
    </row>
    <row r="384">
      <c r="A384" s="8" t="inlineStr">
        <is>
          <t>G08918</t>
        </is>
      </c>
      <c r="B384" s="8" t="inlineStr">
        <is>
          <t>ИССЫК ТРИП</t>
        </is>
      </c>
      <c r="C384" s="8" t="inlineStr">
        <is>
          <t>2420843969</t>
        </is>
      </c>
      <c r="D384" s="8" t="inlineStr">
        <is>
          <t>Есть в реестре и 1С, нет в ETM</t>
        </is>
      </c>
      <c r="E384" s="8" t="inlineStr">
        <is>
          <t>Бот ETM</t>
        </is>
      </c>
      <c r="F384" s="8" t="inlineStr">
        <is>
          <t>A</t>
        </is>
      </c>
      <c r="G384" s="14" t="n">
        <v>18611.27</v>
      </c>
      <c r="H384" s="14" t="n">
        <v>0</v>
      </c>
      <c r="I384" s="14" t="n">
        <v>18611.2746</v>
      </c>
      <c r="J384" s="14" t="n">
        <v>18611.27</v>
      </c>
      <c r="K384" s="21" t="n"/>
      <c r="L384" s="21" t="n">
        <v>46200</v>
      </c>
      <c r="M384" s="8" t="inlineStr"/>
      <c r="N384" s="8" t="inlineStr">
        <is>
          <t>Разработчик/поддержка бота ETM</t>
        </is>
      </c>
      <c r="O384" s="8" t="inlineStr">
        <is>
          <t>e.satarov</t>
        </is>
      </c>
      <c r="P384" s="12" t="inlineStr">
        <is>
          <t>Продажа есть в реестре и в 1С, но бот не перенёс её на баланс ETM — списания нет</t>
        </is>
      </c>
      <c r="Q384" s="8" t="inlineStr"/>
    </row>
    <row r="385">
      <c r="A385" s="8" t="inlineStr">
        <is>
          <t>G14376</t>
        </is>
      </c>
      <c r="B385" s="8" t="inlineStr">
        <is>
          <t>ЧОЛПОН ЭЙР</t>
        </is>
      </c>
      <c r="C385" s="8" t="inlineStr">
        <is>
          <t>2420848285</t>
        </is>
      </c>
      <c r="D385" s="8" t="inlineStr">
        <is>
          <t>Есть в ETM, нет в 1С</t>
        </is>
      </c>
      <c r="E385" s="8" t="inlineStr">
        <is>
          <t>1С</t>
        </is>
      </c>
      <c r="F385" s="8" t="inlineStr">
        <is>
          <t>A</t>
        </is>
      </c>
      <c r="G385" s="14" t="n">
        <v>0</v>
      </c>
      <c r="H385" s="14" t="n">
        <v>-18590.08</v>
      </c>
      <c r="I385" s="14" t="n">
        <v>300</v>
      </c>
      <c r="J385" s="14" t="n">
        <v>-18590.08</v>
      </c>
      <c r="K385" s="21" t="n">
        <v>46232.73186342593</v>
      </c>
      <c r="L385" s="21" t="n"/>
      <c r="M385" s="8" t="inlineStr"/>
      <c r="N385" s="8" t="inlineStr">
        <is>
          <t>Бухгалтер 1С</t>
        </is>
      </c>
      <c r="O385" s="8" t="inlineStr">
        <is>
          <t>b.isakov|e.satarov</t>
        </is>
      </c>
      <c r="P385" s="12" t="inlineStr">
        <is>
          <t>Списание есть в ETM и продажа в реестре, но в 1С нет реализации по этим билетам — счёт не выставлен</t>
        </is>
      </c>
      <c r="Q385" s="8" t="inlineStr">
        <is>
          <t>57498386</t>
        </is>
      </c>
    </row>
    <row r="386">
      <c r="A386" s="8" t="inlineStr">
        <is>
          <t>G06173</t>
        </is>
      </c>
      <c r="B386" s="8" t="inlineStr">
        <is>
          <t>Бейшенова Н. Ч.</t>
        </is>
      </c>
      <c r="C386" s="8" t="inlineStr">
        <is>
          <t>2420843478</t>
        </is>
      </c>
      <c r="D386" s="8" t="inlineStr">
        <is>
          <t>Есть в ETM, нет в 1С</t>
        </is>
      </c>
      <c r="E386" s="8" t="inlineStr">
        <is>
          <t>1С</t>
        </is>
      </c>
      <c r="F386" s="8" t="inlineStr">
        <is>
          <t>A</t>
        </is>
      </c>
      <c r="G386" s="14" t="n">
        <v>0</v>
      </c>
      <c r="H386" s="14" t="n">
        <v>-18441.4</v>
      </c>
      <c r="I386" s="14" t="n">
        <v>18441.3956</v>
      </c>
      <c r="J386" s="14" t="n">
        <v>-18441.4</v>
      </c>
      <c r="K386" s="21" t="n">
        <v>46217.78430555556</v>
      </c>
      <c r="L386" s="21" t="n"/>
      <c r="M386" s="8" t="inlineStr"/>
      <c r="N386" s="8" t="inlineStr">
        <is>
          <t>Бухгалтер 1С</t>
        </is>
      </c>
      <c r="O386" s="8" t="inlineStr">
        <is>
          <t>r.sydykov</t>
        </is>
      </c>
      <c r="P386" s="12" t="inlineStr">
        <is>
          <t>Списание есть в ETM и продажа в реестре, но в 1С нет реализации по этим билетам — счёт не выставлен</t>
        </is>
      </c>
      <c r="Q386" s="8" t="inlineStr">
        <is>
          <t>57457411</t>
        </is>
      </c>
    </row>
    <row r="387">
      <c r="A387" s="8" t="inlineStr">
        <is>
          <t>G09065</t>
        </is>
      </c>
      <c r="B387" s="8" t="inlineStr">
        <is>
          <t>ИССЫК ТРИП</t>
        </is>
      </c>
      <c r="C387" s="8" t="inlineStr">
        <is>
          <t>2460733677|2460733678</t>
        </is>
      </c>
      <c r="D387" s="8" t="inlineStr">
        <is>
          <t>Сумма не сходится</t>
        </is>
      </c>
      <c r="E387" s="8" t="inlineStr">
        <is>
          <t>1С</t>
        </is>
      </c>
      <c r="F387" s="8" t="inlineStr">
        <is>
          <t>A</t>
        </is>
      </c>
      <c r="G387" s="14" t="n">
        <v>21672</v>
      </c>
      <c r="H387" s="14" t="n">
        <v>-3250.799999999999</v>
      </c>
      <c r="I387" s="14" t="n">
        <v>3250.799999999999</v>
      </c>
      <c r="J387" s="14" t="n">
        <v>18421.2</v>
      </c>
      <c r="K387" s="21" t="n">
        <v>46036.45719907407</v>
      </c>
      <c r="L387" s="21" t="n">
        <v>46036</v>
      </c>
      <c r="M387" s="8" t="inlineStr"/>
      <c r="N387" s="8" t="inlineStr">
        <is>
          <t>Бухгалтер 1С</t>
        </is>
      </c>
      <c r="O387" s="8" t="inlineStr">
        <is>
          <t>a.toktosunova|r.sydykov</t>
        </is>
      </c>
      <c r="P387" s="12" t="inlineStr">
        <is>
          <t>Реестр (3,250.80) совпадает с ETM (3,250.80), а в 1С 21,672.00: неверная сумма в 1С</t>
        </is>
      </c>
      <c r="Q387" s="8" t="inlineStr">
        <is>
          <t>57026693,57026669,57072283</t>
        </is>
      </c>
    </row>
    <row r="388">
      <c r="A388" s="8" t="inlineStr">
        <is>
          <t>G01264</t>
        </is>
      </c>
      <c r="B388" s="8" t="inlineStr">
        <is>
          <t>Karakol Express</t>
        </is>
      </c>
      <c r="C388" s="8" t="inlineStr">
        <is>
          <t>2420848405</t>
        </is>
      </c>
      <c r="D388" s="8" t="inlineStr">
        <is>
          <t>Есть в ETM, нет в 1С</t>
        </is>
      </c>
      <c r="E388" s="8" t="inlineStr">
        <is>
          <t>1С</t>
        </is>
      </c>
      <c r="F388" s="8" t="inlineStr">
        <is>
          <t>A</t>
        </is>
      </c>
      <c r="G388" s="14" t="n">
        <v>0</v>
      </c>
      <c r="H388" s="14" t="n">
        <v>-18418.57</v>
      </c>
      <c r="I388" s="14" t="n">
        <v>18418.5734</v>
      </c>
      <c r="J388" s="14" t="n">
        <v>-18418.57</v>
      </c>
      <c r="K388" s="21" t="n">
        <v>46172.61774305555</v>
      </c>
      <c r="L388" s="21" t="n"/>
      <c r="M388" s="8" t="inlineStr"/>
      <c r="N388" s="8" t="inlineStr">
        <is>
          <t>Бухгалтер 1С</t>
        </is>
      </c>
      <c r="O388" s="8" t="inlineStr">
        <is>
          <t>a.toktosunova</t>
        </is>
      </c>
      <c r="P388" s="12" t="inlineStr">
        <is>
          <t>Списание есть в ETM и продажа в реестре, но в 1С нет реализации по этим билетам — счёт не выставлен</t>
        </is>
      </c>
      <c r="Q388" s="8" t="inlineStr">
        <is>
          <t>57329857</t>
        </is>
      </c>
    </row>
    <row r="389">
      <c r="A389" s="8" t="inlineStr">
        <is>
          <t>G13387</t>
        </is>
      </c>
      <c r="B389" s="8" t="inlineStr">
        <is>
          <t>Сатарова А. О.</t>
        </is>
      </c>
      <c r="C389" s="8" t="inlineStr">
        <is>
          <t>2420843389</t>
        </is>
      </c>
      <c r="D389" s="8" t="inlineStr">
        <is>
          <t>Есть в реестре и 1С, нет в ETM</t>
        </is>
      </c>
      <c r="E389" s="8" t="inlineStr">
        <is>
          <t>Бот ETM</t>
        </is>
      </c>
      <c r="F389" s="8" t="inlineStr">
        <is>
          <t>A</t>
        </is>
      </c>
      <c r="G389" s="14" t="n">
        <v>18185.32</v>
      </c>
      <c r="H389" s="14" t="n">
        <v>0</v>
      </c>
      <c r="I389" s="14" t="n">
        <v>18185.3181</v>
      </c>
      <c r="J389" s="14" t="n">
        <v>18185.32</v>
      </c>
      <c r="K389" s="21" t="n"/>
      <c r="L389" s="21" t="n">
        <v>46184</v>
      </c>
      <c r="M389" s="8" t="inlineStr"/>
      <c r="N389" s="8" t="inlineStr">
        <is>
          <t>Разработчик/поддержка бота ETM</t>
        </is>
      </c>
      <c r="O389" s="8" t="inlineStr">
        <is>
          <t>g.omurbekova</t>
        </is>
      </c>
      <c r="P389" s="12" t="inlineStr">
        <is>
          <t>Продажа есть в реестре и в 1С, но бот не перенёс её на баланс ETM — списания нет</t>
        </is>
      </c>
      <c r="Q389" s="8" t="inlineStr"/>
    </row>
    <row r="390">
      <c r="A390" s="8" t="inlineStr">
        <is>
          <t>G02565</t>
        </is>
      </c>
      <c r="B390" s="8" t="inlineStr">
        <is>
          <t>SkyWay Travel</t>
        </is>
      </c>
      <c r="C390" s="8" t="inlineStr">
        <is>
          <t>2420847806</t>
        </is>
      </c>
      <c r="D390" s="8" t="inlineStr">
        <is>
          <t>Есть в ETM, нет в 1С</t>
        </is>
      </c>
      <c r="E390" s="8" t="inlineStr">
        <is>
          <t>1С</t>
        </is>
      </c>
      <c r="F390" s="8" t="inlineStr">
        <is>
          <t>A</t>
        </is>
      </c>
      <c r="G390" s="14" t="n">
        <v>0</v>
      </c>
      <c r="H390" s="14" t="n">
        <v>-18169.16</v>
      </c>
      <c r="I390" s="14" t="n">
        <v>18169.158</v>
      </c>
      <c r="J390" s="14" t="n">
        <v>-18169.16</v>
      </c>
      <c r="K390" s="21" t="n">
        <v>46154.65418981481</v>
      </c>
      <c r="L390" s="21" t="n"/>
      <c r="M390" s="8" t="inlineStr"/>
      <c r="N390" s="8" t="inlineStr">
        <is>
          <t>Бухгалтер 1С</t>
        </is>
      </c>
      <c r="O390" s="8" t="inlineStr">
        <is>
          <t>k.dzhumaev</t>
        </is>
      </c>
      <c r="P390" s="12" t="inlineStr">
        <is>
          <t>Списание есть в ETM и продажа в реестре, но в 1С нет реализации по этим билетам — счёт не выставлен</t>
        </is>
      </c>
      <c r="Q390" s="8" t="inlineStr">
        <is>
          <t>57277532</t>
        </is>
      </c>
    </row>
    <row r="391">
      <c r="A391" s="8" t="inlineStr">
        <is>
          <t>G03515</t>
        </is>
      </c>
      <c r="B391" s="8" t="inlineStr">
        <is>
          <t>SkyWay Travel</t>
        </is>
      </c>
      <c r="C391" s="8" t="inlineStr">
        <is>
          <t>2552671267</t>
        </is>
      </c>
      <c r="D391" s="8" t="inlineStr">
        <is>
          <t>Сумма не сходится</t>
        </is>
      </c>
      <c r="E391" s="8" t="inlineStr">
        <is>
          <t>Бот ETM</t>
        </is>
      </c>
      <c r="F391" s="8" t="inlineStr">
        <is>
          <t>A</t>
        </is>
      </c>
      <c r="G391" s="14" t="n">
        <v>53780.06</v>
      </c>
      <c r="H391" s="14" t="n">
        <v>-35780.06</v>
      </c>
      <c r="I391" s="14" t="n">
        <v>53780.055</v>
      </c>
      <c r="J391" s="14" t="n">
        <v>18000</v>
      </c>
      <c r="K391" s="21" t="n">
        <v>46212.62351851852</v>
      </c>
      <c r="L391" s="21" t="n">
        <v>46212</v>
      </c>
      <c r="M391" s="8" t="inlineStr">
        <is>
          <t>TRANSPOSITION</t>
        </is>
      </c>
      <c r="N391" s="8" t="inlineStr">
        <is>
          <t>Разработчик/поддержка бота ETM</t>
        </is>
      </c>
      <c r="O391" s="8" t="inlineStr">
        <is>
          <t>k.dzhumaev</t>
        </is>
      </c>
      <c r="P391" s="12" t="inlineStr">
        <is>
          <t>Реестр (53,780.06) совпадает с 1С (53,780.06), а в ETM 35,780.06: бот перенёс неверную сумму</t>
        </is>
      </c>
      <c r="Q391" s="8" t="inlineStr">
        <is>
          <t>57445293</t>
        </is>
      </c>
    </row>
    <row r="392">
      <c r="A392" s="8" t="inlineStr">
        <is>
          <t>G03531</t>
        </is>
      </c>
      <c r="B392" s="8" t="inlineStr">
        <is>
          <t>SkyWay Travel</t>
        </is>
      </c>
      <c r="C392" s="8" t="inlineStr">
        <is>
          <t>2552671540|2552671541</t>
        </is>
      </c>
      <c r="D392" s="8" t="inlineStr">
        <is>
          <t>Сумма не сходится</t>
        </is>
      </c>
      <c r="E392" s="8" t="inlineStr">
        <is>
          <t>1С</t>
        </is>
      </c>
      <c r="F392" s="8" t="inlineStr">
        <is>
          <t>A</t>
        </is>
      </c>
      <c r="G392" s="14" t="n">
        <v>64753</v>
      </c>
      <c r="H392" s="14" t="n">
        <v>-46753</v>
      </c>
      <c r="I392" s="14" t="n">
        <v>46753.324</v>
      </c>
      <c r="J392" s="14" t="n">
        <v>18000</v>
      </c>
      <c r="K392" s="21" t="n">
        <v>46027.52969907408</v>
      </c>
      <c r="L392" s="21" t="n">
        <v>46027</v>
      </c>
      <c r="M392" s="8" t="inlineStr">
        <is>
          <t>TRANSPOSITION</t>
        </is>
      </c>
      <c r="N392" s="8" t="inlineStr">
        <is>
          <t>Бухгалтер 1С</t>
        </is>
      </c>
      <c r="O392" s="8" t="inlineStr">
        <is>
          <t>d.mambetova</t>
        </is>
      </c>
      <c r="P392" s="12" t="inlineStr">
        <is>
          <t>Реестр (46,753.32) совпадает с ETM (46,753.00), а в 1С 64,753.00: неверная сумма в 1С</t>
        </is>
      </c>
      <c r="Q392" s="8" t="inlineStr">
        <is>
          <t>57008353,57008333</t>
        </is>
      </c>
    </row>
    <row r="393">
      <c r="A393" s="8" t="inlineStr">
        <is>
          <t>G03977</t>
        </is>
      </c>
      <c r="B393" s="8" t="inlineStr">
        <is>
          <t>Sunrise Tours</t>
        </is>
      </c>
      <c r="C393" s="8" t="inlineStr">
        <is>
          <t>2552672799</t>
        </is>
      </c>
      <c r="D393" s="8" t="inlineStr">
        <is>
          <t>Сумма не сходится</t>
        </is>
      </c>
      <c r="E393" s="8" t="inlineStr">
        <is>
          <t>1С</t>
        </is>
      </c>
      <c r="F393" s="8" t="inlineStr">
        <is>
          <t>A</t>
        </is>
      </c>
      <c r="G393" s="14" t="n">
        <v>24687.67</v>
      </c>
      <c r="H393" s="14" t="n">
        <v>-42687.67</v>
      </c>
      <c r="I393" s="14" t="n">
        <v>42687.7334</v>
      </c>
      <c r="J393" s="14" t="n">
        <v>-18000</v>
      </c>
      <c r="K393" s="21" t="n">
        <v>46192.57831018518</v>
      </c>
      <c r="L393" s="21" t="n">
        <v>46192</v>
      </c>
      <c r="M393" s="8" t="inlineStr">
        <is>
          <t>TRANSPOSITION</t>
        </is>
      </c>
      <c r="N393" s="8" t="inlineStr">
        <is>
          <t>Бухгалтер 1С</t>
        </is>
      </c>
      <c r="O393" s="8" t="inlineStr">
        <is>
          <t>e.satarov</t>
        </is>
      </c>
      <c r="P393" s="12" t="inlineStr">
        <is>
          <t>Реестр (42,687.73) совпадает с ETM (42,687.67), а в 1С 24,687.67: неверная сумма в 1С</t>
        </is>
      </c>
      <c r="Q393" s="8" t="inlineStr">
        <is>
          <t>57382220</t>
        </is>
      </c>
    </row>
    <row r="394">
      <c r="A394" s="8" t="inlineStr">
        <is>
          <t>G06307</t>
        </is>
      </c>
      <c r="B394" s="8" t="inlineStr">
        <is>
          <t>Бирлик Трип</t>
        </is>
      </c>
      <c r="C394" s="8" t="inlineStr">
        <is>
          <t>2552669403|2552669406</t>
        </is>
      </c>
      <c r="D394" s="8" t="inlineStr">
        <is>
          <t>Сумма не сходится</t>
        </is>
      </c>
      <c r="E394" s="8" t="inlineStr">
        <is>
          <t>1С</t>
        </is>
      </c>
      <c r="F394" s="8" t="inlineStr">
        <is>
          <t>A</t>
        </is>
      </c>
      <c r="G394" s="14" t="n">
        <v>57969.92</v>
      </c>
      <c r="H394" s="14" t="n">
        <v>-75969.92</v>
      </c>
      <c r="I394" s="14" t="n">
        <v>75970.2571</v>
      </c>
      <c r="J394" s="14" t="n">
        <v>-18000</v>
      </c>
      <c r="K394" s="21" t="n">
        <v>46148.34115740741</v>
      </c>
      <c r="L394" s="21" t="n">
        <v>46148</v>
      </c>
      <c r="M394" s="8" t="inlineStr">
        <is>
          <t>TRANSPOSITION</t>
        </is>
      </c>
      <c r="N394" s="8" t="inlineStr">
        <is>
          <t>Бухгалтер 1С</t>
        </is>
      </c>
      <c r="O394" s="8" t="inlineStr">
        <is>
          <t>d.mambetova</t>
        </is>
      </c>
      <c r="P394" s="12" t="inlineStr">
        <is>
          <t>Реестр (75,970.26) совпадает с ETM (75,969.92), а в 1С 57,969.92: неверная сумма в 1С</t>
        </is>
      </c>
      <c r="Q394" s="8" t="inlineStr">
        <is>
          <t>57257967,57257993</t>
        </is>
      </c>
    </row>
    <row r="395">
      <c r="A395" s="8" t="inlineStr">
        <is>
          <t>G11900</t>
        </is>
      </c>
      <c r="B395" s="8" t="inlineStr">
        <is>
          <t>ОсОО Тянь-Шань Вояж</t>
        </is>
      </c>
      <c r="C395" s="8" t="inlineStr">
        <is>
          <t>2460735765</t>
        </is>
      </c>
      <c r="D395" s="8" t="inlineStr">
        <is>
          <t>Сумма не сходится</t>
        </is>
      </c>
      <c r="E395" s="8" t="inlineStr">
        <is>
          <t>Бот ETM</t>
        </is>
      </c>
      <c r="F395" s="8" t="inlineStr">
        <is>
          <t>A</t>
        </is>
      </c>
      <c r="G395" s="14" t="n">
        <v>24728</v>
      </c>
      <c r="H395" s="14" t="n">
        <v>-42728</v>
      </c>
      <c r="I395" s="14" t="n">
        <v>24728</v>
      </c>
      <c r="J395" s="14" t="n">
        <v>-18000</v>
      </c>
      <c r="K395" s="21" t="n">
        <v>46058.79565972222</v>
      </c>
      <c r="L395" s="21" t="n">
        <v>46058</v>
      </c>
      <c r="M395" s="8" t="inlineStr">
        <is>
          <t>TRANSPOSITION</t>
        </is>
      </c>
      <c r="N395" s="8" t="inlineStr">
        <is>
          <t>Разработчик/поддержка бота ETM</t>
        </is>
      </c>
      <c r="O395" s="8" t="inlineStr">
        <is>
          <t>e.satarov</t>
        </is>
      </c>
      <c r="P395" s="12" t="inlineStr">
        <is>
          <t>Реестр (24,728.00) совпадает с 1С (24,728.00), а в ETM 42,728.00: бот перенёс неверную сумму</t>
        </is>
      </c>
      <c r="Q395" s="8" t="inlineStr">
        <is>
          <t>57074813</t>
        </is>
      </c>
    </row>
    <row r="396">
      <c r="A396" s="8" t="inlineStr">
        <is>
          <t>G14108</t>
        </is>
      </c>
      <c r="B396" s="8" t="inlineStr">
        <is>
          <t>Урматов Эрлан Сагынович</t>
        </is>
      </c>
      <c r="C396" s="8" t="inlineStr">
        <is>
          <t>2476314259</t>
        </is>
      </c>
      <c r="D396" s="8" t="inlineStr">
        <is>
          <t>Сумма не сходится</t>
        </is>
      </c>
      <c r="E396" s="8" t="inlineStr">
        <is>
          <t>1С</t>
        </is>
      </c>
      <c r="F396" s="8" t="inlineStr">
        <is>
          <t>A</t>
        </is>
      </c>
      <c r="G396" s="14" t="n">
        <v>31960.17</v>
      </c>
      <c r="H396" s="14" t="n">
        <v>-13960.17</v>
      </c>
      <c r="I396" s="14" t="n">
        <v>13960.1682</v>
      </c>
      <c r="J396" s="14" t="n">
        <v>18000</v>
      </c>
      <c r="K396" s="21" t="n">
        <v>46231.59844907407</v>
      </c>
      <c r="L396" s="21" t="n">
        <v>46231</v>
      </c>
      <c r="M396" s="8" t="inlineStr">
        <is>
          <t>TRANSPOSITION</t>
        </is>
      </c>
      <c r="N396" s="8" t="inlineStr">
        <is>
          <t>Бухгалтер 1С</t>
        </is>
      </c>
      <c r="O396" s="8" t="inlineStr">
        <is>
          <t>k.dzhumaev</t>
        </is>
      </c>
      <c r="P396" s="12" t="inlineStr">
        <is>
          <t>Реестр (13,960.17) совпадает с ETM (13,960.17), а в 1С 31,960.17: неверная сумма в 1С</t>
        </is>
      </c>
      <c r="Q396" s="8" t="inlineStr">
        <is>
          <t>57493874</t>
        </is>
      </c>
    </row>
    <row r="397">
      <c r="A397" s="8" t="inlineStr">
        <is>
          <t>G05399</t>
        </is>
      </c>
      <c r="B397" s="8" t="inlineStr">
        <is>
          <t>Ак-Куу Авиа</t>
        </is>
      </c>
      <c r="C397" s="8" t="inlineStr">
        <is>
          <t>2559100881</t>
        </is>
      </c>
      <c r="D397" s="8" t="inlineStr">
        <is>
          <t>Есть в ETM, нет в 1С</t>
        </is>
      </c>
      <c r="E397" s="8" t="inlineStr">
        <is>
          <t>1С</t>
        </is>
      </c>
      <c r="F397" s="8" t="inlineStr">
        <is>
          <t>A</t>
        </is>
      </c>
      <c r="G397" s="14" t="n">
        <v>0</v>
      </c>
      <c r="H397" s="14" t="n">
        <v>-17747.07</v>
      </c>
      <c r="I397" s="14" t="n">
        <v>17747.07</v>
      </c>
      <c r="J397" s="14" t="n">
        <v>-17747.07</v>
      </c>
      <c r="K397" s="21" t="n">
        <v>46153.80112268519</v>
      </c>
      <c r="L397" s="21" t="n"/>
      <c r="M397" s="8" t="inlineStr"/>
      <c r="N397" s="8" t="inlineStr">
        <is>
          <t>Бухгалтер 1С</t>
        </is>
      </c>
      <c r="O397" s="8" t="inlineStr">
        <is>
          <t>a.toktosunova</t>
        </is>
      </c>
      <c r="P397" s="12" t="inlineStr">
        <is>
          <t>Списание есть в ETM и продажа в реестре, но в 1С нет реализации по этим билетам — счёт не выставлен</t>
        </is>
      </c>
      <c r="Q397" s="8" t="inlineStr">
        <is>
          <t>57272720</t>
        </is>
      </c>
    </row>
    <row r="398">
      <c r="A398" s="8" t="inlineStr">
        <is>
          <t>G14751</t>
        </is>
      </c>
      <c r="B398" s="8" t="inlineStr">
        <is>
          <t>ЫЙЫК ЭКСПРЕСС</t>
        </is>
      </c>
      <c r="C398" s="8" t="inlineStr">
        <is>
          <t>2459529991</t>
        </is>
      </c>
      <c r="D398" s="8" t="inlineStr">
        <is>
          <t>Есть в ETM, нет в 1С</t>
        </is>
      </c>
      <c r="E398" s="8" t="inlineStr">
        <is>
          <t>1С</t>
        </is>
      </c>
      <c r="F398" s="8" t="inlineStr">
        <is>
          <t>A</t>
        </is>
      </c>
      <c r="G398" s="14" t="n">
        <v>0</v>
      </c>
      <c r="H398" s="14" t="n">
        <v>-17148</v>
      </c>
      <c r="I398" s="14" t="n">
        <v>17148</v>
      </c>
      <c r="J398" s="14" t="n">
        <v>-17148</v>
      </c>
      <c r="K398" s="21" t="n">
        <v>46149.82295138889</v>
      </c>
      <c r="L398" s="21" t="n"/>
      <c r="M398" s="8" t="inlineStr"/>
      <c r="N398" s="8" t="inlineStr">
        <is>
          <t>Бухгалтер 1С</t>
        </is>
      </c>
      <c r="O398" s="8" t="inlineStr">
        <is>
          <t>d.mambetova</t>
        </is>
      </c>
      <c r="P398" s="12" t="inlineStr">
        <is>
          <t>Списание есть в ETM и продажа в реестре, но в 1С нет реализации по этим билетам — счёт не выставлен</t>
        </is>
      </c>
      <c r="Q398" s="8" t="inlineStr">
        <is>
          <t>57262084</t>
        </is>
      </c>
    </row>
    <row r="399">
      <c r="A399" s="8" t="inlineStr">
        <is>
          <t>G11096</t>
        </is>
      </c>
      <c r="B399" s="8" t="inlineStr">
        <is>
          <t>ОсОО Ала-Тоо Эйр</t>
        </is>
      </c>
      <c r="C399" s="8" t="inlineStr">
        <is>
          <t>2459531336</t>
        </is>
      </c>
      <c r="D399" s="8" t="inlineStr">
        <is>
          <t>Есть в реестре и 1С, нет в ETM</t>
        </is>
      </c>
      <c r="E399" s="8" t="inlineStr">
        <is>
          <t>Бот ETM</t>
        </is>
      </c>
      <c r="F399" s="8" t="inlineStr">
        <is>
          <t>A</t>
        </is>
      </c>
      <c r="G399" s="14" t="n">
        <v>17142</v>
      </c>
      <c r="H399" s="14" t="n">
        <v>0</v>
      </c>
      <c r="I399" s="14" t="n">
        <v>17142</v>
      </c>
      <c r="J399" s="14" t="n">
        <v>17142</v>
      </c>
      <c r="K399" s="21" t="n"/>
      <c r="L399" s="21" t="n">
        <v>46167</v>
      </c>
      <c r="M399" s="8" t="inlineStr"/>
      <c r="N399" s="8" t="inlineStr">
        <is>
          <t>Разработчик/поддержка бота ETM</t>
        </is>
      </c>
      <c r="O399" s="8" t="inlineStr">
        <is>
          <t>g.omurbekova</t>
        </is>
      </c>
      <c r="P399" s="12" t="inlineStr">
        <is>
          <t>Продажа есть в реестре и в 1С, но бот не перенёс её на баланс ETM — списания нет</t>
        </is>
      </c>
      <c r="Q399" s="8" t="inlineStr"/>
    </row>
    <row r="400">
      <c r="A400" s="8" t="inlineStr">
        <is>
          <t>G14550</t>
        </is>
      </c>
      <c r="B400" s="8" t="inlineStr">
        <is>
          <t>Чынар уулу Эмир</t>
        </is>
      </c>
      <c r="C400" s="8" t="inlineStr">
        <is>
          <t>2476318809</t>
        </is>
      </c>
      <c r="D400" s="8" t="inlineStr">
        <is>
          <t>Двойное списание в ETM</t>
        </is>
      </c>
      <c r="E400" s="8" t="inlineStr">
        <is>
          <t>Бот ETM</t>
        </is>
      </c>
      <c r="F400" s="8" t="inlineStr">
        <is>
          <t>A</t>
        </is>
      </c>
      <c r="G400" s="14" t="n">
        <v>17141.58</v>
      </c>
      <c r="H400" s="14" t="n">
        <v>-34283.16</v>
      </c>
      <c r="I400" s="14" t="n">
        <v>17141.58</v>
      </c>
      <c r="J400" s="14" t="n">
        <v>-17141.58</v>
      </c>
      <c r="K400" s="21" t="n">
        <v>46196.35959490741</v>
      </c>
      <c r="L400" s="21" t="n">
        <v>46196</v>
      </c>
      <c r="M400" s="8" t="inlineStr"/>
      <c r="N400" s="8" t="inlineStr">
        <is>
          <t>Разработчик/поддержка бота ETM</t>
        </is>
      </c>
      <c r="O400" s="8" t="inlineStr">
        <is>
          <t>d.mambetova</t>
        </is>
      </c>
      <c r="P400" s="12" t="inlineStr">
        <is>
          <t>В ETM 1 лишн. списание(й) одного билета на 17,141.58; без дубля сумма совпадает с 1С</t>
        </is>
      </c>
      <c r="Q400" s="8" t="inlineStr">
        <is>
          <t>57394042,57394021</t>
        </is>
      </c>
    </row>
    <row r="401">
      <c r="A401" s="8" t="inlineStr">
        <is>
          <t>G05899</t>
        </is>
      </c>
      <c r="B401" s="8" t="inlineStr">
        <is>
          <t>Асанова Каныкей Эсенбекевна</t>
        </is>
      </c>
      <c r="C401" s="8" t="inlineStr">
        <is>
          <t>2476315392</t>
        </is>
      </c>
      <c r="D401" s="8" t="inlineStr">
        <is>
          <t>Есть в реестре и 1С, нет в ETM</t>
        </is>
      </c>
      <c r="E401" s="8" t="inlineStr">
        <is>
          <t>Бот ETM</t>
        </is>
      </c>
      <c r="F401" s="8" t="inlineStr">
        <is>
          <t>A</t>
        </is>
      </c>
      <c r="G401" s="14" t="n">
        <v>17065.2</v>
      </c>
      <c r="H401" s="14" t="n">
        <v>0</v>
      </c>
      <c r="I401" s="14" t="n">
        <v>17065.2</v>
      </c>
      <c r="J401" s="14" t="n">
        <v>17065.2</v>
      </c>
      <c r="K401" s="21" t="n"/>
      <c r="L401" s="21" t="n">
        <v>46208</v>
      </c>
      <c r="M401" s="8" t="inlineStr"/>
      <c r="N401" s="8" t="inlineStr">
        <is>
          <t>Разработчик/поддержка бота ETM</t>
        </is>
      </c>
      <c r="O401" s="8" t="inlineStr">
        <is>
          <t>d.mambetova</t>
        </is>
      </c>
      <c r="P401" s="12" t="inlineStr">
        <is>
          <t>Продажа есть в реестре и в 1С, но бот не перенёс её на баланс ETM — списания нет</t>
        </is>
      </c>
      <c r="Q401" s="8" t="inlineStr"/>
    </row>
    <row r="402">
      <c r="A402" s="8" t="inlineStr">
        <is>
          <t>G01739</t>
        </is>
      </c>
      <c r="B402" s="8" t="inlineStr">
        <is>
          <t>Karakol Express</t>
        </is>
      </c>
      <c r="C402" s="8" t="inlineStr">
        <is>
          <t>2476319656|2476319658|2476319660</t>
        </is>
      </c>
      <c r="D402" s="8" t="inlineStr">
        <is>
          <t>Двойное списание в ETM</t>
        </is>
      </c>
      <c r="E402" s="8" t="inlineStr">
        <is>
          <t>Бот ETM</t>
        </is>
      </c>
      <c r="F402" s="8" t="inlineStr">
        <is>
          <t>A</t>
        </is>
      </c>
      <c r="G402" s="14" t="n">
        <v>50647.8</v>
      </c>
      <c r="H402" s="14" t="n">
        <v>-67530.39999999999</v>
      </c>
      <c r="I402" s="14" t="n">
        <v>50647.8</v>
      </c>
      <c r="J402" s="14" t="n">
        <v>-16882.59999999999</v>
      </c>
      <c r="K402" s="21" t="n">
        <v>46206.39721064815</v>
      </c>
      <c r="L402" s="21" t="n">
        <v>46206</v>
      </c>
      <c r="M402" s="8" t="inlineStr"/>
      <c r="N402" s="8" t="inlineStr">
        <is>
          <t>Разработчик/поддержка бота ETM</t>
        </is>
      </c>
      <c r="O402" s="8" t="inlineStr">
        <is>
          <t>n.abdyldaeva</t>
        </is>
      </c>
      <c r="P402" s="12" t="inlineStr">
        <is>
          <t>В ETM 1 лишн. списание(й) одного билета на 16,882.60; без дубля сумма совпадает с 1С</t>
        </is>
      </c>
      <c r="Q402" s="8" t="inlineStr">
        <is>
          <t>57426125,57426123,57426118,57426130</t>
        </is>
      </c>
    </row>
    <row r="403">
      <c r="A403" s="8" t="inlineStr">
        <is>
          <t>G15012</t>
        </is>
      </c>
      <c r="B403" s="8" t="inlineStr">
        <is>
          <t>Ыйык Тур</t>
        </is>
      </c>
      <c r="C403" s="8" t="inlineStr">
        <is>
          <t>2459527370</t>
        </is>
      </c>
      <c r="D403" s="8" t="inlineStr">
        <is>
          <t>Сумма не сходится</t>
        </is>
      </c>
      <c r="E403" s="8" t="inlineStr">
        <is>
          <t>Бот ETM</t>
        </is>
      </c>
      <c r="F403" s="8" t="inlineStr">
        <is>
          <t>A</t>
        </is>
      </c>
      <c r="G403" s="14" t="n">
        <v>16841</v>
      </c>
      <c r="H403" s="14" t="n">
        <v>-33682</v>
      </c>
      <c r="I403" s="14" t="n">
        <v>16841</v>
      </c>
      <c r="J403" s="14" t="n">
        <v>-16841</v>
      </c>
      <c r="K403" s="21" t="n">
        <v>46190.51614583333</v>
      </c>
      <c r="L403" s="21" t="n">
        <v>46190</v>
      </c>
      <c r="M403" s="8" t="inlineStr"/>
      <c r="N403" s="8" t="inlineStr">
        <is>
          <t>Разработчик/поддержка бота ETM</t>
        </is>
      </c>
      <c r="O403" s="8" t="inlineStr">
        <is>
          <t>k.dzhumaev</t>
        </is>
      </c>
      <c r="P403" s="12" t="inlineStr">
        <is>
          <t>Реестр (16,841.00) совпадает с 1С (16,841.00), а в ETM 33,682.00: бот перенёс неверную сумму</t>
        </is>
      </c>
      <c r="Q403" s="8" t="inlineStr">
        <is>
          <t>57375355,57375391</t>
        </is>
      </c>
    </row>
    <row r="404">
      <c r="A404" s="8" t="inlineStr">
        <is>
          <t>G00371</t>
        </is>
      </c>
      <c r="B404" s="8" t="inlineStr">
        <is>
          <t>Blue Bird Travel</t>
        </is>
      </c>
      <c r="C404" s="8" t="inlineStr">
        <is>
          <t>2459531239</t>
        </is>
      </c>
      <c r="D404" s="8" t="inlineStr">
        <is>
          <t>Сумма не сходится</t>
        </is>
      </c>
      <c r="E404" s="8" t="inlineStr">
        <is>
          <t>Бот ETM</t>
        </is>
      </c>
      <c r="F404" s="8" t="inlineStr">
        <is>
          <t>A</t>
        </is>
      </c>
      <c r="G404" s="14" t="n">
        <v>16749</v>
      </c>
      <c r="H404" s="14" t="n">
        <v>-33498</v>
      </c>
      <c r="I404" s="14" t="n">
        <v>16749</v>
      </c>
      <c r="J404" s="14" t="n">
        <v>-16749</v>
      </c>
      <c r="K404" s="21" t="n">
        <v>46034.40012731482</v>
      </c>
      <c r="L404" s="21" t="n">
        <v>46034</v>
      </c>
      <c r="M404" s="8" t="inlineStr"/>
      <c r="N404" s="8" t="inlineStr">
        <is>
          <t>Разработчик/поддержка бота ETM</t>
        </is>
      </c>
      <c r="O404" s="8" t="inlineStr">
        <is>
          <t>k.dzhumaev</t>
        </is>
      </c>
      <c r="P404" s="12" t="inlineStr">
        <is>
          <t>Реестр (16,749.00) совпадает с 1С (16,749.00), а в ETM 33,498.00: бот перенёс неверную сумму</t>
        </is>
      </c>
      <c r="Q404" s="8" t="inlineStr">
        <is>
          <t>57023286,57023278</t>
        </is>
      </c>
    </row>
    <row r="405">
      <c r="A405" s="8" t="inlineStr">
        <is>
          <t>G05087</t>
        </is>
      </c>
      <c r="B405" s="8" t="inlineStr">
        <is>
          <t>Ак-Куу Авиа</t>
        </is>
      </c>
      <c r="C405" s="8" t="inlineStr">
        <is>
          <t>2461881000</t>
        </is>
      </c>
      <c r="D405" s="8" t="inlineStr">
        <is>
          <t>Двойное списание в ETM</t>
        </is>
      </c>
      <c r="E405" s="8" t="inlineStr">
        <is>
          <t>Бот ETM</t>
        </is>
      </c>
      <c r="F405" s="8" t="inlineStr">
        <is>
          <t>A</t>
        </is>
      </c>
      <c r="G405" s="14" t="n">
        <v>16648</v>
      </c>
      <c r="H405" s="14" t="n">
        <v>-33296</v>
      </c>
      <c r="I405" s="14" t="n">
        <v>16648</v>
      </c>
      <c r="J405" s="14" t="n">
        <v>-16648</v>
      </c>
      <c r="K405" s="21" t="n">
        <v>46049.60914351852</v>
      </c>
      <c r="L405" s="21" t="n">
        <v>46049</v>
      </c>
      <c r="M405" s="8" t="inlineStr"/>
      <c r="N405" s="8" t="inlineStr">
        <is>
          <t>Разработчик/поддержка бота ETM</t>
        </is>
      </c>
      <c r="O405" s="8" t="inlineStr">
        <is>
          <t>g.omurbekova</t>
        </is>
      </c>
      <c r="P405" s="12" t="inlineStr">
        <is>
          <t>В ETM 1 лишн. списание(й) одного билета на 16,648.00; без дубля сумма совпадает с 1С</t>
        </is>
      </c>
      <c r="Q405" s="8" t="inlineStr">
        <is>
          <t>57055753,57055778</t>
        </is>
      </c>
    </row>
    <row r="406">
      <c r="A406" s="8" t="inlineStr">
        <is>
          <t>G07080</t>
        </is>
      </c>
      <c r="B406" s="8" t="inlineStr">
        <is>
          <t>Жибек Вояж</t>
        </is>
      </c>
      <c r="C406" s="8" t="inlineStr">
        <is>
          <t>2459526704</t>
        </is>
      </c>
      <c r="D406" s="8" t="inlineStr">
        <is>
          <t>Сумма не сходится</t>
        </is>
      </c>
      <c r="E406" s="8" t="inlineStr">
        <is>
          <t>1С</t>
        </is>
      </c>
      <c r="F406" s="8" t="inlineStr">
        <is>
          <t>A</t>
        </is>
      </c>
      <c r="G406" s="14" t="n">
        <v>16420</v>
      </c>
      <c r="H406" s="14" t="n">
        <v>0</v>
      </c>
      <c r="I406" s="14" t="n">
        <v>0</v>
      </c>
      <c r="J406" s="14" t="n">
        <v>16420</v>
      </c>
      <c r="K406" s="21" t="n">
        <v>46100.39049768518</v>
      </c>
      <c r="L406" s="21" t="n">
        <v>46100</v>
      </c>
      <c r="M406" s="8" t="inlineStr"/>
      <c r="N406" s="8" t="inlineStr">
        <is>
          <t>Бухгалтер 1С</t>
        </is>
      </c>
      <c r="O406" s="8" t="inlineStr">
        <is>
          <t>b.isakov|r.sydykov</t>
        </is>
      </c>
      <c r="P406" s="12" t="inlineStr">
        <is>
          <t>Реестр (0.00) совпадает с ETM (-0.00), а в 1С 16,420.00: неверная сумма в 1С</t>
        </is>
      </c>
      <c r="Q406" s="8" t="inlineStr">
        <is>
          <t>57156990,57231523</t>
        </is>
      </c>
    </row>
    <row r="407">
      <c r="A407" s="8" t="inlineStr">
        <is>
          <t>G09863</t>
        </is>
      </c>
      <c r="B407" s="8" t="inlineStr">
        <is>
          <t>Кенешова Чолпон Таалайовна</t>
        </is>
      </c>
      <c r="C407" s="8" t="inlineStr">
        <is>
          <t>2461883284</t>
        </is>
      </c>
      <c r="D407" s="8" t="inlineStr">
        <is>
          <t>Есть в ETM, нет в 1С</t>
        </is>
      </c>
      <c r="E407" s="8" t="inlineStr">
        <is>
          <t>1С</t>
        </is>
      </c>
      <c r="F407" s="8" t="inlineStr">
        <is>
          <t>A</t>
        </is>
      </c>
      <c r="G407" s="14" t="n">
        <v>0</v>
      </c>
      <c r="H407" s="14" t="n">
        <v>-16417</v>
      </c>
      <c r="I407" s="14" t="n">
        <v>16417</v>
      </c>
      <c r="J407" s="14" t="n">
        <v>-16417</v>
      </c>
      <c r="K407" s="21" t="n">
        <v>46052.3822337963</v>
      </c>
      <c r="L407" s="21" t="n"/>
      <c r="M407" s="8" t="inlineStr"/>
      <c r="N407" s="8" t="inlineStr">
        <is>
          <t>Бухгалтер 1С</t>
        </is>
      </c>
      <c r="O407" s="8" t="inlineStr">
        <is>
          <t>a.toktosunova</t>
        </is>
      </c>
      <c r="P407" s="12" t="inlineStr">
        <is>
          <t>Списание есть в ETM и продажа в реестре, но в 1С нет реализации по этим билетам — счёт не выставлен</t>
        </is>
      </c>
      <c r="Q407" s="8" t="inlineStr">
        <is>
          <t>57064121</t>
        </is>
      </c>
    </row>
    <row r="408">
      <c r="A408" s="8" t="inlineStr">
        <is>
          <t>G03823</t>
        </is>
      </c>
      <c r="B408" s="8" t="inlineStr">
        <is>
          <t>Steppe Travel</t>
        </is>
      </c>
      <c r="C408" s="8" t="inlineStr">
        <is>
          <t>2420848290</t>
        </is>
      </c>
      <c r="D408" s="8" t="inlineStr">
        <is>
          <t>Есть в ETM, нет в 1С</t>
        </is>
      </c>
      <c r="E408" s="8" t="inlineStr">
        <is>
          <t>1С</t>
        </is>
      </c>
      <c r="F408" s="8" t="inlineStr">
        <is>
          <t>A</t>
        </is>
      </c>
      <c r="G408" s="14" t="n">
        <v>0</v>
      </c>
      <c r="H408" s="14" t="n">
        <v>-16368.92</v>
      </c>
      <c r="I408" s="14" t="n">
        <v>16368.9226</v>
      </c>
      <c r="J408" s="14" t="n">
        <v>-16368.92</v>
      </c>
      <c r="K408" s="21" t="n">
        <v>46075.80921296297</v>
      </c>
      <c r="L408" s="21" t="n"/>
      <c r="M408" s="8" t="inlineStr"/>
      <c r="N408" s="8" t="inlineStr">
        <is>
          <t>Бухгалтер 1С</t>
        </is>
      </c>
      <c r="O408" s="8" t="inlineStr">
        <is>
          <t>g.omurbekova</t>
        </is>
      </c>
      <c r="P408" s="12" t="inlineStr">
        <is>
          <t>Списание есть в ETM и продажа в реестре, но в 1С нет реализации по этим билетам — счёт не выставлен</t>
        </is>
      </c>
      <c r="Q408" s="8" t="inlineStr">
        <is>
          <t>57103778</t>
        </is>
      </c>
    </row>
    <row r="409">
      <c r="A409" s="8" t="inlineStr">
        <is>
          <t>G01546</t>
        </is>
      </c>
      <c r="B409" s="8" t="inlineStr">
        <is>
          <t>Karakol Express</t>
        </is>
      </c>
      <c r="C409" s="8" t="inlineStr">
        <is>
          <t>2461881701</t>
        </is>
      </c>
      <c r="D409" s="8" t="inlineStr">
        <is>
          <t>Есть в реестре и 1С, нет в ETM</t>
        </is>
      </c>
      <c r="E409" s="8" t="inlineStr">
        <is>
          <t>Бот ETM</t>
        </is>
      </c>
      <c r="F409" s="8" t="inlineStr">
        <is>
          <t>A</t>
        </is>
      </c>
      <c r="G409" s="14" t="n">
        <v>16236</v>
      </c>
      <c r="H409" s="14" t="n">
        <v>0</v>
      </c>
      <c r="I409" s="14" t="n">
        <v>16236</v>
      </c>
      <c r="J409" s="14" t="n">
        <v>16236</v>
      </c>
      <c r="K409" s="21" t="n"/>
      <c r="L409" s="21" t="n">
        <v>46223</v>
      </c>
      <c r="M409" s="8" t="inlineStr"/>
      <c r="N409" s="8" t="inlineStr">
        <is>
          <t>Разработчик/поддержка бота ETM</t>
        </is>
      </c>
      <c r="O409" s="8" t="inlineStr">
        <is>
          <t>b.isakov</t>
        </is>
      </c>
      <c r="P409" s="12" t="inlineStr">
        <is>
          <t>Продажа есть в реестре и в 1С, но бот не перенёс её на баланс ETM — списания нет</t>
        </is>
      </c>
      <c r="Q409" s="8" t="inlineStr"/>
    </row>
    <row r="410">
      <c r="A410" s="8" t="inlineStr">
        <is>
          <t>G01422</t>
        </is>
      </c>
      <c r="B410" s="8" t="inlineStr">
        <is>
          <t>Karakol Express</t>
        </is>
      </c>
      <c r="C410" s="8" t="inlineStr">
        <is>
          <t>2460733728</t>
        </is>
      </c>
      <c r="D410" s="8" t="inlineStr">
        <is>
          <t>Есть в реестре и 1С, нет в ETM</t>
        </is>
      </c>
      <c r="E410" s="8" t="inlineStr">
        <is>
          <t>Бот ETM</t>
        </is>
      </c>
      <c r="F410" s="8" t="inlineStr">
        <is>
          <t>A</t>
        </is>
      </c>
      <c r="G410" s="14" t="n">
        <v>16031</v>
      </c>
      <c r="H410" s="14" t="n">
        <v>0</v>
      </c>
      <c r="I410" s="14" t="n">
        <v>16031</v>
      </c>
      <c r="J410" s="14" t="n">
        <v>16031</v>
      </c>
      <c r="K410" s="21" t="n"/>
      <c r="L410" s="21" t="n">
        <v>46083</v>
      </c>
      <c r="M410" s="8" t="inlineStr"/>
      <c r="N410" s="8" t="inlineStr">
        <is>
          <t>Разработчик/поддержка бота ETM</t>
        </is>
      </c>
      <c r="O410" s="8" t="inlineStr">
        <is>
          <t>k.dzhumaev</t>
        </is>
      </c>
      <c r="P410" s="12" t="inlineStr">
        <is>
          <t>Продажа есть в реестре и в 1С, но бот не перенёс её на баланс ETM — списания нет</t>
        </is>
      </c>
      <c r="Q410" s="8" t="inlineStr"/>
    </row>
    <row r="411">
      <c r="A411" s="8" t="inlineStr">
        <is>
          <t>G12022</t>
        </is>
      </c>
      <c r="B411" s="8" t="inlineStr">
        <is>
          <t>ОсОО Чолпон Авиакасса</t>
        </is>
      </c>
      <c r="C411" s="8" t="inlineStr">
        <is>
          <t>2460734746</t>
        </is>
      </c>
      <c r="D411" s="8" t="inlineStr">
        <is>
          <t>Есть в ETM, нет в 1С</t>
        </is>
      </c>
      <c r="E411" s="8" t="inlineStr">
        <is>
          <t>1С</t>
        </is>
      </c>
      <c r="F411" s="8" t="inlineStr">
        <is>
          <t>A</t>
        </is>
      </c>
      <c r="G411" s="14" t="n">
        <v>0</v>
      </c>
      <c r="H411" s="14" t="n">
        <v>-16028</v>
      </c>
      <c r="I411" s="14" t="n"/>
      <c r="J411" s="14" t="n">
        <v>-16028</v>
      </c>
      <c r="K411" s="21" t="n">
        <v>46185.42284722222</v>
      </c>
      <c r="L411" s="21" t="n"/>
      <c r="M411" s="8" t="inlineStr"/>
      <c r="N411" s="8" t="inlineStr">
        <is>
          <t>Бухгалтер 1С</t>
        </is>
      </c>
      <c r="O411" s="8" t="inlineStr"/>
      <c r="P411" s="12" t="inlineStr">
        <is>
          <t>Списание есть в ETM, но в 1С нет реализации по этим билетам — счёт не выставлен</t>
        </is>
      </c>
      <c r="Q411" s="8" t="inlineStr">
        <is>
          <t>57361660</t>
        </is>
      </c>
    </row>
    <row r="412">
      <c r="A412" s="8" t="inlineStr">
        <is>
          <t>G01707</t>
        </is>
      </c>
      <c r="B412" s="8" t="inlineStr">
        <is>
          <t>Karakol Express</t>
        </is>
      </c>
      <c r="C412" s="8" t="inlineStr">
        <is>
          <t>2476318108</t>
        </is>
      </c>
      <c r="D412" s="8" t="inlineStr">
        <is>
          <t>Есть в ETM, нет в 1С</t>
        </is>
      </c>
      <c r="E412" s="8" t="inlineStr">
        <is>
          <t>1С</t>
        </is>
      </c>
      <c r="F412" s="8" t="inlineStr">
        <is>
          <t>A</t>
        </is>
      </c>
      <c r="G412" s="14" t="n">
        <v>0</v>
      </c>
      <c r="H412" s="14" t="n">
        <v>-16007.06</v>
      </c>
      <c r="I412" s="14" t="n">
        <v>16007.06</v>
      </c>
      <c r="J412" s="14" t="n">
        <v>-16007.06</v>
      </c>
      <c r="K412" s="21" t="n">
        <v>46159.52438657408</v>
      </c>
      <c r="L412" s="21" t="n"/>
      <c r="M412" s="8" t="inlineStr"/>
      <c r="N412" s="8" t="inlineStr">
        <is>
          <t>Бухгалтер 1С</t>
        </is>
      </c>
      <c r="O412" s="8" t="inlineStr">
        <is>
          <t>k.dzhumaev</t>
        </is>
      </c>
      <c r="P412" s="12" t="inlineStr">
        <is>
          <t>Списание есть в ETM и продажа в реестре, но в 1С нет реализации по этим билетам — счёт не выставлен</t>
        </is>
      </c>
      <c r="Q412" s="8" t="inlineStr">
        <is>
          <t>57293617</t>
        </is>
      </c>
    </row>
    <row r="413">
      <c r="A413" s="8" t="inlineStr">
        <is>
          <t>G07635</t>
        </is>
      </c>
      <c r="B413" s="8" t="inlineStr">
        <is>
          <t>Жумабек кызы Умут</t>
        </is>
      </c>
      <c r="C413" s="8" t="inlineStr">
        <is>
          <t>2461881774|2461881776</t>
        </is>
      </c>
      <c r="D413" s="8" t="inlineStr">
        <is>
          <t>Двойное списание в ETM</t>
        </is>
      </c>
      <c r="E413" s="8" t="inlineStr">
        <is>
          <t>Бот ETM</t>
        </is>
      </c>
      <c r="F413" s="8" t="inlineStr">
        <is>
          <t>A</t>
        </is>
      </c>
      <c r="G413" s="14" t="n">
        <v>32002</v>
      </c>
      <c r="H413" s="14" t="n">
        <v>-48003</v>
      </c>
      <c r="I413" s="14" t="n">
        <v>32002</v>
      </c>
      <c r="J413" s="14" t="n">
        <v>-16001</v>
      </c>
      <c r="K413" s="21" t="n">
        <v>46048.73008101852</v>
      </c>
      <c r="L413" s="21" t="n">
        <v>46048</v>
      </c>
      <c r="M413" s="8" t="inlineStr"/>
      <c r="N413" s="8" t="inlineStr">
        <is>
          <t>Разработчик/поддержка бота ETM</t>
        </is>
      </c>
      <c r="O413" s="8" t="inlineStr">
        <is>
          <t>r.sydykov</t>
        </is>
      </c>
      <c r="P413" s="12" t="inlineStr">
        <is>
          <t>В ETM 1 лишн. списание(й) одного билета на 16,001.00; без дубля сумма совпадает с 1С</t>
        </is>
      </c>
      <c r="Q413" s="8" t="inlineStr">
        <is>
          <t>57053610,57053622,57053654</t>
        </is>
      </c>
    </row>
    <row r="414">
      <c r="A414" s="8" t="inlineStr">
        <is>
          <t>G07772</t>
        </is>
      </c>
      <c r="B414" s="8" t="inlineStr">
        <is>
          <t>ИП Абдыраманова Ж. Д.</t>
        </is>
      </c>
      <c r="C414" s="8" t="inlineStr">
        <is>
          <t>2460733667</t>
        </is>
      </c>
      <c r="D414" s="8" t="inlineStr">
        <is>
          <t>Есть в ETM, нет в 1С</t>
        </is>
      </c>
      <c r="E414" s="8" t="inlineStr">
        <is>
          <t>1С</t>
        </is>
      </c>
      <c r="F414" s="8" t="inlineStr">
        <is>
          <t>A</t>
        </is>
      </c>
      <c r="G414" s="14" t="n">
        <v>0</v>
      </c>
      <c r="H414" s="14" t="n">
        <v>-15995</v>
      </c>
      <c r="I414" s="14" t="n"/>
      <c r="J414" s="14" t="n">
        <v>-15995</v>
      </c>
      <c r="K414" s="21" t="n">
        <v>46219.76203703704</v>
      </c>
      <c r="L414" s="21" t="n"/>
      <c r="M414" s="8" t="inlineStr"/>
      <c r="N414" s="8" t="inlineStr">
        <is>
          <t>Бухгалтер 1С</t>
        </is>
      </c>
      <c r="O414" s="8" t="inlineStr"/>
      <c r="P414" s="12" t="inlineStr">
        <is>
          <t>Списание есть в ETM, но в 1С нет реализации по этим билетам — счёт не выставлен</t>
        </is>
      </c>
      <c r="Q414" s="8" t="inlineStr">
        <is>
          <t>57463567</t>
        </is>
      </c>
    </row>
    <row r="415">
      <c r="A415" s="8" t="inlineStr">
        <is>
          <t>G07773</t>
        </is>
      </c>
      <c r="B415" s="8" t="inlineStr">
        <is>
          <t>ИП Абдыраманова Ж. Д.</t>
        </is>
      </c>
      <c r="C415" s="8" t="inlineStr">
        <is>
          <t>2460733670</t>
        </is>
      </c>
      <c r="D415" s="8" t="inlineStr">
        <is>
          <t>Есть в ETM, нет в 1С</t>
        </is>
      </c>
      <c r="E415" s="8" t="inlineStr">
        <is>
          <t>1С</t>
        </is>
      </c>
      <c r="F415" s="8" t="inlineStr">
        <is>
          <t>A</t>
        </is>
      </c>
      <c r="G415" s="14" t="n">
        <v>0</v>
      </c>
      <c r="H415" s="14" t="n">
        <v>-15995</v>
      </c>
      <c r="I415" s="14" t="n"/>
      <c r="J415" s="14" t="n">
        <v>-15995</v>
      </c>
      <c r="K415" s="21" t="n">
        <v>46219.3809837963</v>
      </c>
      <c r="L415" s="21" t="n"/>
      <c r="M415" s="8" t="inlineStr"/>
      <c r="N415" s="8" t="inlineStr">
        <is>
          <t>Бухгалтер 1С</t>
        </is>
      </c>
      <c r="O415" s="8" t="inlineStr"/>
      <c r="P415" s="12" t="inlineStr">
        <is>
          <t>Списание есть в ETM, но в 1С нет реализации по этим билетам — счёт не выставлен</t>
        </is>
      </c>
      <c r="Q415" s="8" t="inlineStr">
        <is>
          <t>57463603</t>
        </is>
      </c>
    </row>
    <row r="416">
      <c r="A416" s="8" t="inlineStr">
        <is>
          <t>G07774</t>
        </is>
      </c>
      <c r="B416" s="8" t="inlineStr">
        <is>
          <t>ИП Абдыраманова Ж. Д.</t>
        </is>
      </c>
      <c r="C416" s="8" t="inlineStr">
        <is>
          <t>2460733671</t>
        </is>
      </c>
      <c r="D416" s="8" t="inlineStr">
        <is>
          <t>Есть в ETM, нет в 1С</t>
        </is>
      </c>
      <c r="E416" s="8" t="inlineStr">
        <is>
          <t>1С</t>
        </is>
      </c>
      <c r="F416" s="8" t="inlineStr">
        <is>
          <t>A</t>
        </is>
      </c>
      <c r="G416" s="14" t="n">
        <v>0</v>
      </c>
      <c r="H416" s="14" t="n">
        <v>-15995</v>
      </c>
      <c r="I416" s="14" t="n"/>
      <c r="J416" s="14" t="n">
        <v>-15995</v>
      </c>
      <c r="K416" s="21" t="n">
        <v>46219.58853009259</v>
      </c>
      <c r="L416" s="21" t="n"/>
      <c r="M416" s="8" t="inlineStr"/>
      <c r="N416" s="8" t="inlineStr">
        <is>
          <t>Бухгалтер 1С</t>
        </is>
      </c>
      <c r="O416" s="8" t="inlineStr"/>
      <c r="P416" s="12" t="inlineStr">
        <is>
          <t>Списание есть в ETM, но в 1С нет реализации по этим билетам — счёт не выставлен</t>
        </is>
      </c>
      <c r="Q416" s="8" t="inlineStr">
        <is>
          <t>57463632</t>
        </is>
      </c>
    </row>
    <row r="417">
      <c r="A417" s="8" t="inlineStr">
        <is>
          <t>G07756</t>
        </is>
      </c>
      <c r="B417" s="8" t="inlineStr">
        <is>
          <t>ИП Абдыраманова Ж. Д.</t>
        </is>
      </c>
      <c r="C417" s="8" t="inlineStr">
        <is>
          <t>2420845377</t>
        </is>
      </c>
      <c r="D417" s="8" t="inlineStr">
        <is>
          <t>Есть в ETM, нет в 1С</t>
        </is>
      </c>
      <c r="E417" s="8" t="inlineStr">
        <is>
          <t>1С</t>
        </is>
      </c>
      <c r="F417" s="8" t="inlineStr">
        <is>
          <t>A</t>
        </is>
      </c>
      <c r="G417" s="14" t="n">
        <v>0</v>
      </c>
      <c r="H417" s="14" t="n">
        <v>-15910.87</v>
      </c>
      <c r="I417" s="14" t="n">
        <v>800</v>
      </c>
      <c r="J417" s="14" t="n">
        <v>-15910.87</v>
      </c>
      <c r="K417" s="21" t="n">
        <v>46045.52439814815</v>
      </c>
      <c r="L417" s="21" t="n"/>
      <c r="M417" s="8" t="inlineStr"/>
      <c r="N417" s="8" t="inlineStr">
        <is>
          <t>Бухгалтер 1С</t>
        </is>
      </c>
      <c r="O417" s="8" t="inlineStr">
        <is>
          <t>b.isakov|d.mambetova</t>
        </is>
      </c>
      <c r="P417" s="12" t="inlineStr">
        <is>
          <t>Списание есть в ETM и продажа в реестре, но в 1С нет реализации по этим билетам — счёт не выставлен</t>
        </is>
      </c>
      <c r="Q417" s="8" t="inlineStr">
        <is>
          <t>57047456</t>
        </is>
      </c>
    </row>
    <row r="418">
      <c r="A418" s="8" t="inlineStr">
        <is>
          <t>G01683</t>
        </is>
      </c>
      <c r="B418" s="8" t="inlineStr">
        <is>
          <t>Karakol Express</t>
        </is>
      </c>
      <c r="C418" s="8" t="inlineStr">
        <is>
          <t>2476316800</t>
        </is>
      </c>
      <c r="D418" s="8" t="inlineStr">
        <is>
          <t>Есть в ETM, нет в 1С</t>
        </is>
      </c>
      <c r="E418" s="8" t="inlineStr">
        <is>
          <t>1С</t>
        </is>
      </c>
      <c r="F418" s="8" t="inlineStr">
        <is>
          <t>A</t>
        </is>
      </c>
      <c r="G418" s="14" t="n">
        <v>0</v>
      </c>
      <c r="H418" s="14" t="n">
        <v>-15848.97</v>
      </c>
      <c r="I418" s="14" t="n">
        <v>500</v>
      </c>
      <c r="J418" s="14" t="n">
        <v>-15848.97</v>
      </c>
      <c r="K418" s="21" t="n">
        <v>46043.49440972223</v>
      </c>
      <c r="L418" s="21" t="n"/>
      <c r="M418" s="8" t="inlineStr"/>
      <c r="N418" s="8" t="inlineStr">
        <is>
          <t>Бухгалтер 1С</t>
        </is>
      </c>
      <c r="O418" s="8" t="inlineStr">
        <is>
          <t>a.toktosunova|n.abdyldaeva</t>
        </is>
      </c>
      <c r="P418" s="12" t="inlineStr">
        <is>
          <t>Списание есть в ETM и продажа в реестре, но в 1С нет реализации по этим билетам — счёт не выставлен</t>
        </is>
      </c>
      <c r="Q418" s="8" t="inlineStr">
        <is>
          <t>57042807</t>
        </is>
      </c>
    </row>
    <row r="419">
      <c r="A419" s="8" t="inlineStr">
        <is>
          <t>G15373</t>
        </is>
      </c>
      <c r="B419" s="8" t="inlineStr">
        <is>
          <t>Эсенбеков Кубат Элдияревич</t>
        </is>
      </c>
      <c r="C419" s="8" t="inlineStr">
        <is>
          <t>2459528153</t>
        </is>
      </c>
      <c r="D419" s="8" t="inlineStr">
        <is>
          <t>Есть в ETM, нет в 1С</t>
        </is>
      </c>
      <c r="E419" s="8" t="inlineStr">
        <is>
          <t>1С</t>
        </is>
      </c>
      <c r="F419" s="8" t="inlineStr">
        <is>
          <t>A</t>
        </is>
      </c>
      <c r="G419" s="14" t="n">
        <v>0</v>
      </c>
      <c r="H419" s="14" t="n">
        <v>-15765</v>
      </c>
      <c r="I419" s="14" t="n">
        <v>15765</v>
      </c>
      <c r="J419" s="14" t="n">
        <v>-15765</v>
      </c>
      <c r="K419" s="21" t="n">
        <v>46156.465</v>
      </c>
      <c r="L419" s="21" t="n"/>
      <c r="M419" s="8" t="inlineStr"/>
      <c r="N419" s="8" t="inlineStr">
        <is>
          <t>Бухгалтер 1С</t>
        </is>
      </c>
      <c r="O419" s="8" t="inlineStr">
        <is>
          <t>b.isakov</t>
        </is>
      </c>
      <c r="P419" s="12" t="inlineStr">
        <is>
          <t>Списание есть в ETM и продажа в реестре, но в 1С нет реализации по этим билетам — счёт не выставлен</t>
        </is>
      </c>
      <c r="Q419" s="8" t="inlineStr">
        <is>
          <t>57283172</t>
        </is>
      </c>
    </row>
    <row r="420">
      <c r="A420" s="8" t="inlineStr">
        <is>
          <t>G08141</t>
        </is>
      </c>
      <c r="B420" s="8" t="inlineStr">
        <is>
          <t>ИП Жумабекова Б. Н.</t>
        </is>
      </c>
      <c r="C420" s="8" t="inlineStr">
        <is>
          <t>2420844269</t>
        </is>
      </c>
      <c r="D420" s="8" t="inlineStr">
        <is>
          <t>Есть в реестре и 1С, нет в ETM</t>
        </is>
      </c>
      <c r="E420" s="8" t="inlineStr">
        <is>
          <t>Бот ETM</t>
        </is>
      </c>
      <c r="F420" s="8" t="inlineStr">
        <is>
          <t>A</t>
        </is>
      </c>
      <c r="G420" s="14" t="n">
        <v>15739.04</v>
      </c>
      <c r="H420" s="14" t="n">
        <v>0</v>
      </c>
      <c r="I420" s="14" t="n">
        <v>15739.0356</v>
      </c>
      <c r="J420" s="14" t="n">
        <v>15739.04</v>
      </c>
      <c r="K420" s="21" t="n"/>
      <c r="L420" s="21" t="n">
        <v>46029</v>
      </c>
      <c r="M420" s="8" t="inlineStr"/>
      <c r="N420" s="8" t="inlineStr">
        <is>
          <t>Разработчик/поддержка бота ETM</t>
        </is>
      </c>
      <c r="O420" s="8" t="inlineStr">
        <is>
          <t>r.sydykov</t>
        </is>
      </c>
      <c r="P420" s="12" t="inlineStr">
        <is>
          <t>Продажа есть в реестре и в 1С, но бот не перенёс её на баланс ETM — списания нет</t>
        </is>
      </c>
      <c r="Q420" s="8" t="inlineStr"/>
    </row>
    <row r="421">
      <c r="A421" s="8" t="inlineStr">
        <is>
          <t>G10326</t>
        </is>
      </c>
      <c r="B421" s="8" t="inlineStr">
        <is>
          <t>Манас Тревел</t>
        </is>
      </c>
      <c r="C421" s="8" t="inlineStr">
        <is>
          <t>2460737300|2460737303</t>
        </is>
      </c>
      <c r="D421" s="8" t="inlineStr">
        <is>
          <t>Сумма не сходится</t>
        </is>
      </c>
      <c r="E421" s="8" t="inlineStr">
        <is>
          <t>Бот ETM</t>
        </is>
      </c>
      <c r="F421" s="8" t="inlineStr">
        <is>
          <t>A</t>
        </is>
      </c>
      <c r="G421" s="14" t="n">
        <v>31336</v>
      </c>
      <c r="H421" s="14" t="n">
        <v>-47004</v>
      </c>
      <c r="I421" s="14" t="n">
        <v>31336</v>
      </c>
      <c r="J421" s="14" t="n">
        <v>-15668</v>
      </c>
      <c r="K421" s="21" t="n">
        <v>46168.54180555556</v>
      </c>
      <c r="L421" s="21" t="n">
        <v>46168</v>
      </c>
      <c r="M421" s="8" t="inlineStr"/>
      <c r="N421" s="8" t="inlineStr">
        <is>
          <t>Разработчик/поддержка бота ETM</t>
        </is>
      </c>
      <c r="O421" s="8" t="inlineStr">
        <is>
          <t>r.sydykov</t>
        </is>
      </c>
      <c r="P421" s="12" t="inlineStr">
        <is>
          <t>Реестр (31,336.00) совпадает с 1С (31,336.00), а в ETM 47,004.00: бот перенёс неверную сумму</t>
        </is>
      </c>
      <c r="Q421" s="8" t="inlineStr">
        <is>
          <t>57319233,57319257</t>
        </is>
      </c>
    </row>
    <row r="422">
      <c r="A422" s="8" t="inlineStr">
        <is>
          <t>G05555</t>
        </is>
      </c>
      <c r="B422" s="8" t="inlineStr">
        <is>
          <t>Ак-Куу Тур</t>
        </is>
      </c>
      <c r="C422" s="8" t="inlineStr">
        <is>
          <t>2460736894</t>
        </is>
      </c>
      <c r="D422" s="8" t="inlineStr">
        <is>
          <t>Есть в ETM, нет в 1С</t>
        </is>
      </c>
      <c r="E422" s="8" t="inlineStr">
        <is>
          <t>1С</t>
        </is>
      </c>
      <c r="F422" s="8" t="inlineStr">
        <is>
          <t>A</t>
        </is>
      </c>
      <c r="G422" s="14" t="n">
        <v>0</v>
      </c>
      <c r="H422" s="14" t="n">
        <v>-15664</v>
      </c>
      <c r="I422" s="14" t="n"/>
      <c r="J422" s="14" t="n">
        <v>-15664</v>
      </c>
      <c r="K422" s="21" t="n">
        <v>46135.52342592592</v>
      </c>
      <c r="L422" s="21" t="n"/>
      <c r="M422" s="8" t="inlineStr"/>
      <c r="N422" s="8" t="inlineStr">
        <is>
          <t>Бухгалтер 1С</t>
        </is>
      </c>
      <c r="O422" s="8" t="inlineStr"/>
      <c r="P422" s="12" t="inlineStr">
        <is>
          <t>Списание есть в ETM, но в 1С нет реализации по этим билетам — счёт не выставлен</t>
        </is>
      </c>
      <c r="Q422" s="8" t="inlineStr">
        <is>
          <t>57224881</t>
        </is>
      </c>
    </row>
    <row r="423">
      <c r="A423" s="8" t="inlineStr">
        <is>
          <t>G13632</t>
        </is>
      </c>
      <c r="B423" s="8" t="inlineStr">
        <is>
          <t>ТАЛАС ВОЯЖ</t>
        </is>
      </c>
      <c r="C423" s="8" t="inlineStr">
        <is>
          <t>2476317811</t>
        </is>
      </c>
      <c r="D423" s="8" t="inlineStr">
        <is>
          <t>Сумма не сходится</t>
        </is>
      </c>
      <c r="E423" s="8" t="inlineStr">
        <is>
          <t>Бот ETM</t>
        </is>
      </c>
      <c r="F423" s="8" t="inlineStr">
        <is>
          <t>A</t>
        </is>
      </c>
      <c r="G423" s="14" t="n">
        <v>15560.64</v>
      </c>
      <c r="H423" s="14" t="n">
        <v>-31121.28</v>
      </c>
      <c r="I423" s="14" t="n">
        <v>15560.64</v>
      </c>
      <c r="J423" s="14" t="n">
        <v>-15560.64</v>
      </c>
      <c r="K423" s="21" t="n">
        <v>46138.61476851852</v>
      </c>
      <c r="L423" s="21" t="n">
        <v>46138</v>
      </c>
      <c r="M423" s="8" t="inlineStr"/>
      <c r="N423" s="8" t="inlineStr">
        <is>
          <t>Разработчик/поддержка бота ETM</t>
        </is>
      </c>
      <c r="O423" s="8" t="inlineStr">
        <is>
          <t>a.toktosunova</t>
        </is>
      </c>
      <c r="P423" s="12" t="inlineStr">
        <is>
          <t>Реестр (15,560.64) совпадает с 1С (15,560.64), а в ETM 31,121.28: бот перенёс неверную сумму</t>
        </is>
      </c>
      <c r="Q423" s="8" t="inlineStr">
        <is>
          <t>57230872,57230873</t>
        </is>
      </c>
    </row>
    <row r="424">
      <c r="A424" s="8" t="inlineStr">
        <is>
          <t>G04085</t>
        </is>
      </c>
      <c r="B424" s="8" t="inlineStr">
        <is>
          <t>Tengri Trip</t>
        </is>
      </c>
      <c r="C424" s="8" t="inlineStr">
        <is>
          <t>2476320175</t>
        </is>
      </c>
      <c r="D424" s="8" t="inlineStr">
        <is>
          <t>Есть в ETM, нет в 1С</t>
        </is>
      </c>
      <c r="E424" s="8" t="inlineStr">
        <is>
          <t>1С</t>
        </is>
      </c>
      <c r="F424" s="8" t="inlineStr">
        <is>
          <t>A</t>
        </is>
      </c>
      <c r="G424" s="14" t="n">
        <v>0</v>
      </c>
      <c r="H424" s="14" t="n">
        <v>-15542</v>
      </c>
      <c r="I424" s="14" t="n">
        <v>15542</v>
      </c>
      <c r="J424" s="14" t="n">
        <v>-15542</v>
      </c>
      <c r="K424" s="21" t="n">
        <v>46227.36236111111</v>
      </c>
      <c r="L424" s="21" t="n"/>
      <c r="M424" s="8" t="inlineStr"/>
      <c r="N424" s="8" t="inlineStr">
        <is>
          <t>Бухгалтер 1С</t>
        </is>
      </c>
      <c r="O424" s="8" t="inlineStr">
        <is>
          <t>n.abdyldaeva</t>
        </is>
      </c>
      <c r="P424" s="12" t="inlineStr">
        <is>
          <t>Списание есть в ETM и продажа в реестре, но в 1С нет реализации по этим билетам — счёт не выставлен</t>
        </is>
      </c>
      <c r="Q424" s="8" t="inlineStr">
        <is>
          <t>57485664</t>
        </is>
      </c>
    </row>
    <row r="425">
      <c r="A425" s="8" t="inlineStr">
        <is>
          <t>G02545</t>
        </is>
      </c>
      <c r="B425" s="8" t="inlineStr">
        <is>
          <t>SkyWay Travel</t>
        </is>
      </c>
      <c r="C425" s="8" t="inlineStr">
        <is>
          <t>2420847140|2420847143</t>
        </is>
      </c>
      <c r="D425" s="8" t="inlineStr">
        <is>
          <t>Двойное списание в ETM</t>
        </is>
      </c>
      <c r="E425" s="8" t="inlineStr">
        <is>
          <t>Бот ETM</t>
        </is>
      </c>
      <c r="F425" s="8" t="inlineStr">
        <is>
          <t>A</t>
        </is>
      </c>
      <c r="G425" s="14" t="n">
        <v>30846.56</v>
      </c>
      <c r="H425" s="14" t="n">
        <v>-46269.84</v>
      </c>
      <c r="I425" s="14" t="n">
        <v>30846.5648</v>
      </c>
      <c r="J425" s="14" t="n">
        <v>-15423.28</v>
      </c>
      <c r="K425" s="21" t="n">
        <v>46144.38659722222</v>
      </c>
      <c r="L425" s="21" t="n">
        <v>46144</v>
      </c>
      <c r="M425" s="8" t="inlineStr"/>
      <c r="N425" s="8" t="inlineStr">
        <is>
          <t>Разработчик/поддержка бота ETM</t>
        </is>
      </c>
      <c r="O425" s="8" t="inlineStr">
        <is>
          <t>e.satarov</t>
        </is>
      </c>
      <c r="P425" s="12" t="inlineStr">
        <is>
          <t>В ETM 1 лишн. списание(й) одного билета на 15,423.28; без дубля сумма совпадает с 1С</t>
        </is>
      </c>
      <c r="Q425" s="8" t="inlineStr">
        <is>
          <t>57246145,57246175,57246128</t>
        </is>
      </c>
    </row>
    <row r="426">
      <c r="A426" s="8" t="inlineStr">
        <is>
          <t>G06298</t>
        </is>
      </c>
      <c r="B426" s="8" t="inlineStr">
        <is>
          <t>Бирлик Трип</t>
        </is>
      </c>
      <c r="C426" s="8" t="inlineStr">
        <is>
          <t>2476319221</t>
        </is>
      </c>
      <c r="D426" s="8" t="inlineStr">
        <is>
          <t>Есть в реестре и 1С, нет в ETM</t>
        </is>
      </c>
      <c r="E426" s="8" t="inlineStr">
        <is>
          <t>Бот ETM</t>
        </is>
      </c>
      <c r="F426" s="8" t="inlineStr">
        <is>
          <t>A</t>
        </is>
      </c>
      <c r="G426" s="14" t="n">
        <v>15393.96</v>
      </c>
      <c r="H426" s="14" t="n">
        <v>0</v>
      </c>
      <c r="I426" s="14" t="n">
        <v>15393.96</v>
      </c>
      <c r="J426" s="14" t="n">
        <v>15393.96</v>
      </c>
      <c r="K426" s="21" t="n"/>
      <c r="L426" s="21" t="n">
        <v>46189</v>
      </c>
      <c r="M426" s="8" t="inlineStr"/>
      <c r="N426" s="8" t="inlineStr">
        <is>
          <t>Разработчик/поддержка бота ETM</t>
        </is>
      </c>
      <c r="O426" s="8" t="inlineStr">
        <is>
          <t>k.dzhumaev</t>
        </is>
      </c>
      <c r="P426" s="12" t="inlineStr">
        <is>
          <t>Продажа есть в реестре и в 1С, но бот не перенёс её на баланс ETM — списания нет</t>
        </is>
      </c>
      <c r="Q426" s="8" t="inlineStr"/>
    </row>
    <row r="427">
      <c r="A427" s="8" t="inlineStr">
        <is>
          <t>G01675</t>
        </is>
      </c>
      <c r="B427" s="8" t="inlineStr">
        <is>
          <t>Karakol Express</t>
        </is>
      </c>
      <c r="C427" s="8" t="inlineStr">
        <is>
          <t>2476316469</t>
        </is>
      </c>
      <c r="D427" s="8" t="inlineStr">
        <is>
          <t>Есть в ETM, нет в 1С</t>
        </is>
      </c>
      <c r="E427" s="8" t="inlineStr">
        <is>
          <t>1С</t>
        </is>
      </c>
      <c r="F427" s="8" t="inlineStr">
        <is>
          <t>A</t>
        </is>
      </c>
      <c r="G427" s="14" t="n">
        <v>0</v>
      </c>
      <c r="H427" s="14" t="n">
        <v>-15288</v>
      </c>
      <c r="I427" s="14" t="n">
        <v>15288</v>
      </c>
      <c r="J427" s="14" t="n">
        <v>-15288</v>
      </c>
      <c r="K427" s="21" t="n">
        <v>46049.80431712963</v>
      </c>
      <c r="L427" s="21" t="n"/>
      <c r="M427" s="8" t="inlineStr"/>
      <c r="N427" s="8" t="inlineStr">
        <is>
          <t>Бухгалтер 1С</t>
        </is>
      </c>
      <c r="O427" s="8" t="inlineStr">
        <is>
          <t>r.sydykov</t>
        </is>
      </c>
      <c r="P427" s="12" t="inlineStr">
        <is>
          <t>Списание есть в ETM и продажа в реестре, но в 1С нет реализации по этим билетам — счёт не выставлен</t>
        </is>
      </c>
      <c r="Q427" s="8" t="inlineStr">
        <is>
          <t>57056184</t>
        </is>
      </c>
    </row>
    <row r="428">
      <c r="A428" s="8" t="inlineStr">
        <is>
          <t>G14377</t>
        </is>
      </c>
      <c r="B428" s="8" t="inlineStr">
        <is>
          <t>ЧОЛПОН ЭЙР</t>
        </is>
      </c>
      <c r="C428" s="8" t="inlineStr">
        <is>
          <t>2459526746</t>
        </is>
      </c>
      <c r="D428" s="8" t="inlineStr">
        <is>
          <t>Двойное списание в ETM</t>
        </is>
      </c>
      <c r="E428" s="8" t="inlineStr">
        <is>
          <t>Бот ETM</t>
        </is>
      </c>
      <c r="F428" s="8" t="inlineStr">
        <is>
          <t>A</t>
        </is>
      </c>
      <c r="G428" s="14" t="n">
        <v>13920</v>
      </c>
      <c r="H428" s="14" t="n">
        <v>-27840</v>
      </c>
      <c r="I428" s="14" t="n">
        <v>13920</v>
      </c>
      <c r="J428" s="14" t="n">
        <v>-13920</v>
      </c>
      <c r="K428" s="21" t="n">
        <v>46080.43511574074</v>
      </c>
      <c r="L428" s="21" t="n">
        <v>46080</v>
      </c>
      <c r="M428" s="8" t="inlineStr"/>
      <c r="N428" s="8" t="inlineStr">
        <is>
          <t>Разработчик/поддержка бота ETM</t>
        </is>
      </c>
      <c r="O428" s="8" t="inlineStr">
        <is>
          <t>k.dzhumaev</t>
        </is>
      </c>
      <c r="P428" s="12" t="inlineStr">
        <is>
          <t>В ETM 1 лишн. списание(й) одного билета на 13,920.00; без дубля сумма совпадает с 1С</t>
        </is>
      </c>
      <c r="Q428" s="8" t="inlineStr">
        <is>
          <t>57111628,57111668</t>
        </is>
      </c>
    </row>
    <row r="429">
      <c r="A429" s="8" t="inlineStr">
        <is>
          <t>G13823</t>
        </is>
      </c>
      <c r="B429" s="8" t="inlineStr">
        <is>
          <t>ТАЛАС ЭЙР</t>
        </is>
      </c>
      <c r="C429" s="8" t="inlineStr">
        <is>
          <t>2459532022</t>
        </is>
      </c>
      <c r="D429" s="8" t="inlineStr">
        <is>
          <t>Есть в ETM, нет в 1С</t>
        </is>
      </c>
      <c r="E429" s="8" t="inlineStr">
        <is>
          <t>1С</t>
        </is>
      </c>
      <c r="F429" s="8" t="inlineStr">
        <is>
          <t>A</t>
        </is>
      </c>
      <c r="G429" s="14" t="n">
        <v>0</v>
      </c>
      <c r="H429" s="14" t="n">
        <v>-13861</v>
      </c>
      <c r="I429" s="14" t="n">
        <v>13861</v>
      </c>
      <c r="J429" s="14" t="n">
        <v>-13861</v>
      </c>
      <c r="K429" s="21" t="n">
        <v>46174.56960648148</v>
      </c>
      <c r="L429" s="21" t="n"/>
      <c r="M429" s="8" t="inlineStr"/>
      <c r="N429" s="8" t="inlineStr">
        <is>
          <t>Бухгалтер 1С</t>
        </is>
      </c>
      <c r="O429" s="8" t="inlineStr">
        <is>
          <t>d.mambetova</t>
        </is>
      </c>
      <c r="P429" s="12" t="inlineStr">
        <is>
          <t>Списание есть в ETM и продажа в реестре, но в 1С нет реализации по этим билетам — счёт не выставлен</t>
        </is>
      </c>
      <c r="Q429" s="8" t="inlineStr">
        <is>
          <t>57334693</t>
        </is>
      </c>
    </row>
    <row r="430">
      <c r="A430" s="8" t="inlineStr">
        <is>
          <t>G05092</t>
        </is>
      </c>
      <c r="B430" s="8" t="inlineStr">
        <is>
          <t>Ак-Куу Авиа</t>
        </is>
      </c>
      <c r="C430" s="8" t="inlineStr">
        <is>
          <t>2461881644</t>
        </is>
      </c>
      <c r="D430" s="8" t="inlineStr">
        <is>
          <t>Есть в ETM, нет в 1С</t>
        </is>
      </c>
      <c r="E430" s="8" t="inlineStr">
        <is>
          <t>1С</t>
        </is>
      </c>
      <c r="F430" s="8" t="inlineStr">
        <is>
          <t>A</t>
        </is>
      </c>
      <c r="G430" s="14" t="n">
        <v>0</v>
      </c>
      <c r="H430" s="14" t="n">
        <v>-13608</v>
      </c>
      <c r="I430" s="14" t="n">
        <v>13608</v>
      </c>
      <c r="J430" s="14" t="n">
        <v>-13608</v>
      </c>
      <c r="K430" s="21" t="n">
        <v>46031.56934027778</v>
      </c>
      <c r="L430" s="21" t="n"/>
      <c r="M430" s="8" t="inlineStr"/>
      <c r="N430" s="8" t="inlineStr">
        <is>
          <t>Бухгалтер 1С</t>
        </is>
      </c>
      <c r="O430" s="8" t="inlineStr">
        <is>
          <t>k.dzhumaev</t>
        </is>
      </c>
      <c r="P430" s="12" t="inlineStr">
        <is>
          <t>Списание есть в ETM и продажа в реестре, но в 1С нет реализации по этим билетам — счёт не выставлен</t>
        </is>
      </c>
      <c r="Q430" s="8" t="inlineStr">
        <is>
          <t>57015858</t>
        </is>
      </c>
    </row>
    <row r="431">
      <c r="A431" s="8" t="inlineStr">
        <is>
          <t>G15485</t>
        </is>
      </c>
      <c r="B431" s="8" t="inlineStr">
        <is>
          <t>Эсенбекова Айгуль Нурбекевна</t>
        </is>
      </c>
      <c r="C431" s="8" t="inlineStr">
        <is>
          <t>2476314950|2476314951|2476314952|2476314954</t>
        </is>
      </c>
      <c r="D431" s="8" t="inlineStr">
        <is>
          <t>Сумма не сходится</t>
        </is>
      </c>
      <c r="E431" s="8" t="inlineStr">
        <is>
          <t>Бот ETM</t>
        </is>
      </c>
      <c r="F431" s="8" t="inlineStr">
        <is>
          <t>A</t>
        </is>
      </c>
      <c r="G431" s="14" t="n">
        <v>135532</v>
      </c>
      <c r="H431" s="14" t="n">
        <v>-121978.8</v>
      </c>
      <c r="I431" s="14" t="n">
        <v>135532</v>
      </c>
      <c r="J431" s="14" t="n">
        <v>13553.2</v>
      </c>
      <c r="K431" s="21" t="n">
        <v>46042.39658564814</v>
      </c>
      <c r="L431" s="21" t="n">
        <v>46042</v>
      </c>
      <c r="M431" s="8" t="inlineStr"/>
      <c r="N431" s="8" t="inlineStr">
        <is>
          <t>Разработчик/поддержка бота ETM</t>
        </is>
      </c>
      <c r="O431" s="8" t="inlineStr">
        <is>
          <t>a.toktosunova</t>
        </is>
      </c>
      <c r="P431" s="12" t="inlineStr">
        <is>
          <t>Реестр (135,532.00) совпадает с 1С (135,532.00), а в ETM 121,978.80: бот перенёс неверную сумму</t>
        </is>
      </c>
      <c r="Q431" s="8" t="inlineStr">
        <is>
          <t>57040145,57040203,57040185,57040221</t>
        </is>
      </c>
    </row>
    <row r="432">
      <c r="A432" s="8" t="inlineStr">
        <is>
          <t>G00282</t>
        </is>
      </c>
      <c r="B432" s="8" t="inlineStr">
        <is>
          <t>Bishkek Fly</t>
        </is>
      </c>
      <c r="C432" s="8" t="inlineStr">
        <is>
          <t>2459531099</t>
        </is>
      </c>
      <c r="D432" s="8" t="inlineStr">
        <is>
          <t>Сумма не сходится</t>
        </is>
      </c>
      <c r="E432" s="8" t="inlineStr">
        <is>
          <t>1С</t>
        </is>
      </c>
      <c r="F432" s="8" t="inlineStr">
        <is>
          <t>A</t>
        </is>
      </c>
      <c r="G432" s="14" t="n">
        <v>-12173.4</v>
      </c>
      <c r="H432" s="14" t="n">
        <v>-1352.6</v>
      </c>
      <c r="I432" s="14" t="n">
        <v>1352.6</v>
      </c>
      <c r="J432" s="14" t="n">
        <v>-13526</v>
      </c>
      <c r="K432" s="21" t="n">
        <v>46210.49989583333</v>
      </c>
      <c r="L432" s="21" t="n">
        <v>46225</v>
      </c>
      <c r="M432" s="8" t="inlineStr"/>
      <c r="N432" s="8" t="inlineStr">
        <is>
          <t>Бухгалтер 1С</t>
        </is>
      </c>
      <c r="O432" s="8" t="inlineStr">
        <is>
          <t>a.toktosunova|b.isakov</t>
        </is>
      </c>
      <c r="P432" s="12" t="inlineStr">
        <is>
          <t>Реестр (1,352.60) совпадает с ETM (1,352.60), а в 1С -12,173.40: неверная сумма в 1С</t>
        </is>
      </c>
      <c r="Q432" s="8" t="inlineStr">
        <is>
          <t>57438379,57477765</t>
        </is>
      </c>
    </row>
    <row r="433">
      <c r="A433" s="8" t="inlineStr">
        <is>
          <t>G06664</t>
        </is>
      </c>
      <c r="B433" s="8" t="inlineStr">
        <is>
          <t>Джолдошова Салтанат Сатаревна</t>
        </is>
      </c>
      <c r="C433" s="8" t="inlineStr">
        <is>
          <t>2460737994</t>
        </is>
      </c>
      <c r="D433" s="8" t="inlineStr">
        <is>
          <t>Есть в ETM, нет в 1С</t>
        </is>
      </c>
      <c r="E433" s="8" t="inlineStr">
        <is>
          <t>1С</t>
        </is>
      </c>
      <c r="F433" s="8" t="inlineStr">
        <is>
          <t>A</t>
        </is>
      </c>
      <c r="G433" s="14" t="n">
        <v>0</v>
      </c>
      <c r="H433" s="14" t="n">
        <v>-13476</v>
      </c>
      <c r="I433" s="14" t="n">
        <v>13476</v>
      </c>
      <c r="J433" s="14" t="n">
        <v>-13476</v>
      </c>
      <c r="K433" s="21" t="n">
        <v>46095.62309027778</v>
      </c>
      <c r="L433" s="21" t="n"/>
      <c r="M433" s="8" t="inlineStr"/>
      <c r="N433" s="8" t="inlineStr">
        <is>
          <t>Бухгалтер 1С</t>
        </is>
      </c>
      <c r="O433" s="8" t="inlineStr">
        <is>
          <t>d.mambetova</t>
        </is>
      </c>
      <c r="P433" s="12" t="inlineStr">
        <is>
          <t>Списание есть в ETM и продажа в реестре, но в 1С нет реализации по этим билетам — счёт не выставлен</t>
        </is>
      </c>
      <c r="Q433" s="8" t="inlineStr">
        <is>
          <t>57148041</t>
        </is>
      </c>
    </row>
    <row r="434">
      <c r="A434" s="8" t="inlineStr">
        <is>
          <t>G09503</t>
        </is>
      </c>
      <c r="B434" s="8" t="inlineStr">
        <is>
          <t>КУТ ЭЙР</t>
        </is>
      </c>
      <c r="C434" s="8" t="inlineStr">
        <is>
          <t>2460737871</t>
        </is>
      </c>
      <c r="D434" s="8" t="inlineStr">
        <is>
          <t>Есть в ETM, нет в 1С</t>
        </is>
      </c>
      <c r="E434" s="8" t="inlineStr">
        <is>
          <t>1С</t>
        </is>
      </c>
      <c r="F434" s="8" t="inlineStr">
        <is>
          <t>A</t>
        </is>
      </c>
      <c r="G434" s="14" t="n">
        <v>0</v>
      </c>
      <c r="H434" s="14" t="n">
        <v>-13442</v>
      </c>
      <c r="I434" s="14" t="n">
        <v>13442</v>
      </c>
      <c r="J434" s="14" t="n">
        <v>-13442</v>
      </c>
      <c r="K434" s="21" t="n">
        <v>46215.68873842592</v>
      </c>
      <c r="L434" s="21" t="n"/>
      <c r="M434" s="8" t="inlineStr"/>
      <c r="N434" s="8" t="inlineStr">
        <is>
          <t>Бухгалтер 1С</t>
        </is>
      </c>
      <c r="O434" s="8" t="inlineStr">
        <is>
          <t>e.satarov</t>
        </is>
      </c>
      <c r="P434" s="12" t="inlineStr">
        <is>
          <t>Списание есть в ETM и продажа в реестре, но в 1С нет реализации по этим билетам — счёт не выставлен</t>
        </is>
      </c>
      <c r="Q434" s="8" t="inlineStr">
        <is>
          <t>57453934</t>
        </is>
      </c>
    </row>
    <row r="435">
      <c r="A435" s="8" t="inlineStr">
        <is>
          <t>G09162</t>
        </is>
      </c>
      <c r="B435" s="8" t="inlineStr">
        <is>
          <t>ИССЫК ТРИП</t>
        </is>
      </c>
      <c r="C435" s="8" t="inlineStr">
        <is>
          <t>2461885323</t>
        </is>
      </c>
      <c r="D435" s="8" t="inlineStr">
        <is>
          <t>Есть в реестре и 1С, нет в ETM</t>
        </is>
      </c>
      <c r="E435" s="8" t="inlineStr">
        <is>
          <t>Бот ETM</t>
        </is>
      </c>
      <c r="F435" s="8" t="inlineStr">
        <is>
          <t>A</t>
        </is>
      </c>
      <c r="G435" s="14" t="n">
        <v>13389</v>
      </c>
      <c r="H435" s="14" t="n">
        <v>0</v>
      </c>
      <c r="I435" s="14" t="n">
        <v>13389</v>
      </c>
      <c r="J435" s="14" t="n">
        <v>13389</v>
      </c>
      <c r="K435" s="21" t="n"/>
      <c r="L435" s="21" t="n">
        <v>46204</v>
      </c>
      <c r="M435" s="8" t="inlineStr"/>
      <c r="N435" s="8" t="inlineStr">
        <is>
          <t>Разработчик/поддержка бота ETM</t>
        </is>
      </c>
      <c r="O435" s="8" t="inlineStr">
        <is>
          <t>g.omurbekova</t>
        </is>
      </c>
      <c r="P435" s="12" t="inlineStr">
        <is>
          <t>Продажа есть в реестре и в 1С, но бот не перенёс её на баланс ETM — списания нет</t>
        </is>
      </c>
      <c r="Q435" s="8" t="inlineStr"/>
    </row>
    <row r="436">
      <c r="A436" s="8" t="inlineStr">
        <is>
          <t>G12316</t>
        </is>
      </c>
      <c r="B436" s="8" t="inlineStr">
        <is>
          <t>САЛАМ ЭЙР</t>
        </is>
      </c>
      <c r="C436" s="8" t="inlineStr">
        <is>
          <t>2459528609</t>
        </is>
      </c>
      <c r="D436" s="8" t="inlineStr">
        <is>
          <t>Есть в ETM, нет в 1С</t>
        </is>
      </c>
      <c r="E436" s="8" t="inlineStr">
        <is>
          <t>1С</t>
        </is>
      </c>
      <c r="F436" s="8" t="inlineStr">
        <is>
          <t>A</t>
        </is>
      </c>
      <c r="G436" s="14" t="n">
        <v>0</v>
      </c>
      <c r="H436" s="14" t="n">
        <v>-13338</v>
      </c>
      <c r="I436" s="14" t="n">
        <v>800</v>
      </c>
      <c r="J436" s="14" t="n">
        <v>-13338</v>
      </c>
      <c r="K436" s="21" t="n">
        <v>46187.38158564815</v>
      </c>
      <c r="L436" s="21" t="n"/>
      <c r="M436" s="8" t="inlineStr"/>
      <c r="N436" s="8" t="inlineStr">
        <is>
          <t>Бухгалтер 1С</t>
        </is>
      </c>
      <c r="O436" s="8" t="inlineStr">
        <is>
          <t>b.isakov|g.omurbekova</t>
        </is>
      </c>
      <c r="P436" s="12" t="inlineStr">
        <is>
          <t>Списание есть в ETM и продажа в реестре, но в 1С нет реализации по этим билетам — счёт не выставлен</t>
        </is>
      </c>
      <c r="Q436" s="8" t="inlineStr">
        <is>
          <t>57366960</t>
        </is>
      </c>
    </row>
    <row r="437">
      <c r="A437" s="8" t="inlineStr">
        <is>
          <t>G13934</t>
        </is>
      </c>
      <c r="B437" s="8" t="inlineStr">
        <is>
          <t>ТЯНЬ-ШАНЬ ЭКСПРЕСС</t>
        </is>
      </c>
      <c r="C437" s="8" t="inlineStr">
        <is>
          <t>2461881798</t>
        </is>
      </c>
      <c r="D437" s="8" t="inlineStr">
        <is>
          <t>Есть в реестре и 1С, нет в ETM</t>
        </is>
      </c>
      <c r="E437" s="8" t="inlineStr">
        <is>
          <t>Бот ETM</t>
        </is>
      </c>
      <c r="F437" s="8" t="inlineStr">
        <is>
          <t>A</t>
        </is>
      </c>
      <c r="G437" s="14" t="n">
        <v>13117</v>
      </c>
      <c r="H437" s="14" t="n">
        <v>0</v>
      </c>
      <c r="I437" s="14" t="n">
        <v>13117</v>
      </c>
      <c r="J437" s="14" t="n">
        <v>13117</v>
      </c>
      <c r="K437" s="21" t="n"/>
      <c r="L437" s="21" t="n">
        <v>46059</v>
      </c>
      <c r="M437" s="8" t="inlineStr"/>
      <c r="N437" s="8" t="inlineStr">
        <is>
          <t>Разработчик/поддержка бота ETM</t>
        </is>
      </c>
      <c r="O437" s="8" t="inlineStr">
        <is>
          <t>e.satarov</t>
        </is>
      </c>
      <c r="P437" s="12" t="inlineStr">
        <is>
          <t>Продажа есть в реестре и в 1С, но бот не перенёс её на баланс ETM — списания нет</t>
        </is>
      </c>
      <c r="Q437" s="8" t="inlineStr"/>
    </row>
    <row r="438">
      <c r="A438" s="8" t="inlineStr">
        <is>
          <t>G00179</t>
        </is>
      </c>
      <c r="B438" s="8" t="inlineStr">
        <is>
          <t>Aylana Tour</t>
        </is>
      </c>
      <c r="C438" s="8" t="inlineStr">
        <is>
          <t>2459530353</t>
        </is>
      </c>
      <c r="D438" s="8" t="inlineStr">
        <is>
          <t>Есть в ETM, нет в 1С</t>
        </is>
      </c>
      <c r="E438" s="8" t="inlineStr">
        <is>
          <t>1С</t>
        </is>
      </c>
      <c r="F438" s="8" t="inlineStr">
        <is>
          <t>A</t>
        </is>
      </c>
      <c r="G438" s="14" t="n">
        <v>0</v>
      </c>
      <c r="H438" s="14" t="n">
        <v>-13017</v>
      </c>
      <c r="I438" s="14" t="n"/>
      <c r="J438" s="14" t="n">
        <v>-13017</v>
      </c>
      <c r="K438" s="21" t="n">
        <v>46156.42209490741</v>
      </c>
      <c r="L438" s="21" t="n"/>
      <c r="M438" s="8" t="inlineStr"/>
      <c r="N438" s="8" t="inlineStr">
        <is>
          <t>Бухгалтер 1С</t>
        </is>
      </c>
      <c r="O438" s="8" t="inlineStr"/>
      <c r="P438" s="12" t="inlineStr">
        <is>
          <t>Списание есть в ETM, но в 1С нет реализации по этим билетам — счёт не выставлен</t>
        </is>
      </c>
      <c r="Q438" s="8" t="inlineStr">
        <is>
          <t>57284130</t>
        </is>
      </c>
    </row>
    <row r="439">
      <c r="A439" s="8" t="inlineStr">
        <is>
          <t>G00287</t>
        </is>
      </c>
      <c r="B439" s="8" t="inlineStr">
        <is>
          <t>Bishkek Fly</t>
        </is>
      </c>
      <c r="C439" s="8" t="inlineStr">
        <is>
          <t>2460733900</t>
        </is>
      </c>
      <c r="D439" s="8" t="inlineStr">
        <is>
          <t>Есть в ETM, нет в 1С</t>
        </is>
      </c>
      <c r="E439" s="8" t="inlineStr">
        <is>
          <t>1С</t>
        </is>
      </c>
      <c r="F439" s="8" t="inlineStr">
        <is>
          <t>A</t>
        </is>
      </c>
      <c r="G439" s="14" t="n">
        <v>0</v>
      </c>
      <c r="H439" s="14" t="n">
        <v>-12976</v>
      </c>
      <c r="I439" s="14" t="n">
        <v>12976</v>
      </c>
      <c r="J439" s="14" t="n">
        <v>-12976</v>
      </c>
      <c r="K439" s="21" t="n">
        <v>46167.70039351852</v>
      </c>
      <c r="L439" s="21" t="n"/>
      <c r="M439" s="8" t="inlineStr"/>
      <c r="N439" s="8" t="inlineStr">
        <is>
          <t>Бухгалтер 1С</t>
        </is>
      </c>
      <c r="O439" s="8" t="inlineStr">
        <is>
          <t>r.sydykov</t>
        </is>
      </c>
      <c r="P439" s="12" t="inlineStr">
        <is>
          <t>Списание есть в ETM и продажа в реестре, но в 1С нет реализации по этим билетам — счёт не выставлен</t>
        </is>
      </c>
      <c r="Q439" s="8" t="inlineStr">
        <is>
          <t>57315005</t>
        </is>
      </c>
    </row>
    <row r="440">
      <c r="A440" s="8" t="inlineStr">
        <is>
          <t>G00919</t>
        </is>
      </c>
      <c r="B440" s="8" t="inlineStr">
        <is>
          <t>Issyk-Kul Air</t>
        </is>
      </c>
      <c r="C440" s="8" t="inlineStr">
        <is>
          <t>2460733958</t>
        </is>
      </c>
      <c r="D440" s="8" t="inlineStr">
        <is>
          <t>Есть в ETM, нет в 1С</t>
        </is>
      </c>
      <c r="E440" s="8" t="inlineStr">
        <is>
          <t>1С</t>
        </is>
      </c>
      <c r="F440" s="8" t="inlineStr">
        <is>
          <t>A</t>
        </is>
      </c>
      <c r="G440" s="14" t="n">
        <v>0</v>
      </c>
      <c r="H440" s="14" t="n">
        <v>-12942</v>
      </c>
      <c r="I440" s="14" t="n"/>
      <c r="J440" s="14" t="n">
        <v>-12942</v>
      </c>
      <c r="K440" s="21" t="n">
        <v>46158.44936342593</v>
      </c>
      <c r="L440" s="21" t="n"/>
      <c r="M440" s="8" t="inlineStr"/>
      <c r="N440" s="8" t="inlineStr">
        <is>
          <t>Бухгалтер 1С</t>
        </is>
      </c>
      <c r="O440" s="8" t="inlineStr"/>
      <c r="P440" s="12" t="inlineStr">
        <is>
          <t>Списание есть в ETM, но в 1С нет реализации по этим билетам — счёт не выставлен</t>
        </is>
      </c>
      <c r="Q440" s="8" t="inlineStr">
        <is>
          <t>57289210</t>
        </is>
      </c>
    </row>
    <row r="441">
      <c r="A441" s="8" t="inlineStr">
        <is>
          <t>G10315</t>
        </is>
      </c>
      <c r="B441" s="8" t="inlineStr">
        <is>
          <t>Манас Тревел</t>
        </is>
      </c>
      <c r="C441" s="8" t="inlineStr">
        <is>
          <t>2460736079</t>
        </is>
      </c>
      <c r="D441" s="8" t="inlineStr">
        <is>
          <t>Есть в реестре и 1С, нет в ETM</t>
        </is>
      </c>
      <c r="E441" s="8" t="inlineStr">
        <is>
          <t>Бот ETM</t>
        </is>
      </c>
      <c r="F441" s="8" t="inlineStr">
        <is>
          <t>A</t>
        </is>
      </c>
      <c r="G441" s="14" t="n">
        <v>12864</v>
      </c>
      <c r="H441" s="14" t="n">
        <v>0</v>
      </c>
      <c r="I441" s="14" t="n">
        <v>12864</v>
      </c>
      <c r="J441" s="14" t="n">
        <v>12864</v>
      </c>
      <c r="K441" s="21" t="n"/>
      <c r="L441" s="21" t="n">
        <v>46199</v>
      </c>
      <c r="M441" s="8" t="inlineStr"/>
      <c r="N441" s="8" t="inlineStr">
        <is>
          <t>Разработчик/поддержка бота ETM</t>
        </is>
      </c>
      <c r="O441" s="8" t="inlineStr">
        <is>
          <t>r.sydykov</t>
        </is>
      </c>
      <c r="P441" s="12" t="inlineStr">
        <is>
          <t>Продажа есть в реестре и в 1С, но бот не перенёс её на баланс ETM — списания нет</t>
        </is>
      </c>
      <c r="Q441" s="8" t="inlineStr"/>
    </row>
    <row r="442">
      <c r="A442" s="8" t="inlineStr">
        <is>
          <t>G11542</t>
        </is>
      </c>
      <c r="B442" s="8" t="inlineStr">
        <is>
          <t>ОсОО Кара-Кол Трип</t>
        </is>
      </c>
      <c r="C442" s="8" t="inlineStr">
        <is>
          <t>2461882335</t>
        </is>
      </c>
      <c r="D442" s="8" t="inlineStr">
        <is>
          <t>Есть в ETM, нет в 1С</t>
        </is>
      </c>
      <c r="E442" s="8" t="inlineStr">
        <is>
          <t>1С</t>
        </is>
      </c>
      <c r="F442" s="8" t="inlineStr">
        <is>
          <t>A</t>
        </is>
      </c>
      <c r="G442" s="14" t="n">
        <v>0</v>
      </c>
      <c r="H442" s="14" t="n">
        <v>-12847</v>
      </c>
      <c r="I442" s="14" t="n">
        <v>12847</v>
      </c>
      <c r="J442" s="14" t="n">
        <v>-12847</v>
      </c>
      <c r="K442" s="21" t="n">
        <v>46196.54261574074</v>
      </c>
      <c r="L442" s="21" t="n"/>
      <c r="M442" s="8" t="inlineStr"/>
      <c r="N442" s="8" t="inlineStr">
        <is>
          <t>Бухгалтер 1С</t>
        </is>
      </c>
      <c r="O442" s="8" t="inlineStr">
        <is>
          <t>b.isakov</t>
        </is>
      </c>
      <c r="P442" s="12" t="inlineStr">
        <is>
          <t>Списание есть в ETM и продажа в реестре, но в 1С нет реализации по этим билетам — счёт не выставлен</t>
        </is>
      </c>
      <c r="Q442" s="8" t="inlineStr">
        <is>
          <t>57392317</t>
        </is>
      </c>
    </row>
    <row r="443">
      <c r="A443" s="8" t="inlineStr">
        <is>
          <t>G06632</t>
        </is>
      </c>
      <c r="B443" s="8" t="inlineStr">
        <is>
          <t>Джолдошова Салтанат Сатаревна</t>
        </is>
      </c>
      <c r="C443" s="8" t="inlineStr">
        <is>
          <t>2460732776</t>
        </is>
      </c>
      <c r="D443" s="8" t="inlineStr">
        <is>
          <t>Есть в реестре и 1С, нет в ETM</t>
        </is>
      </c>
      <c r="E443" s="8" t="inlineStr">
        <is>
          <t>Бот ETM</t>
        </is>
      </c>
      <c r="F443" s="8" t="inlineStr">
        <is>
          <t>A</t>
        </is>
      </c>
      <c r="G443" s="14" t="n">
        <v>12798</v>
      </c>
      <c r="H443" s="14" t="n">
        <v>0</v>
      </c>
      <c r="I443" s="14" t="n">
        <v>12798</v>
      </c>
      <c r="J443" s="14" t="n">
        <v>12798</v>
      </c>
      <c r="K443" s="21" t="n"/>
      <c r="L443" s="21" t="n">
        <v>46196</v>
      </c>
      <c r="M443" s="8" t="inlineStr"/>
      <c r="N443" s="8" t="inlineStr">
        <is>
          <t>Разработчик/поддержка бота ETM</t>
        </is>
      </c>
      <c r="O443" s="8" t="inlineStr">
        <is>
          <t>g.omurbekova</t>
        </is>
      </c>
      <c r="P443" s="12" t="inlineStr">
        <is>
          <t>Продажа есть в реестре и в 1С, но бот не перенёс её на баланс ETM — списания нет</t>
        </is>
      </c>
      <c r="Q443" s="8" t="inlineStr"/>
    </row>
    <row r="444">
      <c r="A444" s="8" t="inlineStr">
        <is>
          <t>G06434</t>
        </is>
      </c>
      <c r="B444" s="8" t="inlineStr">
        <is>
          <t>Джолдош уулу Эмир</t>
        </is>
      </c>
      <c r="C444" s="8" t="inlineStr">
        <is>
          <t>2460737685|2460737687|2460737689</t>
        </is>
      </c>
      <c r="D444" s="8" t="inlineStr">
        <is>
          <t>Сумма не сходится</t>
        </is>
      </c>
      <c r="E444" s="8" t="inlineStr">
        <is>
          <t>Бот ETM</t>
        </is>
      </c>
      <c r="F444" s="8" t="inlineStr">
        <is>
          <t>A</t>
        </is>
      </c>
      <c r="G444" s="14" t="n">
        <v>37986</v>
      </c>
      <c r="H444" s="14" t="n">
        <v>-50648</v>
      </c>
      <c r="I444" s="14" t="n">
        <v>37986</v>
      </c>
      <c r="J444" s="14" t="n">
        <v>-12662</v>
      </c>
      <c r="K444" s="21" t="n">
        <v>46174.43271990741</v>
      </c>
      <c r="L444" s="21" t="n">
        <v>46174</v>
      </c>
      <c r="M444" s="8" t="inlineStr"/>
      <c r="N444" s="8" t="inlineStr">
        <is>
          <t>Разработчик/поддержка бота ETM</t>
        </is>
      </c>
      <c r="O444" s="8" t="inlineStr">
        <is>
          <t>b.isakov</t>
        </is>
      </c>
      <c r="P444" s="12" t="inlineStr">
        <is>
          <t>Реестр (37,986.00) совпадает с 1С (37,986.00), а в ETM 50,648.00: бот перенёс неверную сумму</t>
        </is>
      </c>
      <c r="Q444" s="8" t="inlineStr">
        <is>
          <t>57334492,57334484,57334528,57334543</t>
        </is>
      </c>
    </row>
    <row r="445">
      <c r="A445" s="8" t="inlineStr">
        <is>
          <t>G04323</t>
        </is>
      </c>
      <c r="B445" s="8" t="inlineStr">
        <is>
          <t>Абдылда уулу Б.</t>
        </is>
      </c>
      <c r="C445" s="8" t="inlineStr">
        <is>
          <t>2460736790</t>
        </is>
      </c>
      <c r="D445" s="8" t="inlineStr">
        <is>
          <t>Есть в ETM, нет в 1С</t>
        </is>
      </c>
      <c r="E445" s="8" t="inlineStr">
        <is>
          <t>1С</t>
        </is>
      </c>
      <c r="F445" s="8" t="inlineStr">
        <is>
          <t>A</t>
        </is>
      </c>
      <c r="G445" s="14" t="n">
        <v>0</v>
      </c>
      <c r="H445" s="14" t="n">
        <v>-12583</v>
      </c>
      <c r="I445" s="14" t="n">
        <v>12583</v>
      </c>
      <c r="J445" s="14" t="n">
        <v>-12583</v>
      </c>
      <c r="K445" s="21" t="n">
        <v>46213.68640046296</v>
      </c>
      <c r="L445" s="21" t="n"/>
      <c r="M445" s="8" t="inlineStr"/>
      <c r="N445" s="8" t="inlineStr">
        <is>
          <t>Бухгалтер 1С</t>
        </is>
      </c>
      <c r="O445" s="8" t="inlineStr">
        <is>
          <t>g.omurbekova</t>
        </is>
      </c>
      <c r="P445" s="12" t="inlineStr">
        <is>
          <t>Списание есть в ETM и продажа в реестре, но в 1С нет реализации по этим билетам — счёт не выставлен</t>
        </is>
      </c>
      <c r="Q445" s="8" t="inlineStr">
        <is>
          <t>57448684</t>
        </is>
      </c>
    </row>
    <row r="446">
      <c r="A446" s="8" t="inlineStr">
        <is>
          <t>G07262</t>
        </is>
      </c>
      <c r="B446" s="8" t="inlineStr">
        <is>
          <t>Жибек Эйр</t>
        </is>
      </c>
      <c r="C446" s="8" t="inlineStr">
        <is>
          <t>2460735387</t>
        </is>
      </c>
      <c r="D446" s="8" t="inlineStr">
        <is>
          <t>Сумма не сходится</t>
        </is>
      </c>
      <c r="E446" s="8" t="inlineStr">
        <is>
          <t>1С</t>
        </is>
      </c>
      <c r="F446" s="8" t="inlineStr">
        <is>
          <t>A</t>
        </is>
      </c>
      <c r="G446" s="14" t="n">
        <v>16722</v>
      </c>
      <c r="H446" s="14" t="n">
        <v>-4180.5</v>
      </c>
      <c r="I446" s="14" t="n">
        <v>4180.5</v>
      </c>
      <c r="J446" s="14" t="n">
        <v>12541.5</v>
      </c>
      <c r="K446" s="21" t="n">
        <v>46095.62737268519</v>
      </c>
      <c r="L446" s="21" t="n">
        <v>46095</v>
      </c>
      <c r="M446" s="8" t="inlineStr"/>
      <c r="N446" s="8" t="inlineStr">
        <is>
          <t>Бухгалтер 1С</t>
        </is>
      </c>
      <c r="O446" s="8" t="inlineStr">
        <is>
          <t>k.dzhumaev|r.sydykov</t>
        </is>
      </c>
      <c r="P446" s="12" t="inlineStr">
        <is>
          <t>Реестр (4,180.50) совпадает с ETM (4,180.50), а в 1С 16,722.00: неверная сумма в 1С</t>
        </is>
      </c>
      <c r="Q446" s="8" t="inlineStr">
        <is>
          <t>57147540,57187537</t>
        </is>
      </c>
    </row>
    <row r="447">
      <c r="A447" s="8" t="inlineStr">
        <is>
          <t>G13061</t>
        </is>
      </c>
      <c r="B447" s="8" t="inlineStr">
        <is>
          <t>Сатар уулу Санжар</t>
        </is>
      </c>
      <c r="C447" s="8" t="inlineStr">
        <is>
          <t>2460732834</t>
        </is>
      </c>
      <c r="D447" s="8" t="inlineStr">
        <is>
          <t>Сумма не сходится</t>
        </is>
      </c>
      <c r="E447" s="8" t="inlineStr">
        <is>
          <t>1С</t>
        </is>
      </c>
      <c r="F447" s="8" t="inlineStr">
        <is>
          <t>A</t>
        </is>
      </c>
      <c r="G447" s="14" t="n">
        <v>16311</v>
      </c>
      <c r="H447" s="14" t="n">
        <v>-4077.75</v>
      </c>
      <c r="I447" s="14" t="n">
        <v>4077.75</v>
      </c>
      <c r="J447" s="14" t="n">
        <v>12233.25</v>
      </c>
      <c r="K447" s="21" t="n">
        <v>46105.53738425926</v>
      </c>
      <c r="L447" s="21" t="n">
        <v>46105</v>
      </c>
      <c r="M447" s="8" t="inlineStr"/>
      <c r="N447" s="8" t="inlineStr">
        <is>
          <t>Бухгалтер 1С</t>
        </is>
      </c>
      <c r="O447" s="8" t="inlineStr">
        <is>
          <t>a.toktosunova|d.mambetova</t>
        </is>
      </c>
      <c r="P447" s="12" t="inlineStr">
        <is>
          <t>Реестр (4,077.75) совпадает с ETM (4,077.75), а в 1С 16,311.00: неверная сумма в 1С</t>
        </is>
      </c>
      <c r="Q447" s="8" t="inlineStr">
        <is>
          <t>57167657,57202194</t>
        </is>
      </c>
    </row>
    <row r="448">
      <c r="A448" s="8" t="inlineStr">
        <is>
          <t>G07132</t>
        </is>
      </c>
      <c r="B448" s="8" t="inlineStr">
        <is>
          <t>Жибек Эйр</t>
        </is>
      </c>
      <c r="C448" s="8" t="inlineStr">
        <is>
          <t>2416941524|2416941526</t>
        </is>
      </c>
      <c r="D448" s="8" t="inlineStr">
        <is>
          <t>Сумма не сходится</t>
        </is>
      </c>
      <c r="E448" s="8" t="inlineStr">
        <is>
          <t>1С</t>
        </is>
      </c>
      <c r="F448" s="8" t="inlineStr">
        <is>
          <t>A</t>
        </is>
      </c>
      <c r="G448" s="14" t="n">
        <v>121189.6</v>
      </c>
      <c r="H448" s="14" t="n">
        <v>-109070.64</v>
      </c>
      <c r="I448" s="14" t="n">
        <v>109070.64</v>
      </c>
      <c r="J448" s="14" t="n">
        <v>12118.96000000001</v>
      </c>
      <c r="K448" s="21" t="n">
        <v>46228.36756944445</v>
      </c>
      <c r="L448" s="21" t="n">
        <v>46228</v>
      </c>
      <c r="M448" s="8" t="inlineStr"/>
      <c r="N448" s="8" t="inlineStr">
        <is>
          <t>Бухгалтер 1С</t>
        </is>
      </c>
      <c r="O448" s="8" t="inlineStr">
        <is>
          <t>k.dzhumaev</t>
        </is>
      </c>
      <c r="P448" s="12" t="inlineStr">
        <is>
          <t>Реестр (109,070.64) совпадает с ETM (109,070.64), а в 1С 121,189.60: неверная сумма в 1С</t>
        </is>
      </c>
      <c r="Q448" s="8" t="inlineStr">
        <is>
          <t>57486263,57486256</t>
        </is>
      </c>
    </row>
    <row r="449">
      <c r="A449" s="8" t="inlineStr">
        <is>
          <t>G05574</t>
        </is>
      </c>
      <c r="B449" s="8" t="inlineStr">
        <is>
          <t>Ак-Куу Тур</t>
        </is>
      </c>
      <c r="C449" s="8" t="inlineStr">
        <is>
          <t>2461883192</t>
        </is>
      </c>
      <c r="D449" s="8" t="inlineStr">
        <is>
          <t>Есть в ETM, нет в 1С</t>
        </is>
      </c>
      <c r="E449" s="8" t="inlineStr">
        <is>
          <t>1С</t>
        </is>
      </c>
      <c r="F449" s="8" t="inlineStr">
        <is>
          <t>A</t>
        </is>
      </c>
      <c r="G449" s="14" t="n">
        <v>0</v>
      </c>
      <c r="H449" s="14" t="n">
        <v>-11622</v>
      </c>
      <c r="I449" s="14" t="n">
        <v>11622</v>
      </c>
      <c r="J449" s="14" t="n">
        <v>-11622</v>
      </c>
      <c r="K449" s="21" t="n">
        <v>46037.67728009259</v>
      </c>
      <c r="L449" s="21" t="n"/>
      <c r="M449" s="8" t="inlineStr"/>
      <c r="N449" s="8" t="inlineStr">
        <is>
          <t>Бухгалтер 1С</t>
        </is>
      </c>
      <c r="O449" s="8" t="inlineStr">
        <is>
          <t>a.toktosunova</t>
        </is>
      </c>
      <c r="P449" s="12" t="inlineStr">
        <is>
          <t>Списание есть в ETM и продажа в реестре, но в 1С нет реализации по этим билетам — счёт не выставлен</t>
        </is>
      </c>
      <c r="Q449" s="8" t="inlineStr">
        <is>
          <t>57029563</t>
        </is>
      </c>
    </row>
    <row r="450">
      <c r="A450" s="8" t="inlineStr">
        <is>
          <t>G15389</t>
        </is>
      </c>
      <c r="B450" s="8" t="inlineStr">
        <is>
          <t>Эсенбеков Кубат Элдияревич</t>
        </is>
      </c>
      <c r="C450" s="8" t="inlineStr">
        <is>
          <t>2460737809</t>
        </is>
      </c>
      <c r="D450" s="8" t="inlineStr">
        <is>
          <t>Есть в ETM, нет в 1С</t>
        </is>
      </c>
      <c r="E450" s="8" t="inlineStr">
        <is>
          <t>1С</t>
        </is>
      </c>
      <c r="F450" s="8" t="inlineStr">
        <is>
          <t>A</t>
        </is>
      </c>
      <c r="G450" s="14" t="n">
        <v>0</v>
      </c>
      <c r="H450" s="14" t="n">
        <v>-11455</v>
      </c>
      <c r="I450" s="14" t="n"/>
      <c r="J450" s="14" t="n">
        <v>-11455</v>
      </c>
      <c r="K450" s="21" t="n">
        <v>46142.34070601852</v>
      </c>
      <c r="L450" s="21" t="n"/>
      <c r="M450" s="8" t="inlineStr"/>
      <c r="N450" s="8" t="inlineStr">
        <is>
          <t>Бухгалтер 1С</t>
        </is>
      </c>
      <c r="O450" s="8" t="inlineStr"/>
      <c r="P450" s="12" t="inlineStr">
        <is>
          <t>Списание есть в ETM, но в 1С нет реализации по этим билетам — счёт не выставлен</t>
        </is>
      </c>
      <c r="Q450" s="8" t="inlineStr">
        <is>
          <t>57240502</t>
        </is>
      </c>
    </row>
    <row r="451">
      <c r="A451" s="8" t="inlineStr">
        <is>
          <t>G07944</t>
        </is>
      </c>
      <c r="B451" s="8" t="inlineStr">
        <is>
          <t>ИП Бейшенова Д. О.</t>
        </is>
      </c>
      <c r="C451" s="8" t="inlineStr">
        <is>
          <t>2460734100</t>
        </is>
      </c>
      <c r="D451" s="8" t="inlineStr">
        <is>
          <t>Есть в ETM, нет в 1С</t>
        </is>
      </c>
      <c r="E451" s="8" t="inlineStr">
        <is>
          <t>1С</t>
        </is>
      </c>
      <c r="F451" s="8" t="inlineStr">
        <is>
          <t>A</t>
        </is>
      </c>
      <c r="G451" s="14" t="n">
        <v>0</v>
      </c>
      <c r="H451" s="14" t="n">
        <v>-11353</v>
      </c>
      <c r="I451" s="14" t="n"/>
      <c r="J451" s="14" t="n">
        <v>-11353</v>
      </c>
      <c r="K451" s="21" t="n">
        <v>46234.45101851852</v>
      </c>
      <c r="L451" s="21" t="n"/>
      <c r="M451" s="8" t="inlineStr"/>
      <c r="N451" s="8" t="inlineStr">
        <is>
          <t>Бухгалтер 1С</t>
        </is>
      </c>
      <c r="O451" s="8" t="inlineStr"/>
      <c r="P451" s="12" t="inlineStr">
        <is>
          <t>Списание есть в ETM, но в 1С нет реализации по этим билетам — счёт не выставлен</t>
        </is>
      </c>
      <c r="Q451" s="8" t="inlineStr">
        <is>
          <t>57501722</t>
        </is>
      </c>
    </row>
    <row r="452">
      <c r="A452" s="8" t="inlineStr">
        <is>
          <t>G13180</t>
        </is>
      </c>
      <c r="B452" s="8" t="inlineStr">
        <is>
          <t>Сатар уулу Санжар</t>
        </is>
      </c>
      <c r="C452" s="8" t="inlineStr">
        <is>
          <t>2461886099</t>
        </is>
      </c>
      <c r="D452" s="8" t="inlineStr">
        <is>
          <t>Есть в ETM, нет в 1С</t>
        </is>
      </c>
      <c r="E452" s="8" t="inlineStr">
        <is>
          <t>1С</t>
        </is>
      </c>
      <c r="F452" s="8" t="inlineStr">
        <is>
          <t>A</t>
        </is>
      </c>
      <c r="G452" s="14" t="n">
        <v>0</v>
      </c>
      <c r="H452" s="14" t="n">
        <v>-11318</v>
      </c>
      <c r="I452" s="14" t="n">
        <v>1500</v>
      </c>
      <c r="J452" s="14" t="n">
        <v>-11318</v>
      </c>
      <c r="K452" s="21" t="n">
        <v>46055.68738425926</v>
      </c>
      <c r="L452" s="21" t="n"/>
      <c r="M452" s="8" t="inlineStr"/>
      <c r="N452" s="8" t="inlineStr">
        <is>
          <t>Бухгалтер 1С</t>
        </is>
      </c>
      <c r="O452" s="8" t="inlineStr">
        <is>
          <t>d.mambetova|k.dzhumaev</t>
        </is>
      </c>
      <c r="P452" s="12" t="inlineStr">
        <is>
          <t>Списание есть в ETM и продажа в реестре, но в 1С нет реализации по этим билетам — счёт не выставлен</t>
        </is>
      </c>
      <c r="Q452" s="8" t="inlineStr">
        <is>
          <t>57069638</t>
        </is>
      </c>
    </row>
    <row r="453">
      <c r="A453" s="8" t="inlineStr">
        <is>
          <t>G12994</t>
        </is>
      </c>
      <c r="B453" s="8" t="inlineStr">
        <is>
          <t>Сатар уулу Санжар</t>
        </is>
      </c>
      <c r="C453" s="8" t="inlineStr">
        <is>
          <t>2459527138</t>
        </is>
      </c>
      <c r="D453" s="8" t="inlineStr">
        <is>
          <t>Есть в ETM, нет в 1С</t>
        </is>
      </c>
      <c r="E453" s="8" t="inlineStr">
        <is>
          <t>1С</t>
        </is>
      </c>
      <c r="F453" s="8" t="inlineStr">
        <is>
          <t>A</t>
        </is>
      </c>
      <c r="G453" s="14" t="n">
        <v>0</v>
      </c>
      <c r="H453" s="14" t="n">
        <v>-11046</v>
      </c>
      <c r="I453" s="14" t="n">
        <v>11046</v>
      </c>
      <c r="J453" s="14" t="n">
        <v>-11046</v>
      </c>
      <c r="K453" s="21" t="n">
        <v>46076.61832175926</v>
      </c>
      <c r="L453" s="21" t="n"/>
      <c r="M453" s="8" t="inlineStr"/>
      <c r="N453" s="8" t="inlineStr">
        <is>
          <t>Бухгалтер 1С</t>
        </is>
      </c>
      <c r="O453" s="8" t="inlineStr">
        <is>
          <t>a.toktosunova</t>
        </is>
      </c>
      <c r="P453" s="12" t="inlineStr">
        <is>
          <t>Списание есть в ETM и продажа в реестре, но в 1С нет реализации по этим билетам — счёт не выставлен</t>
        </is>
      </c>
      <c r="Q453" s="8" t="inlineStr">
        <is>
          <t>57104382</t>
        </is>
      </c>
    </row>
    <row r="454">
      <c r="A454" s="8" t="inlineStr">
        <is>
          <t>G05712</t>
        </is>
      </c>
      <c r="B454" s="8" t="inlineStr">
        <is>
          <t>Ала-Арча Авиакасса</t>
        </is>
      </c>
      <c r="C454" s="8" t="inlineStr">
        <is>
          <t>2459528459</t>
        </is>
      </c>
      <c r="D454" s="8" t="inlineStr">
        <is>
          <t>Есть в ETM, нет в 1С</t>
        </is>
      </c>
      <c r="E454" s="8" t="inlineStr">
        <is>
          <t>1С</t>
        </is>
      </c>
      <c r="F454" s="8" t="inlineStr">
        <is>
          <t>A</t>
        </is>
      </c>
      <c r="G454" s="14" t="n">
        <v>0</v>
      </c>
      <c r="H454" s="14" t="n">
        <v>-10840</v>
      </c>
      <c r="I454" s="14" t="n">
        <v>10840</v>
      </c>
      <c r="J454" s="14" t="n">
        <v>-10840</v>
      </c>
      <c r="K454" s="21" t="n">
        <v>46065.65077546296</v>
      </c>
      <c r="L454" s="21" t="n"/>
      <c r="M454" s="8" t="inlineStr"/>
      <c r="N454" s="8" t="inlineStr">
        <is>
          <t>Бухгалтер 1С</t>
        </is>
      </c>
      <c r="O454" s="8" t="inlineStr">
        <is>
          <t>r.sydykov</t>
        </is>
      </c>
      <c r="P454" s="12" t="inlineStr">
        <is>
          <t>Списание есть в ETM и продажа в реестре, но в 1С нет реализации по этим билетам — счёт не выставлен</t>
        </is>
      </c>
      <c r="Q454" s="8" t="inlineStr">
        <is>
          <t>57086924</t>
        </is>
      </c>
    </row>
    <row r="455">
      <c r="A455" s="8" t="inlineStr">
        <is>
          <t>G05145</t>
        </is>
      </c>
      <c r="B455" s="8" t="inlineStr">
        <is>
          <t>Ак-Куу Авиа</t>
        </is>
      </c>
      <c r="C455" s="8" t="inlineStr">
        <is>
          <t>2461885103</t>
        </is>
      </c>
      <c r="D455" s="8" t="inlineStr">
        <is>
          <t>Есть в реестре и 1С, нет в ETM</t>
        </is>
      </c>
      <c r="E455" s="8" t="inlineStr">
        <is>
          <t>Бот ETM</t>
        </is>
      </c>
      <c r="F455" s="8" t="inlineStr">
        <is>
          <t>A</t>
        </is>
      </c>
      <c r="G455" s="14" t="n">
        <v>10803</v>
      </c>
      <c r="H455" s="14" t="n">
        <v>0</v>
      </c>
      <c r="I455" s="14" t="n">
        <v>10803</v>
      </c>
      <c r="J455" s="14" t="n">
        <v>10803</v>
      </c>
      <c r="K455" s="21" t="n"/>
      <c r="L455" s="21" t="n">
        <v>46028</v>
      </c>
      <c r="M455" s="8" t="inlineStr"/>
      <c r="N455" s="8" t="inlineStr">
        <is>
          <t>Разработчик/поддержка бота ETM</t>
        </is>
      </c>
      <c r="O455" s="8" t="inlineStr">
        <is>
          <t>k.dzhumaev</t>
        </is>
      </c>
      <c r="P455" s="12" t="inlineStr">
        <is>
          <t>Продажа есть в реестре и в 1С, но бот не перенёс её на баланс ETM — списания нет</t>
        </is>
      </c>
      <c r="Q455" s="8" t="inlineStr"/>
    </row>
    <row r="456">
      <c r="A456" s="8" t="inlineStr">
        <is>
          <t>G06945</t>
        </is>
      </c>
      <c r="B456" s="8" t="inlineStr">
        <is>
          <t>Жибек Авиакасса</t>
        </is>
      </c>
      <c r="C456" s="8" t="inlineStr">
        <is>
          <t>2460733579</t>
        </is>
      </c>
      <c r="D456" s="8" t="inlineStr">
        <is>
          <t>Есть в ETM, нет в 1С</t>
        </is>
      </c>
      <c r="E456" s="8" t="inlineStr">
        <is>
          <t>1С</t>
        </is>
      </c>
      <c r="F456" s="8" t="inlineStr">
        <is>
          <t>A</t>
        </is>
      </c>
      <c r="G456" s="14" t="n">
        <v>0</v>
      </c>
      <c r="H456" s="14" t="n">
        <v>-10573</v>
      </c>
      <c r="I456" s="14" t="n">
        <v>10573</v>
      </c>
      <c r="J456" s="14" t="n">
        <v>-10573</v>
      </c>
      <c r="K456" s="21" t="n">
        <v>46036.45590277778</v>
      </c>
      <c r="L456" s="21" t="n"/>
      <c r="M456" s="8" t="inlineStr"/>
      <c r="N456" s="8" t="inlineStr">
        <is>
          <t>Бухгалтер 1С</t>
        </is>
      </c>
      <c r="O456" s="8" t="inlineStr">
        <is>
          <t>n.abdyldaeva</t>
        </is>
      </c>
      <c r="P456" s="12" t="inlineStr">
        <is>
          <t>Списание есть в ETM и продажа в реестре, но в 1С нет реализации по этим билетам — счёт не выставлен</t>
        </is>
      </c>
      <c r="Q456" s="8" t="inlineStr">
        <is>
          <t>57026595</t>
        </is>
      </c>
    </row>
    <row r="457">
      <c r="A457" s="8" t="inlineStr">
        <is>
          <t>G12932</t>
        </is>
      </c>
      <c r="B457" s="8" t="inlineStr">
        <is>
          <t>Сатар уулу Санжар</t>
        </is>
      </c>
      <c r="C457" s="8" t="inlineStr">
        <is>
          <t>2420844135</t>
        </is>
      </c>
      <c r="D457" s="8" t="inlineStr">
        <is>
          <t>Сумма не сходится</t>
        </is>
      </c>
      <c r="E457" s="8" t="inlineStr">
        <is>
          <t>1С</t>
        </is>
      </c>
      <c r="F457" s="8" t="inlineStr">
        <is>
          <t>A</t>
        </is>
      </c>
      <c r="G457" s="14" t="n">
        <v>20649.79</v>
      </c>
      <c r="H457" s="14" t="n">
        <v>-10324.89</v>
      </c>
      <c r="I457" s="14" t="n">
        <v>10324.8924</v>
      </c>
      <c r="J457" s="14" t="n">
        <v>10324.9</v>
      </c>
      <c r="K457" s="21" t="n">
        <v>46151.43972222223</v>
      </c>
      <c r="L457" s="21" t="n">
        <v>46151</v>
      </c>
      <c r="M457" s="8" t="inlineStr"/>
      <c r="N457" s="8" t="inlineStr">
        <is>
          <t>Бухгалтер 1С</t>
        </is>
      </c>
      <c r="O457" s="8" t="inlineStr">
        <is>
          <t>b.isakov|d.mambetova</t>
        </is>
      </c>
      <c r="P457" s="12" t="inlineStr">
        <is>
          <t>Реестр (10,324.89) совпадает с ETM (10,324.89), а в 1С 20,649.79: неверная сумма в 1С</t>
        </is>
      </c>
      <c r="Q457" s="8" t="inlineStr">
        <is>
          <t>57267162,57377410</t>
        </is>
      </c>
    </row>
    <row r="458">
      <c r="A458" s="8" t="inlineStr">
        <is>
          <t>G14001</t>
        </is>
      </c>
      <c r="B458" s="8" t="inlineStr">
        <is>
          <t>Тянь-Шань Тур</t>
        </is>
      </c>
      <c r="C458" s="8" t="inlineStr">
        <is>
          <t>2460733939</t>
        </is>
      </c>
      <c r="D458" s="8" t="inlineStr">
        <is>
          <t>Сумма не сходится</t>
        </is>
      </c>
      <c r="E458" s="8" t="inlineStr">
        <is>
          <t>1С</t>
        </is>
      </c>
      <c r="F458" s="8" t="inlineStr">
        <is>
          <t>A</t>
        </is>
      </c>
      <c r="G458" s="14" t="n">
        <v>-8746.5</v>
      </c>
      <c r="H458" s="14" t="n">
        <v>-1543.5</v>
      </c>
      <c r="I458" s="14" t="n">
        <v>1543.5</v>
      </c>
      <c r="J458" s="14" t="n">
        <v>-10290</v>
      </c>
      <c r="K458" s="21" t="n">
        <v>46164.71652777777</v>
      </c>
      <c r="L458" s="21" t="n">
        <v>46224</v>
      </c>
      <c r="M458" s="8" t="inlineStr"/>
      <c r="N458" s="8" t="inlineStr">
        <is>
          <t>Бухгалтер 1С</t>
        </is>
      </c>
      <c r="O458" s="8" t="inlineStr">
        <is>
          <t>g.omurbekova|k.dzhumaev</t>
        </is>
      </c>
      <c r="P458" s="12" t="inlineStr">
        <is>
          <t>Реестр (1,543.50) совпадает с ETM (1,543.50), а в 1С -8,746.50: неверная сумма в 1С</t>
        </is>
      </c>
      <c r="Q458" s="8" t="inlineStr">
        <is>
          <t>57306729,57475342</t>
        </is>
      </c>
    </row>
    <row r="459">
      <c r="A459" s="8" t="inlineStr">
        <is>
          <t>G02878</t>
        </is>
      </c>
      <c r="B459" s="8" t="inlineStr">
        <is>
          <t>SkyWay Travel</t>
        </is>
      </c>
      <c r="C459" s="8" t="inlineStr">
        <is>
          <t>2460735648</t>
        </is>
      </c>
      <c r="D459" s="8" t="inlineStr">
        <is>
          <t>Двойное списание в ETM</t>
        </is>
      </c>
      <c r="E459" s="8" t="inlineStr">
        <is>
          <t>Бот ETM</t>
        </is>
      </c>
      <c r="F459" s="8" t="inlineStr">
        <is>
          <t>A</t>
        </is>
      </c>
      <c r="G459" s="14" t="n">
        <v>10287</v>
      </c>
      <c r="H459" s="14" t="n">
        <v>-20574</v>
      </c>
      <c r="I459" s="14" t="n">
        <v>10287</v>
      </c>
      <c r="J459" s="14" t="n">
        <v>-10287</v>
      </c>
      <c r="K459" s="21" t="n">
        <v>46212.41649305556</v>
      </c>
      <c r="L459" s="21" t="n">
        <v>46212</v>
      </c>
      <c r="M459" s="8" t="inlineStr"/>
      <c r="N459" s="8" t="inlineStr">
        <is>
          <t>Разработчик/поддержка бота ETM</t>
        </is>
      </c>
      <c r="O459" s="8" t="inlineStr">
        <is>
          <t>k.dzhumaev</t>
        </is>
      </c>
      <c r="P459" s="12" t="inlineStr">
        <is>
          <t>В ETM 1 лишн. списание(й) одного билета на 10,287.00; без дубля сумма совпадает с 1С</t>
        </is>
      </c>
      <c r="Q459" s="8" t="inlineStr">
        <is>
          <t>57444774,57444806</t>
        </is>
      </c>
    </row>
    <row r="460">
      <c r="A460" s="8" t="inlineStr">
        <is>
          <t>G09637</t>
        </is>
      </c>
      <c r="B460" s="8" t="inlineStr">
        <is>
          <t>Кадырова Айнура Жумабекевна</t>
        </is>
      </c>
      <c r="C460" s="8" t="inlineStr">
        <is>
          <t>2459528159</t>
        </is>
      </c>
      <c r="D460" s="8" t="inlineStr">
        <is>
          <t>Есть в ETM, нет в 1С</t>
        </is>
      </c>
      <c r="E460" s="8" t="inlineStr">
        <is>
          <t>1С</t>
        </is>
      </c>
      <c r="F460" s="8" t="inlineStr">
        <is>
          <t>A</t>
        </is>
      </c>
      <c r="G460" s="14" t="n">
        <v>0</v>
      </c>
      <c r="H460" s="14" t="n">
        <v>-10257</v>
      </c>
      <c r="I460" s="14" t="n"/>
      <c r="J460" s="14" t="n">
        <v>-10257</v>
      </c>
      <c r="K460" s="21" t="n">
        <v>46119.73173611111</v>
      </c>
      <c r="L460" s="21" t="n"/>
      <c r="M460" s="8" t="inlineStr"/>
      <c r="N460" s="8" t="inlineStr">
        <is>
          <t>Бухгалтер 1С</t>
        </is>
      </c>
      <c r="O460" s="8" t="inlineStr"/>
      <c r="P460" s="12" t="inlineStr">
        <is>
          <t>Списание есть в ETM, но в 1С нет реализации по этим билетам — счёт не выставлен</t>
        </is>
      </c>
      <c r="Q460" s="8" t="inlineStr">
        <is>
          <t>57194412</t>
        </is>
      </c>
    </row>
    <row r="461">
      <c r="A461" s="8" t="inlineStr">
        <is>
          <t>G00206</t>
        </is>
      </c>
      <c r="B461" s="8" t="inlineStr">
        <is>
          <t>Aylana Tour</t>
        </is>
      </c>
      <c r="C461" s="8" t="inlineStr">
        <is>
          <t>2461885721</t>
        </is>
      </c>
      <c r="D461" s="8" t="inlineStr">
        <is>
          <t>Есть в ETM, нет в 1С</t>
        </is>
      </c>
      <c r="E461" s="8" t="inlineStr">
        <is>
          <t>1С</t>
        </is>
      </c>
      <c r="F461" s="8" t="inlineStr">
        <is>
          <t>A</t>
        </is>
      </c>
      <c r="G461" s="14" t="n">
        <v>0</v>
      </c>
      <c r="H461" s="14" t="n">
        <v>-10200</v>
      </c>
      <c r="I461" s="14" t="n">
        <v>300</v>
      </c>
      <c r="J461" s="14" t="n">
        <v>-10200</v>
      </c>
      <c r="K461" s="21" t="n">
        <v>46096.43493055556</v>
      </c>
      <c r="L461" s="21" t="n"/>
      <c r="M461" s="8" t="inlineStr"/>
      <c r="N461" s="8" t="inlineStr">
        <is>
          <t>Бухгалтер 1С</t>
        </is>
      </c>
      <c r="O461" s="8" t="inlineStr">
        <is>
          <t>d.mambetova|r.sydykov</t>
        </is>
      </c>
      <c r="P461" s="12" t="inlineStr">
        <is>
          <t>Списание есть в ETM и продажа в реестре, но в 1С нет реализации по этим билетам — счёт не выставлен</t>
        </is>
      </c>
      <c r="Q461" s="8" t="inlineStr">
        <is>
          <t>57149771</t>
        </is>
      </c>
    </row>
    <row r="462">
      <c r="A462" s="8" t="inlineStr">
        <is>
          <t>G01358</t>
        </is>
      </c>
      <c r="B462" s="8" t="inlineStr">
        <is>
          <t>Karakol Express</t>
        </is>
      </c>
      <c r="C462" s="8" t="inlineStr">
        <is>
          <t>2459531096</t>
        </is>
      </c>
      <c r="D462" s="8" t="inlineStr">
        <is>
          <t>Есть в ETM, нет в 1С</t>
        </is>
      </c>
      <c r="E462" s="8" t="inlineStr">
        <is>
          <t>1С</t>
        </is>
      </c>
      <c r="F462" s="8" t="inlineStr">
        <is>
          <t>A</t>
        </is>
      </c>
      <c r="G462" s="14" t="n">
        <v>0</v>
      </c>
      <c r="H462" s="14" t="n">
        <v>-10167</v>
      </c>
      <c r="I462" s="14" t="n">
        <v>10167</v>
      </c>
      <c r="J462" s="14" t="n">
        <v>-10167</v>
      </c>
      <c r="K462" s="21" t="n">
        <v>46025.41774305556</v>
      </c>
      <c r="L462" s="21" t="n"/>
      <c r="M462" s="8" t="inlineStr"/>
      <c r="N462" s="8" t="inlineStr">
        <is>
          <t>Бухгалтер 1С</t>
        </is>
      </c>
      <c r="O462" s="8" t="inlineStr">
        <is>
          <t>k.dzhumaev</t>
        </is>
      </c>
      <c r="P462" s="12" t="inlineStr">
        <is>
          <t>Списание есть в ETM и продажа в реестре, но в 1С нет реализации по этим билетам — счёт не выставлен</t>
        </is>
      </c>
      <c r="Q462" s="8" t="inlineStr">
        <is>
          <t>57004918</t>
        </is>
      </c>
    </row>
    <row r="463">
      <c r="A463" s="8" t="inlineStr">
        <is>
          <t>G07959</t>
        </is>
      </c>
      <c r="B463" s="8" t="inlineStr">
        <is>
          <t>ИП Бейшенова Д. О.</t>
        </is>
      </c>
      <c r="C463" s="8" t="inlineStr">
        <is>
          <t>2460738623</t>
        </is>
      </c>
      <c r="D463" s="8" t="inlineStr">
        <is>
          <t>Есть в ETM, нет в 1С</t>
        </is>
      </c>
      <c r="E463" s="8" t="inlineStr">
        <is>
          <t>1С</t>
        </is>
      </c>
      <c r="F463" s="8" t="inlineStr">
        <is>
          <t>A</t>
        </is>
      </c>
      <c r="G463" s="14" t="n">
        <v>0</v>
      </c>
      <c r="H463" s="14" t="n">
        <v>-10034</v>
      </c>
      <c r="I463" s="14" t="n">
        <v>0</v>
      </c>
      <c r="J463" s="14" t="n">
        <v>-10034</v>
      </c>
      <c r="K463" s="21" t="n">
        <v>46062.810625</v>
      </c>
      <c r="L463" s="21" t="n"/>
      <c r="M463" s="8" t="inlineStr"/>
      <c r="N463" s="8" t="inlineStr">
        <is>
          <t>Бухгалтер 1С</t>
        </is>
      </c>
      <c r="O463" s="8" t="inlineStr">
        <is>
          <t>d.mambetova|n.abdyldaeva</t>
        </is>
      </c>
      <c r="P463" s="12" t="inlineStr">
        <is>
          <t>Списание есть в ETM и продажа в реестре, но в 1С нет реализации по этим билетам — счёт не выставлен</t>
        </is>
      </c>
      <c r="Q463" s="8" t="inlineStr">
        <is>
          <t>57081949</t>
        </is>
      </c>
    </row>
    <row r="464">
      <c r="A464" s="8" t="inlineStr">
        <is>
          <t>G05375</t>
        </is>
      </c>
      <c r="B464" s="8" t="inlineStr">
        <is>
          <t>Ак-Куу Авиа</t>
        </is>
      </c>
      <c r="C464" s="8" t="inlineStr">
        <is>
          <t>2559099509|2559099510|2559099511</t>
        </is>
      </c>
      <c r="D464" s="8" t="inlineStr">
        <is>
          <t>Сумма не сходится</t>
        </is>
      </c>
      <c r="E464" s="8" t="inlineStr">
        <is>
          <t>1С</t>
        </is>
      </c>
      <c r="F464" s="8" t="inlineStr">
        <is>
          <t>A</t>
        </is>
      </c>
      <c r="G464" s="14" t="n">
        <v>93140.07000000001</v>
      </c>
      <c r="H464" s="14" t="n">
        <v>-83140.06999999999</v>
      </c>
      <c r="I464" s="14" t="n">
        <v>83140.308</v>
      </c>
      <c r="J464" s="14" t="n">
        <v>10000.00000000001</v>
      </c>
      <c r="K464" s="21" t="n">
        <v>46126.33925925926</v>
      </c>
      <c r="L464" s="21" t="n">
        <v>46126</v>
      </c>
      <c r="M464" s="8" t="inlineStr">
        <is>
          <t>ONE_WRONG_DIGIT</t>
        </is>
      </c>
      <c r="N464" s="8" t="inlineStr">
        <is>
          <t>Бухгалтер 1С</t>
        </is>
      </c>
      <c r="O464" s="8" t="inlineStr">
        <is>
          <t>k.dzhumaev</t>
        </is>
      </c>
      <c r="P464" s="12" t="inlineStr">
        <is>
          <t>Реестр (83,140.31) совпадает с ETM (83,140.07), а в 1С 93,140.07: неверная сумма в 1С</t>
        </is>
      </c>
      <c r="Q464" s="8" t="inlineStr">
        <is>
          <t>57206673,57206664,57206624</t>
        </is>
      </c>
    </row>
    <row r="465">
      <c r="A465" s="8" t="inlineStr">
        <is>
          <t>G01211</t>
        </is>
      </c>
      <c r="B465" s="8" t="inlineStr">
        <is>
          <t>Karakol Express</t>
        </is>
      </c>
      <c r="C465" s="8" t="inlineStr">
        <is>
          <t>2420845794</t>
        </is>
      </c>
      <c r="D465" s="8" t="inlineStr">
        <is>
          <t>Сумма не сходится</t>
        </is>
      </c>
      <c r="E465" s="8" t="inlineStr">
        <is>
          <t>1С</t>
        </is>
      </c>
      <c r="F465" s="8" t="inlineStr">
        <is>
          <t>A</t>
        </is>
      </c>
      <c r="G465" s="14" t="n">
        <v>31095.41</v>
      </c>
      <c r="H465" s="14" t="n">
        <v>-41095.41</v>
      </c>
      <c r="I465" s="14" t="n">
        <v>41095.410547</v>
      </c>
      <c r="J465" s="14" t="n">
        <v>-10000</v>
      </c>
      <c r="K465" s="21" t="n">
        <v>46196.82210648148</v>
      </c>
      <c r="L465" s="21" t="n">
        <v>46196</v>
      </c>
      <c r="M465" s="8" t="inlineStr">
        <is>
          <t>ONE_WRONG_DIGIT</t>
        </is>
      </c>
      <c r="N465" s="8" t="inlineStr">
        <is>
          <t>Бухгалтер 1С</t>
        </is>
      </c>
      <c r="O465" s="8" t="inlineStr">
        <is>
          <t>k.dzhumaev</t>
        </is>
      </c>
      <c r="P465" s="12" t="inlineStr">
        <is>
          <t>Реестр (41,095.41) совпадает с ETM (41,095.41), а в 1С 31,095.41: неверная сумма в 1С</t>
        </is>
      </c>
      <c r="Q465" s="8" t="inlineStr">
        <is>
          <t>57393073</t>
        </is>
      </c>
    </row>
    <row r="466">
      <c r="A466" s="8" t="inlineStr">
        <is>
          <t>G01075</t>
        </is>
      </c>
      <c r="B466" s="8" t="inlineStr">
        <is>
          <t>Karakol Express</t>
        </is>
      </c>
      <c r="C466" s="8" t="inlineStr">
        <is>
          <t>2416942444</t>
        </is>
      </c>
      <c r="D466" s="8" t="inlineStr">
        <is>
          <t>Сумма не сходится</t>
        </is>
      </c>
      <c r="E466" s="8" t="inlineStr">
        <is>
          <t>1С</t>
        </is>
      </c>
      <c r="F466" s="8" t="inlineStr">
        <is>
          <t>A</t>
        </is>
      </c>
      <c r="G466" s="14" t="n">
        <v>36062.9</v>
      </c>
      <c r="H466" s="14" t="n">
        <v>-46062.9</v>
      </c>
      <c r="I466" s="14" t="n">
        <v>46063.0474</v>
      </c>
      <c r="J466" s="14" t="n">
        <v>-10000</v>
      </c>
      <c r="K466" s="21" t="n">
        <v>46104.74037037037</v>
      </c>
      <c r="L466" s="21" t="n">
        <v>46104</v>
      </c>
      <c r="M466" s="8" t="inlineStr">
        <is>
          <t>ONE_WRONG_DIGIT</t>
        </is>
      </c>
      <c r="N466" s="8" t="inlineStr">
        <is>
          <t>Бухгалтер 1С</t>
        </is>
      </c>
      <c r="O466" s="8" t="inlineStr">
        <is>
          <t>n.abdyldaeva</t>
        </is>
      </c>
      <c r="P466" s="12" t="inlineStr">
        <is>
          <t>Реестр (46,063.05) совпадает с ETM (46,062.90), а в 1С 36,062.90: неверная сумма в 1С</t>
        </is>
      </c>
      <c r="Q466" s="8" t="inlineStr">
        <is>
          <t>57165623</t>
        </is>
      </c>
    </row>
    <row r="467">
      <c r="A467" s="8" t="inlineStr">
        <is>
          <t>G02456</t>
        </is>
      </c>
      <c r="B467" s="8" t="inlineStr">
        <is>
          <t>SkyWay Travel</t>
        </is>
      </c>
      <c r="C467" s="8" t="inlineStr">
        <is>
          <t>2420844331</t>
        </is>
      </c>
      <c r="D467" s="8" t="inlineStr">
        <is>
          <t>Сумма не сходится</t>
        </is>
      </c>
      <c r="E467" s="8" t="inlineStr">
        <is>
          <t>Бот ETM</t>
        </is>
      </c>
      <c r="F467" s="8" t="inlineStr">
        <is>
          <t>A</t>
        </is>
      </c>
      <c r="G467" s="14" t="n">
        <v>20355.61</v>
      </c>
      <c r="H467" s="14" t="n">
        <v>-10355.61</v>
      </c>
      <c r="I467" s="14" t="n">
        <v>20355.6144</v>
      </c>
      <c r="J467" s="14" t="n">
        <v>10000</v>
      </c>
      <c r="K467" s="21" t="n">
        <v>46191.74574074074</v>
      </c>
      <c r="L467" s="21" t="n">
        <v>46191</v>
      </c>
      <c r="M467" s="8" t="inlineStr">
        <is>
          <t>ONE_WRONG_DIGIT</t>
        </is>
      </c>
      <c r="N467" s="8" t="inlineStr">
        <is>
          <t>Разработчик/поддержка бота ETM</t>
        </is>
      </c>
      <c r="O467" s="8" t="inlineStr">
        <is>
          <t>b.isakov</t>
        </is>
      </c>
      <c r="P467" s="12" t="inlineStr">
        <is>
          <t>Реестр (20,355.61) совпадает с 1С (20,355.61), а в ETM 10,355.61: бот перенёс неверную сумму</t>
        </is>
      </c>
      <c r="Q467" s="8" t="inlineStr">
        <is>
          <t>57378188</t>
        </is>
      </c>
    </row>
    <row r="468">
      <c r="A468" s="8" t="inlineStr">
        <is>
          <t>G02496</t>
        </is>
      </c>
      <c r="B468" s="8" t="inlineStr">
        <is>
          <t>SkyWay Travel</t>
        </is>
      </c>
      <c r="C468" s="8" t="inlineStr">
        <is>
          <t>2420845368</t>
        </is>
      </c>
      <c r="D468" s="8" t="inlineStr">
        <is>
          <t>Сумма не сходится</t>
        </is>
      </c>
      <c r="E468" s="8" t="inlineStr">
        <is>
          <t>Бот ETM</t>
        </is>
      </c>
      <c r="F468" s="8" t="inlineStr">
        <is>
          <t>A</t>
        </is>
      </c>
      <c r="G468" s="14" t="n">
        <v>17878.11</v>
      </c>
      <c r="H468" s="14" t="n">
        <v>-7878.11</v>
      </c>
      <c r="I468" s="14" t="n">
        <v>17878.1126</v>
      </c>
      <c r="J468" s="14" t="n">
        <v>10000</v>
      </c>
      <c r="K468" s="21" t="n">
        <v>46157.52793981481</v>
      </c>
      <c r="L468" s="21" t="n">
        <v>46157</v>
      </c>
      <c r="M468" s="8" t="inlineStr"/>
      <c r="N468" s="8" t="inlineStr">
        <is>
          <t>Разработчик/поддержка бота ETM</t>
        </is>
      </c>
      <c r="O468" s="8" t="inlineStr">
        <is>
          <t>r.sydykov</t>
        </is>
      </c>
      <c r="P468" s="12" t="inlineStr">
        <is>
          <t>Реестр (17,878.11) совпадает с 1С (17,878.11), а в ETM 7,878.11: бот перенёс неверную сумму</t>
        </is>
      </c>
      <c r="Q468" s="8" t="inlineStr">
        <is>
          <t>57286612</t>
        </is>
      </c>
    </row>
    <row r="469">
      <c r="A469" s="8" t="inlineStr">
        <is>
          <t>G03330</t>
        </is>
      </c>
      <c r="B469" s="8" t="inlineStr">
        <is>
          <t>SkyWay Travel</t>
        </is>
      </c>
      <c r="C469" s="8" t="inlineStr">
        <is>
          <t>2476319039</t>
        </is>
      </c>
      <c r="D469" s="8" t="inlineStr">
        <is>
          <t>Сумма не сходится</t>
        </is>
      </c>
      <c r="E469" s="8" t="inlineStr">
        <is>
          <t>1С</t>
        </is>
      </c>
      <c r="F469" s="8" t="inlineStr">
        <is>
          <t>A</t>
        </is>
      </c>
      <c r="G469" s="14" t="n">
        <v>22629.84</v>
      </c>
      <c r="H469" s="14" t="n">
        <v>-32629.84</v>
      </c>
      <c r="I469" s="14" t="n">
        <v>32629.8384</v>
      </c>
      <c r="J469" s="14" t="n">
        <v>-10000</v>
      </c>
      <c r="K469" s="21" t="n">
        <v>46157.34952546296</v>
      </c>
      <c r="L469" s="21" t="n">
        <v>46157</v>
      </c>
      <c r="M469" s="8" t="inlineStr">
        <is>
          <t>ONE_WRONG_DIGIT</t>
        </is>
      </c>
      <c r="N469" s="8" t="inlineStr">
        <is>
          <t>Бухгалтер 1С</t>
        </is>
      </c>
      <c r="O469" s="8" t="inlineStr">
        <is>
          <t>e.satarov</t>
        </is>
      </c>
      <c r="P469" s="12" t="inlineStr">
        <is>
          <t>Реестр (32,629.84) совпадает с ETM (32,629.84), а в 1С 22,629.84: неверная сумма в 1С</t>
        </is>
      </c>
      <c r="Q469" s="8" t="inlineStr">
        <is>
          <t>57287803</t>
        </is>
      </c>
    </row>
    <row r="470">
      <c r="A470" s="8" t="inlineStr">
        <is>
          <t>G03492</t>
        </is>
      </c>
      <c r="B470" s="8" t="inlineStr">
        <is>
          <t>SkyWay Travel</t>
        </is>
      </c>
      <c r="C470" s="8" t="inlineStr">
        <is>
          <t>2552670686|2552670689</t>
        </is>
      </c>
      <c r="D470" s="8" t="inlineStr">
        <is>
          <t>Сумма не сходится</t>
        </is>
      </c>
      <c r="E470" s="8" t="inlineStr">
        <is>
          <t>Бот ETM</t>
        </is>
      </c>
      <c r="F470" s="8" t="inlineStr">
        <is>
          <t>A</t>
        </is>
      </c>
      <c r="G470" s="14" t="n">
        <v>121618.3</v>
      </c>
      <c r="H470" s="14" t="n">
        <v>-111618.3</v>
      </c>
      <c r="I470" s="14" t="n">
        <v>121618.3</v>
      </c>
      <c r="J470" s="14" t="n">
        <v>10000</v>
      </c>
      <c r="K470" s="21" t="n">
        <v>46035.37891203703</v>
      </c>
      <c r="L470" s="21" t="n">
        <v>46035</v>
      </c>
      <c r="M470" s="8" t="inlineStr">
        <is>
          <t>ONE_WRONG_DIGIT</t>
        </is>
      </c>
      <c r="N470" s="8" t="inlineStr">
        <is>
          <t>Разработчик/поддержка бота ETM</t>
        </is>
      </c>
      <c r="O470" s="8" t="inlineStr">
        <is>
          <t>e.satarov</t>
        </is>
      </c>
      <c r="P470" s="12" t="inlineStr">
        <is>
          <t>Реестр (121,618.30) совпадает с 1С (121,618.30), а в ETM 111,618.30: бот перенёс неверную сумму</t>
        </is>
      </c>
      <c r="Q470" s="8" t="inlineStr">
        <is>
          <t>57024957,57024963</t>
        </is>
      </c>
    </row>
    <row r="471">
      <c r="A471" s="8" t="inlineStr">
        <is>
          <t>G04461</t>
        </is>
      </c>
      <c r="B471" s="8" t="inlineStr">
        <is>
          <t>Абдылда уулу Б.</t>
        </is>
      </c>
      <c r="C471" s="8" t="inlineStr">
        <is>
          <t>2552669379|2552669381|2552669384|2552669387</t>
        </is>
      </c>
      <c r="D471" s="8" t="inlineStr">
        <is>
          <t>Сумма не сходится</t>
        </is>
      </c>
      <c r="E471" s="8" t="inlineStr">
        <is>
          <t>1С</t>
        </is>
      </c>
      <c r="F471" s="8" t="inlineStr">
        <is>
          <t>A</t>
        </is>
      </c>
      <c r="G471" s="14" t="n">
        <v>9557.119999999995</v>
      </c>
      <c r="H471" s="14" t="n">
        <v>442.8800000000047</v>
      </c>
      <c r="I471" s="14" t="n">
        <v>-442.828800000003</v>
      </c>
      <c r="J471" s="14" t="n">
        <v>10000</v>
      </c>
      <c r="K471" s="21" t="n">
        <v>46154.36621527778</v>
      </c>
      <c r="L471" s="21" t="n">
        <v>46154</v>
      </c>
      <c r="M471" s="8" t="inlineStr"/>
      <c r="N471" s="8" t="inlineStr">
        <is>
          <t>Бухгалтер 1С</t>
        </is>
      </c>
      <c r="O471" s="8" t="inlineStr">
        <is>
          <t>a.toktosunova|d.mambetova</t>
        </is>
      </c>
      <c r="P471" s="12" t="inlineStr">
        <is>
          <t>Реестр (-442.83) совпадает с ETM (-442.88), а в 1С 9,557.12: неверная сумма в 1С</t>
        </is>
      </c>
      <c r="Q471" s="8" t="inlineStr">
        <is>
          <t>57275904,57275978,57275884,57275944,57385345</t>
        </is>
      </c>
    </row>
    <row r="472">
      <c r="A472" s="8" t="inlineStr">
        <is>
          <t>G04584</t>
        </is>
      </c>
      <c r="B472" s="8" t="inlineStr">
        <is>
          <t>Абдылдаов Д. М.</t>
        </is>
      </c>
      <c r="C472" s="8" t="inlineStr">
        <is>
          <t>2459531165</t>
        </is>
      </c>
      <c r="D472" s="8" t="inlineStr">
        <is>
          <t>Сумма не сходится</t>
        </is>
      </c>
      <c r="E472" s="8" t="inlineStr">
        <is>
          <t>1С</t>
        </is>
      </c>
      <c r="F472" s="8" t="inlineStr">
        <is>
          <t>A</t>
        </is>
      </c>
      <c r="G472" s="14" t="n">
        <v>25328</v>
      </c>
      <c r="H472" s="14" t="n">
        <v>-35328</v>
      </c>
      <c r="I472" s="14" t="n">
        <v>35328</v>
      </c>
      <c r="J472" s="14" t="n">
        <v>-10000</v>
      </c>
      <c r="K472" s="21" t="n">
        <v>46121.75084490741</v>
      </c>
      <c r="L472" s="21" t="n">
        <v>46121</v>
      </c>
      <c r="M472" s="8" t="inlineStr">
        <is>
          <t>ONE_WRONG_DIGIT</t>
        </is>
      </c>
      <c r="N472" s="8" t="inlineStr">
        <is>
          <t>Бухгалтер 1С</t>
        </is>
      </c>
      <c r="O472" s="8" t="inlineStr">
        <is>
          <t>k.dzhumaev</t>
        </is>
      </c>
      <c r="P472" s="12" t="inlineStr">
        <is>
          <t>Реестр (35,328.00) совпадает с ETM (35,328.00), а в 1С 25,328.00: неверная сумма в 1С</t>
        </is>
      </c>
      <c r="Q472" s="8" t="inlineStr">
        <is>
          <t>57199320</t>
        </is>
      </c>
    </row>
    <row r="473">
      <c r="A473" s="8" t="inlineStr">
        <is>
          <t>G04746</t>
        </is>
      </c>
      <c r="B473" s="8" t="inlineStr">
        <is>
          <t>Ак-Куу Авиа</t>
        </is>
      </c>
      <c r="C473" s="8" t="inlineStr">
        <is>
          <t>2416942107|2416942108</t>
        </is>
      </c>
      <c r="D473" s="8" t="inlineStr">
        <is>
          <t>Сумма не сходится</t>
        </is>
      </c>
      <c r="E473" s="8" t="inlineStr">
        <is>
          <t>1С</t>
        </is>
      </c>
      <c r="F473" s="8" t="inlineStr">
        <is>
          <t>A</t>
        </is>
      </c>
      <c r="G473" s="14" t="n">
        <v>57360.64</v>
      </c>
      <c r="H473" s="14" t="n">
        <v>-47360.64</v>
      </c>
      <c r="I473" s="14" t="n">
        <v>47361.0016</v>
      </c>
      <c r="J473" s="14" t="n">
        <v>10000</v>
      </c>
      <c r="K473" s="21" t="n">
        <v>46075.3552199074</v>
      </c>
      <c r="L473" s="21" t="n">
        <v>46075</v>
      </c>
      <c r="M473" s="8" t="inlineStr">
        <is>
          <t>ONE_WRONG_DIGIT</t>
        </is>
      </c>
      <c r="N473" s="8" t="inlineStr">
        <is>
          <t>Бухгалтер 1С</t>
        </is>
      </c>
      <c r="O473" s="8" t="inlineStr">
        <is>
          <t>k.dzhumaev</t>
        </is>
      </c>
      <c r="P473" s="12" t="inlineStr">
        <is>
          <t>Реестр (47,361.00) совпадает с ETM (47,360.64), а в 1С 57,360.64: неверная сумма в 1С</t>
        </is>
      </c>
      <c r="Q473" s="8" t="inlineStr">
        <is>
          <t>57103068,57103054</t>
        </is>
      </c>
    </row>
    <row r="474">
      <c r="A474" s="8" t="inlineStr">
        <is>
          <t>G06089</t>
        </is>
      </c>
      <c r="B474" s="8" t="inlineStr">
        <is>
          <t>Байтур Трип</t>
        </is>
      </c>
      <c r="C474" s="8" t="inlineStr">
        <is>
          <t>2461886242|2461886243|2461886244|2461886246</t>
        </is>
      </c>
      <c r="D474" s="8" t="inlineStr">
        <is>
          <t>Сумма не сходится</t>
        </is>
      </c>
      <c r="E474" s="8" t="inlineStr">
        <is>
          <t>1С</t>
        </is>
      </c>
      <c r="F474" s="8" t="inlineStr">
        <is>
          <t>A</t>
        </is>
      </c>
      <c r="G474" s="14" t="n">
        <v>43468</v>
      </c>
      <c r="H474" s="14" t="n">
        <v>-53468</v>
      </c>
      <c r="I474" s="14" t="n">
        <v>53468</v>
      </c>
      <c r="J474" s="14" t="n">
        <v>-10000</v>
      </c>
      <c r="K474" s="21" t="n">
        <v>46111.38200231481</v>
      </c>
      <c r="L474" s="21" t="n">
        <v>46111</v>
      </c>
      <c r="M474" s="8" t="inlineStr">
        <is>
          <t>ONE_WRONG_DIGIT</t>
        </is>
      </c>
      <c r="N474" s="8" t="inlineStr">
        <is>
          <t>Бухгалтер 1С</t>
        </is>
      </c>
      <c r="O474" s="8" t="inlineStr">
        <is>
          <t>d.mambetova</t>
        </is>
      </c>
      <c r="P474" s="12" t="inlineStr">
        <is>
          <t>Реестр (53,468.00) совпадает с ETM (53,468.00), а в 1С 43,468.00: неверная сумма в 1С</t>
        </is>
      </c>
      <c r="Q474" s="8" t="inlineStr">
        <is>
          <t>57181390,57181439,57181422,57181352</t>
        </is>
      </c>
    </row>
    <row r="475">
      <c r="A475" s="8" t="inlineStr">
        <is>
          <t>G06201</t>
        </is>
      </c>
      <c r="B475" s="8" t="inlineStr">
        <is>
          <t>Бейшенова Н. Ч.</t>
        </is>
      </c>
      <c r="C475" s="8" t="inlineStr">
        <is>
          <t>2461885688|2461885690|2461885692</t>
        </is>
      </c>
      <c r="D475" s="8" t="inlineStr">
        <is>
          <t>Сумма не сходится</t>
        </is>
      </c>
      <c r="E475" s="8" t="inlineStr">
        <is>
          <t>1С</t>
        </is>
      </c>
      <c r="F475" s="8" t="inlineStr">
        <is>
          <t>A</t>
        </is>
      </c>
      <c r="G475" s="14" t="n">
        <v>59859</v>
      </c>
      <c r="H475" s="14" t="n">
        <v>-69859</v>
      </c>
      <c r="I475" s="14" t="n">
        <v>69859</v>
      </c>
      <c r="J475" s="14" t="n">
        <v>-10000</v>
      </c>
      <c r="K475" s="21" t="n">
        <v>46098.4462037037</v>
      </c>
      <c r="L475" s="21" t="n">
        <v>46098</v>
      </c>
      <c r="M475" s="8" t="inlineStr">
        <is>
          <t>ONE_WRONG_DIGIT</t>
        </is>
      </c>
      <c r="N475" s="8" t="inlineStr">
        <is>
          <t>Бухгалтер 1С</t>
        </is>
      </c>
      <c r="O475" s="8" t="inlineStr">
        <is>
          <t>k.dzhumaev</t>
        </is>
      </c>
      <c r="P475" s="12" t="inlineStr">
        <is>
          <t>Реестр (69,859.00) совпадает с ETM (69,859.00), а в 1С 59,859.00: неверная сумма в 1С</t>
        </is>
      </c>
      <c r="Q475" s="8" t="inlineStr">
        <is>
          <t>57154425</t>
        </is>
      </c>
    </row>
    <row r="476">
      <c r="A476" s="8" t="inlineStr">
        <is>
          <t>G06354</t>
        </is>
      </c>
      <c r="B476" s="8" t="inlineStr">
        <is>
          <t>Джолдош уулу Руслан</t>
        </is>
      </c>
      <c r="C476" s="8" t="inlineStr">
        <is>
          <t>2461882628</t>
        </is>
      </c>
      <c r="D476" s="8" t="inlineStr">
        <is>
          <t>Сумма не сходится</t>
        </is>
      </c>
      <c r="E476" s="8" t="inlineStr">
        <is>
          <t>1С</t>
        </is>
      </c>
      <c r="F476" s="8" t="inlineStr">
        <is>
          <t>A</t>
        </is>
      </c>
      <c r="G476" s="14" t="n">
        <v>8392.5</v>
      </c>
      <c r="H476" s="14" t="n">
        <v>-18392.5</v>
      </c>
      <c r="I476" s="14" t="n">
        <v>18392.5</v>
      </c>
      <c r="J476" s="14" t="n">
        <v>-10000</v>
      </c>
      <c r="K476" s="21" t="n">
        <v>46088.51883101852</v>
      </c>
      <c r="L476" s="21" t="n">
        <v>46088</v>
      </c>
      <c r="M476" s="8" t="inlineStr"/>
      <c r="N476" s="8" t="inlineStr">
        <is>
          <t>Бухгалтер 1С</t>
        </is>
      </c>
      <c r="O476" s="8" t="inlineStr">
        <is>
          <t>d.mambetova</t>
        </is>
      </c>
      <c r="P476" s="12" t="inlineStr">
        <is>
          <t>Реестр (18,392.50) совпадает с ETM (18,392.50), а в 1С 8,392.50: неверная сумма в 1С</t>
        </is>
      </c>
      <c r="Q476" s="8" t="inlineStr">
        <is>
          <t>57129633,57247220</t>
        </is>
      </c>
    </row>
    <row r="477">
      <c r="A477" s="8" t="inlineStr">
        <is>
          <t>G10906</t>
        </is>
      </c>
      <c r="B477" s="8" t="inlineStr">
        <is>
          <t>Ниязбекова Асель Сатаровна</t>
        </is>
      </c>
      <c r="C477" s="8" t="inlineStr">
        <is>
          <t>2559103618|2559103619|2559103621</t>
        </is>
      </c>
      <c r="D477" s="8" t="inlineStr">
        <is>
          <t>Сумма не сходится</t>
        </is>
      </c>
      <c r="E477" s="8" t="inlineStr">
        <is>
          <t>1С</t>
        </is>
      </c>
      <c r="F477" s="8" t="inlineStr">
        <is>
          <t>A</t>
        </is>
      </c>
      <c r="G477" s="14" t="n">
        <v>152772</v>
      </c>
      <c r="H477" s="14" t="n">
        <v>-142772</v>
      </c>
      <c r="I477" s="14" t="n">
        <v>142771.58</v>
      </c>
      <c r="J477" s="14" t="n">
        <v>10000</v>
      </c>
      <c r="K477" s="21" t="n">
        <v>46035.68589120371</v>
      </c>
      <c r="L477" s="21" t="n">
        <v>46035</v>
      </c>
      <c r="M477" s="8" t="inlineStr">
        <is>
          <t>ONE_WRONG_DIGIT</t>
        </is>
      </c>
      <c r="N477" s="8" t="inlineStr">
        <is>
          <t>Бухгалтер 1С</t>
        </is>
      </c>
      <c r="O477" s="8" t="inlineStr">
        <is>
          <t>d.mambetova</t>
        </is>
      </c>
      <c r="P477" s="12" t="inlineStr">
        <is>
          <t>Реестр (142,771.58) совпадает с ETM (142,772.00), а в 1С 152,772.00: неверная сумма в 1С</t>
        </is>
      </c>
      <c r="Q477" s="8" t="inlineStr">
        <is>
          <t>57025715</t>
        </is>
      </c>
    </row>
    <row r="478">
      <c r="A478" s="8" t="inlineStr">
        <is>
          <t>G11054</t>
        </is>
      </c>
      <c r="B478" s="8" t="inlineStr">
        <is>
          <t>ОсОО Ала-Арча Трип</t>
        </is>
      </c>
      <c r="C478" s="8" t="inlineStr">
        <is>
          <t>2552672380</t>
        </is>
      </c>
      <c r="D478" s="8" t="inlineStr">
        <is>
          <t>Сумма не сходится</t>
        </is>
      </c>
      <c r="E478" s="8" t="inlineStr">
        <is>
          <t>Бот ETM</t>
        </is>
      </c>
      <c r="F478" s="8" t="inlineStr">
        <is>
          <t>A</t>
        </is>
      </c>
      <c r="G478" s="14" t="n">
        <v>21287.81</v>
      </c>
      <c r="H478" s="14" t="n">
        <v>-31287.81</v>
      </c>
      <c r="I478" s="14" t="n">
        <v>21287.8125</v>
      </c>
      <c r="J478" s="14" t="n">
        <v>-10000</v>
      </c>
      <c r="K478" s="21" t="n">
        <v>46170.67418981482</v>
      </c>
      <c r="L478" s="21" t="n">
        <v>46170</v>
      </c>
      <c r="M478" s="8" t="inlineStr">
        <is>
          <t>ONE_WRONG_DIGIT</t>
        </is>
      </c>
      <c r="N478" s="8" t="inlineStr">
        <is>
          <t>Разработчик/поддержка бота ETM</t>
        </is>
      </c>
      <c r="O478" s="8" t="inlineStr">
        <is>
          <t>d.mambetova</t>
        </is>
      </c>
      <c r="P478" s="12" t="inlineStr">
        <is>
          <t>Реестр (21,287.81) совпадает с 1С (21,287.81), а в ETM 31,287.81: бот перенёс неверную сумму</t>
        </is>
      </c>
      <c r="Q478" s="8" t="inlineStr">
        <is>
          <t>57324831</t>
        </is>
      </c>
    </row>
    <row r="479">
      <c r="A479" s="8" t="inlineStr">
        <is>
          <t>G11208</t>
        </is>
      </c>
      <c r="B479" s="8" t="inlineStr">
        <is>
          <t>ОсОО Алтын Эйр</t>
        </is>
      </c>
      <c r="C479" s="8" t="inlineStr">
        <is>
          <t>2459530467|2459530468</t>
        </is>
      </c>
      <c r="D479" s="8" t="inlineStr">
        <is>
          <t>Сумма не сходится</t>
        </is>
      </c>
      <c r="E479" s="8" t="inlineStr">
        <is>
          <t>Бот ETM</t>
        </is>
      </c>
      <c r="F479" s="8" t="inlineStr">
        <is>
          <t>A</t>
        </is>
      </c>
      <c r="G479" s="14" t="n">
        <v>33426</v>
      </c>
      <c r="H479" s="14" t="n">
        <v>-43426</v>
      </c>
      <c r="I479" s="14" t="n">
        <v>33426</v>
      </c>
      <c r="J479" s="14" t="n">
        <v>-10000</v>
      </c>
      <c r="K479" s="21" t="n">
        <v>46166.61862268519</v>
      </c>
      <c r="L479" s="21" t="n">
        <v>46166</v>
      </c>
      <c r="M479" s="8" t="inlineStr">
        <is>
          <t>ONE_WRONG_DIGIT</t>
        </is>
      </c>
      <c r="N479" s="8" t="inlineStr">
        <is>
          <t>Разработчик/поддержка бота ETM</t>
        </is>
      </c>
      <c r="O479" s="8" t="inlineStr">
        <is>
          <t>d.mambetova</t>
        </is>
      </c>
      <c r="P479" s="12" t="inlineStr">
        <is>
          <t>Реестр (33,426.00) совпадает с 1С (33,426.00), а в ETM 43,426.00: бот перенёс неверную сумму</t>
        </is>
      </c>
      <c r="Q479" s="8" t="inlineStr">
        <is>
          <t>57313753,57313736</t>
        </is>
      </c>
    </row>
    <row r="480">
      <c r="A480" s="8" t="inlineStr">
        <is>
          <t>G11941</t>
        </is>
      </c>
      <c r="B480" s="8" t="inlineStr">
        <is>
          <t>ОсОО Тянь-Шань Вояж</t>
        </is>
      </c>
      <c r="C480" s="8" t="inlineStr">
        <is>
          <t>2559098457</t>
        </is>
      </c>
      <c r="D480" s="8" t="inlineStr">
        <is>
          <t>Сумма не сходится</t>
        </is>
      </c>
      <c r="E480" s="8" t="inlineStr">
        <is>
          <t>1С</t>
        </is>
      </c>
      <c r="F480" s="8" t="inlineStr">
        <is>
          <t>A</t>
        </is>
      </c>
      <c r="G480" s="14" t="n">
        <v>28200.76</v>
      </c>
      <c r="H480" s="14" t="n">
        <v>-18200.76</v>
      </c>
      <c r="I480" s="14" t="n">
        <v>18200.8756</v>
      </c>
      <c r="J480" s="14" t="n">
        <v>10000</v>
      </c>
      <c r="K480" s="21" t="n">
        <v>46057.47284722222</v>
      </c>
      <c r="L480" s="21" t="n">
        <v>46057</v>
      </c>
      <c r="M480" s="8" t="inlineStr">
        <is>
          <t>ONE_WRONG_DIGIT</t>
        </is>
      </c>
      <c r="N480" s="8" t="inlineStr">
        <is>
          <t>Бухгалтер 1С</t>
        </is>
      </c>
      <c r="O480" s="8" t="inlineStr">
        <is>
          <t>d.mambetova</t>
        </is>
      </c>
      <c r="P480" s="12" t="inlineStr">
        <is>
          <t>Реестр (18,200.88) совпадает с ETM (18,200.76), а в 1С 28,200.76: неверная сумма в 1С</t>
        </is>
      </c>
      <c r="Q480" s="8" t="inlineStr">
        <is>
          <t>57072384</t>
        </is>
      </c>
    </row>
    <row r="481">
      <c r="A481" s="8" t="inlineStr">
        <is>
          <t>G14094</t>
        </is>
      </c>
      <c r="B481" s="8" t="inlineStr">
        <is>
          <t>Урматов Эрлан Сагынович</t>
        </is>
      </c>
      <c r="C481" s="8" t="inlineStr">
        <is>
          <t>2460734386|2460734389</t>
        </is>
      </c>
      <c r="D481" s="8" t="inlineStr">
        <is>
          <t>Сумма не сходится</t>
        </is>
      </c>
      <c r="E481" s="8" t="inlineStr">
        <is>
          <t>Бот ETM</t>
        </is>
      </c>
      <c r="F481" s="8" t="inlineStr">
        <is>
          <t>A</t>
        </is>
      </c>
      <c r="G481" s="14" t="n">
        <v>49002</v>
      </c>
      <c r="H481" s="14" t="n">
        <v>-39002</v>
      </c>
      <c r="I481" s="14" t="n">
        <v>49002</v>
      </c>
      <c r="J481" s="14" t="n">
        <v>10000</v>
      </c>
      <c r="K481" s="21" t="n">
        <v>46084.46282407407</v>
      </c>
      <c r="L481" s="21" t="n">
        <v>46084</v>
      </c>
      <c r="M481" s="8" t="inlineStr">
        <is>
          <t>ONE_WRONG_DIGIT</t>
        </is>
      </c>
      <c r="N481" s="8" t="inlineStr">
        <is>
          <t>Разработчик/поддержка бота ETM</t>
        </is>
      </c>
      <c r="O481" s="8" t="inlineStr">
        <is>
          <t>g.omurbekova</t>
        </is>
      </c>
      <c r="P481" s="12" t="inlineStr">
        <is>
          <t>Реестр (49,002.00) совпадает с 1С (49,002.00), а в ETM 39,002.00: бот перенёс неверную сумму</t>
        </is>
      </c>
      <c r="Q481" s="8" t="inlineStr">
        <is>
          <t>57120108,57120124</t>
        </is>
      </c>
    </row>
    <row r="482">
      <c r="A482" s="8" t="inlineStr">
        <is>
          <t>G14830</t>
        </is>
      </c>
      <c r="B482" s="8" t="inlineStr">
        <is>
          <t>ЫЙЫК ЭКСПРЕСС</t>
        </is>
      </c>
      <c r="C482" s="8" t="inlineStr">
        <is>
          <t>2552672606|2552672608</t>
        </is>
      </c>
      <c r="D482" s="8" t="inlineStr">
        <is>
          <t>Сумма не сходится</t>
        </is>
      </c>
      <c r="E482" s="8" t="inlineStr">
        <is>
          <t>1С</t>
        </is>
      </c>
      <c r="F482" s="8" t="inlineStr">
        <is>
          <t>A</t>
        </is>
      </c>
      <c r="G482" s="14" t="n">
        <v>47462.08</v>
      </c>
      <c r="H482" s="14" t="n">
        <v>-37462.08</v>
      </c>
      <c r="I482" s="14" t="n">
        <v>37462.3168</v>
      </c>
      <c r="J482" s="14" t="n">
        <v>10000</v>
      </c>
      <c r="K482" s="21" t="n">
        <v>46211.39990740741</v>
      </c>
      <c r="L482" s="21" t="n">
        <v>46211</v>
      </c>
      <c r="M482" s="8" t="inlineStr">
        <is>
          <t>ONE_WRONG_DIGIT</t>
        </is>
      </c>
      <c r="N482" s="8" t="inlineStr">
        <is>
          <t>Бухгалтер 1С</t>
        </is>
      </c>
      <c r="O482" s="8" t="inlineStr">
        <is>
          <t>g.omurbekova</t>
        </is>
      </c>
      <c r="P482" s="12" t="inlineStr">
        <is>
          <t>Реестр (37,462.32) совпадает с ETM (37,462.08), а в 1С 47,462.08: неверная сумма в 1С</t>
        </is>
      </c>
      <c r="Q482" s="8" t="inlineStr">
        <is>
          <t>57441934,57441963</t>
        </is>
      </c>
    </row>
    <row r="483">
      <c r="A483" s="8" t="inlineStr">
        <is>
          <t>G15254</t>
        </is>
      </c>
      <c r="B483" s="8" t="inlineStr">
        <is>
          <t>Ыйык Тур</t>
        </is>
      </c>
      <c r="C483" s="8" t="inlineStr">
        <is>
          <t>2559102257</t>
        </is>
      </c>
      <c r="D483" s="8" t="inlineStr">
        <is>
          <t>Сумма не сходится</t>
        </is>
      </c>
      <c r="E483" s="8" t="inlineStr">
        <is>
          <t>1С</t>
        </is>
      </c>
      <c r="F483" s="8" t="inlineStr">
        <is>
          <t>A</t>
        </is>
      </c>
      <c r="G483" s="14" t="n">
        <v>40021.82</v>
      </c>
      <c r="H483" s="14" t="n">
        <v>-30021.82</v>
      </c>
      <c r="I483" s="14" t="n">
        <v>30021.9624</v>
      </c>
      <c r="J483" s="14" t="n">
        <v>10000</v>
      </c>
      <c r="K483" s="21" t="n">
        <v>46156.64002314815</v>
      </c>
      <c r="L483" s="21" t="n">
        <v>46156</v>
      </c>
      <c r="M483" s="8" t="inlineStr">
        <is>
          <t>ONE_WRONG_DIGIT</t>
        </is>
      </c>
      <c r="N483" s="8" t="inlineStr">
        <is>
          <t>Бухгалтер 1С</t>
        </is>
      </c>
      <c r="O483" s="8" t="inlineStr">
        <is>
          <t>k.dzhumaev</t>
        </is>
      </c>
      <c r="P483" s="12" t="inlineStr">
        <is>
          <t>Реестр (30,021.96) совпадает с ETM (30,021.82), а в 1С 40,021.82: неверная сумма в 1С</t>
        </is>
      </c>
      <c r="Q483" s="8" t="inlineStr">
        <is>
          <t>57284113</t>
        </is>
      </c>
    </row>
    <row r="484">
      <c r="A484" s="8" t="inlineStr">
        <is>
          <t>G15480</t>
        </is>
      </c>
      <c r="B484" s="8" t="inlineStr">
        <is>
          <t>Эсенбекова Айгуль Нурбекевна</t>
        </is>
      </c>
      <c r="C484" s="8" t="inlineStr">
        <is>
          <t>2461886403</t>
        </is>
      </c>
      <c r="D484" s="8" t="inlineStr">
        <is>
          <t>Сумма не сходится</t>
        </is>
      </c>
      <c r="E484" s="8" t="inlineStr">
        <is>
          <t>Бот ETM</t>
        </is>
      </c>
      <c r="F484" s="8" t="inlineStr">
        <is>
          <t>A</t>
        </is>
      </c>
      <c r="G484" s="14" t="n">
        <v>43830</v>
      </c>
      <c r="H484" s="14" t="n">
        <v>-53830</v>
      </c>
      <c r="I484" s="14" t="n">
        <v>43830</v>
      </c>
      <c r="J484" s="14" t="n">
        <v>-10000</v>
      </c>
      <c r="K484" s="21" t="n">
        <v>46201.81146990741</v>
      </c>
      <c r="L484" s="21" t="n">
        <v>46201</v>
      </c>
      <c r="M484" s="8" t="inlineStr">
        <is>
          <t>ONE_WRONG_DIGIT</t>
        </is>
      </c>
      <c r="N484" s="8" t="inlineStr">
        <is>
          <t>Разработчик/поддержка бота ETM</t>
        </is>
      </c>
      <c r="O484" s="8" t="inlineStr">
        <is>
          <t>r.sydykov</t>
        </is>
      </c>
      <c r="P484" s="12" t="inlineStr">
        <is>
          <t>Реестр (43,830.00) совпадает с 1С (43,830.00), а в ETM 53,830.00: бот перенёс неверную сумму</t>
        </is>
      </c>
      <c r="Q484" s="8" t="inlineStr">
        <is>
          <t>57409855</t>
        </is>
      </c>
    </row>
    <row r="485">
      <c r="A485" s="8" t="inlineStr">
        <is>
          <t>G04773</t>
        </is>
      </c>
      <c r="B485" s="8" t="inlineStr">
        <is>
          <t>Ак-Куу Авиа</t>
        </is>
      </c>
      <c r="C485" s="8" t="inlineStr">
        <is>
          <t>2416943726</t>
        </is>
      </c>
      <c r="D485" s="8" t="inlineStr">
        <is>
          <t>Сумма не сходится</t>
        </is>
      </c>
      <c r="E485" s="8" t="inlineStr">
        <is>
          <t>1С</t>
        </is>
      </c>
      <c r="F485" s="8" t="inlineStr">
        <is>
          <t>A</t>
        </is>
      </c>
      <c r="G485" s="14" t="n">
        <v>27183.63</v>
      </c>
      <c r="H485" s="14" t="n">
        <v>-37183.63</v>
      </c>
      <c r="I485" s="14" t="n">
        <v>37183.2426</v>
      </c>
      <c r="J485" s="14" t="n">
        <v>-9999.999999999996</v>
      </c>
      <c r="K485" s="21" t="n">
        <v>46188.40795138889</v>
      </c>
      <c r="L485" s="21" t="n">
        <v>46188</v>
      </c>
      <c r="M485" s="8" t="inlineStr">
        <is>
          <t>ONE_WRONG_DIGIT</t>
        </is>
      </c>
      <c r="N485" s="8" t="inlineStr">
        <is>
          <t>Бухгалтер 1С</t>
        </is>
      </c>
      <c r="O485" s="8" t="inlineStr">
        <is>
          <t>k.dzhumaev</t>
        </is>
      </c>
      <c r="P485" s="12" t="inlineStr">
        <is>
          <t>Реестр (37,183.24) совпадает с ETM (37,183.63), а в 1С 27,183.63: неверная сумма в 1С</t>
        </is>
      </c>
      <c r="Q485" s="8" t="inlineStr">
        <is>
          <t>57370002</t>
        </is>
      </c>
    </row>
    <row r="486">
      <c r="A486" s="8" t="inlineStr">
        <is>
          <t>G01876</t>
        </is>
      </c>
      <c r="B486" s="8" t="inlineStr">
        <is>
          <t>Karakol Express</t>
        </is>
      </c>
      <c r="C486" s="8" t="inlineStr">
        <is>
          <t>2559098673|2559098675</t>
        </is>
      </c>
      <c r="D486" s="8" t="inlineStr">
        <is>
          <t>Сумма не сходится</t>
        </is>
      </c>
      <c r="E486" s="8" t="inlineStr">
        <is>
          <t>1С</t>
        </is>
      </c>
      <c r="F486" s="8" t="inlineStr">
        <is>
          <t>A</t>
        </is>
      </c>
      <c r="G486" s="14" t="n">
        <v>64679.68</v>
      </c>
      <c r="H486" s="14" t="n">
        <v>-74679.67999999999</v>
      </c>
      <c r="I486" s="14" t="n">
        <v>74679.54519999999</v>
      </c>
      <c r="J486" s="14" t="n">
        <v>-9999.999999999993</v>
      </c>
      <c r="K486" s="21" t="n">
        <v>46123.36557870371</v>
      </c>
      <c r="L486" s="21" t="n">
        <v>46123</v>
      </c>
      <c r="M486" s="8" t="inlineStr">
        <is>
          <t>ONE_WRONG_DIGIT</t>
        </is>
      </c>
      <c r="N486" s="8" t="inlineStr">
        <is>
          <t>Бухгалтер 1С</t>
        </is>
      </c>
      <c r="O486" s="8" t="inlineStr">
        <is>
          <t>a.toktosunova</t>
        </is>
      </c>
      <c r="P486" s="12" t="inlineStr">
        <is>
          <t>Реестр (74,679.55) совпадает с ETM (74,679.68), а в 1С 64,679.68: неверная сумма в 1С</t>
        </is>
      </c>
      <c r="Q486" s="8" t="inlineStr">
        <is>
          <t>57202237,57202251</t>
        </is>
      </c>
    </row>
    <row r="487">
      <c r="A487" s="8" t="inlineStr">
        <is>
          <t>G07152</t>
        </is>
      </c>
      <c r="B487" s="8" t="inlineStr">
        <is>
          <t>Жибек Эйр</t>
        </is>
      </c>
      <c r="C487" s="8" t="inlineStr">
        <is>
          <t>2416944014|2416944016|2416944019</t>
        </is>
      </c>
      <c r="D487" s="8" t="inlineStr">
        <is>
          <t>Сумма не сходится</t>
        </is>
      </c>
      <c r="E487" s="8" t="inlineStr">
        <is>
          <t>1С</t>
        </is>
      </c>
      <c r="F487" s="8" t="inlineStr">
        <is>
          <t>A</t>
        </is>
      </c>
      <c r="G487" s="14" t="n">
        <v>86824.05</v>
      </c>
      <c r="H487" s="14" t="n">
        <v>-96824.04999999999</v>
      </c>
      <c r="I487" s="14" t="n">
        <v>96823.66750000001</v>
      </c>
      <c r="J487" s="14" t="n">
        <v>-9999.999999999985</v>
      </c>
      <c r="K487" s="21" t="n">
        <v>46208.38952546296</v>
      </c>
      <c r="L487" s="21" t="n">
        <v>46208</v>
      </c>
      <c r="M487" s="8" t="inlineStr">
        <is>
          <t>ONE_WRONG_DIGIT</t>
        </is>
      </c>
      <c r="N487" s="8" t="inlineStr">
        <is>
          <t>Бухгалтер 1С</t>
        </is>
      </c>
      <c r="O487" s="8" t="inlineStr">
        <is>
          <t>d.mambetova</t>
        </is>
      </c>
      <c r="P487" s="12" t="inlineStr">
        <is>
          <t>Реестр (96,823.67) совпадает с ETM (96,824.05), а в 1С 86,824.05: неверная сумма в 1С</t>
        </is>
      </c>
      <c r="Q487" s="8" t="inlineStr">
        <is>
          <t>57431994,57432032,57432067</t>
        </is>
      </c>
    </row>
    <row r="488">
      <c r="A488" s="8" t="inlineStr">
        <is>
          <t>G09939</t>
        </is>
      </c>
      <c r="B488" s="8" t="inlineStr">
        <is>
          <t>МУРАС ТРИП</t>
        </is>
      </c>
      <c r="C488" s="8" t="inlineStr">
        <is>
          <t>2459528760</t>
        </is>
      </c>
      <c r="D488" s="8" t="inlineStr">
        <is>
          <t>Сумма не сходится</t>
        </is>
      </c>
      <c r="E488" s="8" t="inlineStr">
        <is>
          <t>1С</t>
        </is>
      </c>
      <c r="F488" s="8" t="inlineStr">
        <is>
          <t>A</t>
        </is>
      </c>
      <c r="G488" s="14" t="n">
        <v>19505</v>
      </c>
      <c r="H488" s="14" t="n">
        <v>-9752.5</v>
      </c>
      <c r="I488" s="14" t="n">
        <v>9752.5</v>
      </c>
      <c r="J488" s="14" t="n">
        <v>9752.5</v>
      </c>
      <c r="K488" s="21" t="n">
        <v>46151.57797453704</v>
      </c>
      <c r="L488" s="21" t="n">
        <v>46151</v>
      </c>
      <c r="M488" s="8" t="inlineStr"/>
      <c r="N488" s="8" t="inlineStr">
        <is>
          <t>Бухгалтер 1С</t>
        </is>
      </c>
      <c r="O488" s="8" t="inlineStr">
        <is>
          <t>a.toktosunova</t>
        </is>
      </c>
      <c r="P488" s="12" t="inlineStr">
        <is>
          <t>Реестр (9,752.50) совпадает с ETM (9,752.50), а в 1С 19,505.00: неверная сумма в 1С</t>
        </is>
      </c>
      <c r="Q488" s="8" t="inlineStr">
        <is>
          <t>57267679,57360556</t>
        </is>
      </c>
    </row>
    <row r="489">
      <c r="A489" s="8" t="inlineStr">
        <is>
          <t>G08331</t>
        </is>
      </c>
      <c r="B489" s="8" t="inlineStr">
        <is>
          <t>ИП Муратов Э. У.</t>
        </is>
      </c>
      <c r="C489" s="8" t="inlineStr">
        <is>
          <t>2416944423|2416944424</t>
        </is>
      </c>
      <c r="D489" s="8" t="inlineStr">
        <is>
          <t>Сумма не сходится</t>
        </is>
      </c>
      <c r="E489" s="8" t="inlineStr">
        <is>
          <t>1С</t>
        </is>
      </c>
      <c r="F489" s="8" t="inlineStr">
        <is>
          <t>A</t>
        </is>
      </c>
      <c r="G489" s="14" t="n">
        <v>93719.64</v>
      </c>
      <c r="H489" s="14" t="n">
        <v>-103091.6</v>
      </c>
      <c r="I489" s="14" t="n">
        <v>103091.7306</v>
      </c>
      <c r="J489" s="14" t="n">
        <v>-9371.960000000006</v>
      </c>
      <c r="K489" s="21" t="n">
        <v>46180.50868055555</v>
      </c>
      <c r="L489" s="21" t="n">
        <v>46180</v>
      </c>
      <c r="M489" s="8" t="inlineStr"/>
      <c r="N489" s="8" t="inlineStr">
        <is>
          <t>Бухгалтер 1С</t>
        </is>
      </c>
      <c r="O489" s="8" t="inlineStr">
        <is>
          <t>k.dzhumaev</t>
        </is>
      </c>
      <c r="P489" s="12" t="inlineStr">
        <is>
          <t>Реестр (103,091.73) совпадает с ETM (103,091.60), а в 1С 93,719.64: неверная сумма в 1С</t>
        </is>
      </c>
      <c r="Q489" s="8" t="inlineStr">
        <is>
          <t>57349562,57349566</t>
        </is>
      </c>
    </row>
    <row r="490">
      <c r="A490" s="8" t="inlineStr">
        <is>
          <t>G00912</t>
        </is>
      </c>
      <c r="B490" s="8" t="inlineStr">
        <is>
          <t>Issyk-Kul Air</t>
        </is>
      </c>
      <c r="C490" s="8" t="inlineStr">
        <is>
          <t>2459529866</t>
        </is>
      </c>
      <c r="D490" s="8" t="inlineStr">
        <is>
          <t>Сумма не сходится</t>
        </is>
      </c>
      <c r="E490" s="8" t="inlineStr">
        <is>
          <t>1С</t>
        </is>
      </c>
      <c r="F490" s="8" t="inlineStr">
        <is>
          <t>A</t>
        </is>
      </c>
      <c r="G490" s="14" t="n">
        <v>32601</v>
      </c>
      <c r="H490" s="14" t="n">
        <v>-23601</v>
      </c>
      <c r="I490" s="14" t="n">
        <v>23601</v>
      </c>
      <c r="J490" s="14" t="n">
        <v>9000</v>
      </c>
      <c r="K490" s="21" t="n">
        <v>46216.77111111111</v>
      </c>
      <c r="L490" s="21" t="n">
        <v>46216</v>
      </c>
      <c r="M490" s="8" t="inlineStr">
        <is>
          <t>TRANSPOSITION</t>
        </is>
      </c>
      <c r="N490" s="8" t="inlineStr">
        <is>
          <t>Бухгалтер 1С</t>
        </is>
      </c>
      <c r="O490" s="8" t="inlineStr">
        <is>
          <t>d.mambetova</t>
        </is>
      </c>
      <c r="P490" s="12" t="inlineStr">
        <is>
          <t>Реестр (23,601.00) совпадает с ETM (23,601.00), а в 1С 32,601.00: неверная сумма в 1С</t>
        </is>
      </c>
      <c r="Q490" s="8" t="inlineStr">
        <is>
          <t>57455623</t>
        </is>
      </c>
    </row>
    <row r="491">
      <c r="A491" s="8" t="inlineStr">
        <is>
          <t>G02457</t>
        </is>
      </c>
      <c r="B491" s="8" t="inlineStr">
        <is>
          <t>SkyWay Travel</t>
        </is>
      </c>
      <c r="C491" s="8" t="inlineStr">
        <is>
          <t>2420844346|2420844349</t>
        </is>
      </c>
      <c r="D491" s="8" t="inlineStr">
        <is>
          <t>Сумма не сходится</t>
        </is>
      </c>
      <c r="E491" s="8" t="inlineStr">
        <is>
          <t>Бот ETM</t>
        </is>
      </c>
      <c r="F491" s="8" t="inlineStr">
        <is>
          <t>A</t>
        </is>
      </c>
      <c r="G491" s="14" t="n">
        <v>43009.66</v>
      </c>
      <c r="H491" s="14" t="n">
        <v>-34009.66</v>
      </c>
      <c r="I491" s="14" t="n">
        <v>43009.654</v>
      </c>
      <c r="J491" s="14" t="n">
        <v>9000</v>
      </c>
      <c r="K491" s="21" t="n">
        <v>46137.50467592593</v>
      </c>
      <c r="L491" s="21" t="n">
        <v>46137</v>
      </c>
      <c r="M491" s="8" t="inlineStr">
        <is>
          <t>TRANSPOSITION</t>
        </is>
      </c>
      <c r="N491" s="8" t="inlineStr">
        <is>
          <t>Разработчик/поддержка бота ETM</t>
        </is>
      </c>
      <c r="O491" s="8" t="inlineStr">
        <is>
          <t>n.abdyldaeva</t>
        </is>
      </c>
      <c r="P491" s="12" t="inlineStr">
        <is>
          <t>Реестр (43,009.65) совпадает с 1С (43,009.66), а в ETM 34,009.66: бот перенёс неверную сумму</t>
        </is>
      </c>
      <c r="Q491" s="8" t="inlineStr">
        <is>
          <t>57228362,57228379</t>
        </is>
      </c>
    </row>
    <row r="492">
      <c r="A492" s="8" t="inlineStr">
        <is>
          <t>G04401</t>
        </is>
      </c>
      <c r="B492" s="8" t="inlineStr">
        <is>
          <t>Абдылда уулу Б.</t>
        </is>
      </c>
      <c r="C492" s="8" t="inlineStr">
        <is>
          <t>2461886747|2461886749</t>
        </is>
      </c>
      <c r="D492" s="8" t="inlineStr">
        <is>
          <t>Сумма не сходится</t>
        </is>
      </c>
      <c r="E492" s="8" t="inlineStr">
        <is>
          <t>Бот ETM</t>
        </is>
      </c>
      <c r="F492" s="8" t="inlineStr">
        <is>
          <t>A</t>
        </is>
      </c>
      <c r="G492" s="14" t="n">
        <v>32628</v>
      </c>
      <c r="H492" s="14" t="n">
        <v>-23628</v>
      </c>
      <c r="I492" s="14" t="n">
        <v>32628</v>
      </c>
      <c r="J492" s="14" t="n">
        <v>9000</v>
      </c>
      <c r="K492" s="21" t="n">
        <v>46082.33723379629</v>
      </c>
      <c r="L492" s="21" t="n">
        <v>46082</v>
      </c>
      <c r="M492" s="8" t="inlineStr">
        <is>
          <t>TRANSPOSITION</t>
        </is>
      </c>
      <c r="N492" s="8" t="inlineStr">
        <is>
          <t>Разработчик/поддержка бота ETM</t>
        </is>
      </c>
      <c r="O492" s="8" t="inlineStr">
        <is>
          <t>e.satarov</t>
        </is>
      </c>
      <c r="P492" s="12" t="inlineStr">
        <is>
          <t>Реестр (32,628.00) совпадает с 1С (32,628.00), а в ETM 23,628.00: бот перенёс неверную сумму</t>
        </is>
      </c>
      <c r="Q492" s="8" t="inlineStr">
        <is>
          <t>57116940,57116953</t>
        </is>
      </c>
    </row>
    <row r="493">
      <c r="A493" s="8" t="inlineStr">
        <is>
          <t>G05781</t>
        </is>
      </c>
      <c r="B493" s="8" t="inlineStr">
        <is>
          <t>Ала-Арча Тревел</t>
        </is>
      </c>
      <c r="C493" s="8" t="inlineStr">
        <is>
          <t>2460735828</t>
        </is>
      </c>
      <c r="D493" s="8" t="inlineStr">
        <is>
          <t>Сумма не сходится</t>
        </is>
      </c>
      <c r="E493" s="8" t="inlineStr">
        <is>
          <t>1С</t>
        </is>
      </c>
      <c r="F493" s="8" t="inlineStr">
        <is>
          <t>A</t>
        </is>
      </c>
      <c r="G493" s="14" t="n">
        <v>10177</v>
      </c>
      <c r="H493" s="14" t="n">
        <v>-1177</v>
      </c>
      <c r="I493" s="14" t="n">
        <v>1177</v>
      </c>
      <c r="J493" s="14" t="n">
        <v>9000</v>
      </c>
      <c r="K493" s="21" t="n">
        <v>46161.4237037037</v>
      </c>
      <c r="L493" s="21" t="n">
        <v>46161</v>
      </c>
      <c r="M493" s="8" t="inlineStr"/>
      <c r="N493" s="8" t="inlineStr">
        <is>
          <t>Бухгалтер 1С</t>
        </is>
      </c>
      <c r="O493" s="8" t="inlineStr">
        <is>
          <t>k.dzhumaev</t>
        </is>
      </c>
      <c r="P493" s="12" t="inlineStr">
        <is>
          <t>Реестр (1,177.00) совпадает с ETM (1,177.00), а в 1С 10,177.00: неверная сумма в 1С</t>
        </is>
      </c>
      <c r="Q493" s="8" t="inlineStr">
        <is>
          <t>57298866</t>
        </is>
      </c>
    </row>
    <row r="494">
      <c r="A494" s="8" t="inlineStr">
        <is>
          <t>G10151</t>
        </is>
      </c>
      <c r="B494" s="8" t="inlineStr">
        <is>
          <t>Манас Вояж</t>
        </is>
      </c>
      <c r="C494" s="8" t="inlineStr">
        <is>
          <t>2552668361</t>
        </is>
      </c>
      <c r="D494" s="8" t="inlineStr">
        <is>
          <t>Сумма не сходится</t>
        </is>
      </c>
      <c r="E494" s="8" t="inlineStr">
        <is>
          <t>Бот ETM</t>
        </is>
      </c>
      <c r="F494" s="8" t="inlineStr">
        <is>
          <t>A</t>
        </is>
      </c>
      <c r="G494" s="14" t="n">
        <v>43272.66</v>
      </c>
      <c r="H494" s="14" t="n">
        <v>-34272.66</v>
      </c>
      <c r="I494" s="14" t="n">
        <v>43272.6625</v>
      </c>
      <c r="J494" s="14" t="n">
        <v>9000</v>
      </c>
      <c r="K494" s="21" t="n">
        <v>46152.67913194445</v>
      </c>
      <c r="L494" s="21" t="n">
        <v>46152</v>
      </c>
      <c r="M494" s="8" t="inlineStr">
        <is>
          <t>TRANSPOSITION</t>
        </is>
      </c>
      <c r="N494" s="8" t="inlineStr">
        <is>
          <t>Разработчик/поддержка бота ETM</t>
        </is>
      </c>
      <c r="O494" s="8" t="inlineStr">
        <is>
          <t>k.dzhumaev</t>
        </is>
      </c>
      <c r="P494" s="12" t="inlineStr">
        <is>
          <t>Реестр (43,272.66) совпадает с 1С (43,272.66), а в ETM 34,272.66: бот перенёс неверную сумму</t>
        </is>
      </c>
      <c r="Q494" s="8" t="inlineStr">
        <is>
          <t>57269476</t>
        </is>
      </c>
    </row>
    <row r="495">
      <c r="A495" s="8" t="inlineStr">
        <is>
          <t>G11795</t>
        </is>
      </c>
      <c r="B495" s="8" t="inlineStr">
        <is>
          <t>ОсОО Кок-Жайык Лайн</t>
        </is>
      </c>
      <c r="C495" s="8" t="inlineStr">
        <is>
          <t>2459531991</t>
        </is>
      </c>
      <c r="D495" s="8" t="inlineStr">
        <is>
          <t>Сумма не сходится</t>
        </is>
      </c>
      <c r="E495" s="8" t="inlineStr">
        <is>
          <t>Бот ETM</t>
        </is>
      </c>
      <c r="F495" s="8" t="inlineStr">
        <is>
          <t>A</t>
        </is>
      </c>
      <c r="G495" s="14" t="n">
        <v>12774</v>
      </c>
      <c r="H495" s="14" t="n">
        <v>-21774</v>
      </c>
      <c r="I495" s="14" t="n">
        <v>12774</v>
      </c>
      <c r="J495" s="14" t="n">
        <v>-9000</v>
      </c>
      <c r="K495" s="21" t="n">
        <v>46159.34866898148</v>
      </c>
      <c r="L495" s="21" t="n">
        <v>46159</v>
      </c>
      <c r="M495" s="8" t="inlineStr">
        <is>
          <t>TRANSPOSITION</t>
        </is>
      </c>
      <c r="N495" s="8" t="inlineStr">
        <is>
          <t>Разработчик/поддержка бота ETM</t>
        </is>
      </c>
      <c r="O495" s="8" t="inlineStr">
        <is>
          <t>n.abdyldaeva</t>
        </is>
      </c>
      <c r="P495" s="12" t="inlineStr">
        <is>
          <t>Реестр (12,774.00) совпадает с 1С (12,774.00), а в ETM 21,774.00: бот перенёс неверную сумму</t>
        </is>
      </c>
      <c r="Q495" s="8" t="inlineStr">
        <is>
          <t>57294085</t>
        </is>
      </c>
    </row>
    <row r="496">
      <c r="A496" s="8" t="inlineStr">
        <is>
          <t>G11902</t>
        </is>
      </c>
      <c r="B496" s="8" t="inlineStr">
        <is>
          <t>ОсОО Тянь-Шань Вояж</t>
        </is>
      </c>
      <c r="C496" s="8" t="inlineStr">
        <is>
          <t>2460735858</t>
        </is>
      </c>
      <c r="D496" s="8" t="inlineStr">
        <is>
          <t>Сумма не сходится</t>
        </is>
      </c>
      <c r="E496" s="8" t="inlineStr">
        <is>
          <t>1С</t>
        </is>
      </c>
      <c r="F496" s="8" t="inlineStr">
        <is>
          <t>A</t>
        </is>
      </c>
      <c r="G496" s="14" t="n">
        <v>10521</v>
      </c>
      <c r="H496" s="14" t="n">
        <v>-1521</v>
      </c>
      <c r="I496" s="14" t="n">
        <v>1521</v>
      </c>
      <c r="J496" s="14" t="n">
        <v>9000</v>
      </c>
      <c r="K496" s="21" t="n">
        <v>46157.48056712963</v>
      </c>
      <c r="L496" s="21" t="n">
        <v>46157</v>
      </c>
      <c r="M496" s="8" t="inlineStr"/>
      <c r="N496" s="8" t="inlineStr">
        <is>
          <t>Бухгалтер 1С</t>
        </is>
      </c>
      <c r="O496" s="8" t="inlineStr">
        <is>
          <t>d.mambetova</t>
        </is>
      </c>
      <c r="P496" s="12" t="inlineStr">
        <is>
          <t>Реестр (1,521.00) совпадает с ETM (1,521.00), а в 1С 10,521.00: неверная сумма в 1С</t>
        </is>
      </c>
      <c r="Q496" s="8" t="inlineStr">
        <is>
          <t>57286829</t>
        </is>
      </c>
    </row>
    <row r="497">
      <c r="A497" s="8" t="inlineStr">
        <is>
          <t>G13184</t>
        </is>
      </c>
      <c r="B497" s="8" t="inlineStr">
        <is>
          <t>Сатар уулу Санжар</t>
        </is>
      </c>
      <c r="C497" s="8" t="inlineStr">
        <is>
          <t>2461886499|2461886501</t>
        </is>
      </c>
      <c r="D497" s="8" t="inlineStr">
        <is>
          <t>Сумма не сходится</t>
        </is>
      </c>
      <c r="E497" s="8" t="inlineStr">
        <is>
          <t>Бот ETM</t>
        </is>
      </c>
      <c r="F497" s="8" t="inlineStr">
        <is>
          <t>A</t>
        </is>
      </c>
      <c r="G497" s="14" t="n">
        <v>34934</v>
      </c>
      <c r="H497" s="14" t="n">
        <v>-43934</v>
      </c>
      <c r="I497" s="14" t="n">
        <v>34934</v>
      </c>
      <c r="J497" s="14" t="n">
        <v>-9000</v>
      </c>
      <c r="K497" s="21" t="n">
        <v>46036.43601851852</v>
      </c>
      <c r="L497" s="21" t="n">
        <v>46036</v>
      </c>
      <c r="M497" s="8" t="inlineStr">
        <is>
          <t>TRANSPOSITION</t>
        </is>
      </c>
      <c r="N497" s="8" t="inlineStr">
        <is>
          <t>Разработчик/поддержка бота ETM</t>
        </is>
      </c>
      <c r="O497" s="8" t="inlineStr">
        <is>
          <t>k.dzhumaev</t>
        </is>
      </c>
      <c r="P497" s="12" t="inlineStr">
        <is>
          <t>Реестр (34,934.00) совпадает с 1С (34,934.00), а в ETM 43,934.00: бот перенёс неверную сумму</t>
        </is>
      </c>
      <c r="Q497" s="8" t="inlineStr">
        <is>
          <t>57028269,57028308</t>
        </is>
      </c>
    </row>
    <row r="498">
      <c r="A498" s="8" t="inlineStr">
        <is>
          <t>G13622</t>
        </is>
      </c>
      <c r="B498" s="8" t="inlineStr">
        <is>
          <t>ТАЛАС ВОЯЖ</t>
        </is>
      </c>
      <c r="C498" s="8" t="inlineStr">
        <is>
          <t>2460737715</t>
        </is>
      </c>
      <c r="D498" s="8" t="inlineStr">
        <is>
          <t>Сумма не сходится</t>
        </is>
      </c>
      <c r="E498" s="8" t="inlineStr">
        <is>
          <t>Бот ETM</t>
        </is>
      </c>
      <c r="F498" s="8" t="inlineStr">
        <is>
          <t>A</t>
        </is>
      </c>
      <c r="G498" s="14" t="n">
        <v>43850</v>
      </c>
      <c r="H498" s="14" t="n">
        <v>-34850</v>
      </c>
      <c r="I498" s="14" t="n">
        <v>43850</v>
      </c>
      <c r="J498" s="14" t="n">
        <v>9000</v>
      </c>
      <c r="K498" s="21" t="n">
        <v>46157.41971064815</v>
      </c>
      <c r="L498" s="21" t="n">
        <v>46157</v>
      </c>
      <c r="M498" s="8" t="inlineStr">
        <is>
          <t>TRANSPOSITION</t>
        </is>
      </c>
      <c r="N498" s="8" t="inlineStr">
        <is>
          <t>Разработчик/поддержка бота ETM</t>
        </is>
      </c>
      <c r="O498" s="8" t="inlineStr">
        <is>
          <t>k.dzhumaev</t>
        </is>
      </c>
      <c r="P498" s="12" t="inlineStr">
        <is>
          <t>Реестр (43,850.00) совпадает с 1С (43,850.00), а в ETM 34,850.00: бот перенёс неверную сумму</t>
        </is>
      </c>
      <c r="Q498" s="8" t="inlineStr">
        <is>
          <t>57287890</t>
        </is>
      </c>
    </row>
    <row r="499">
      <c r="A499" s="8" t="inlineStr">
        <is>
          <t>G14031</t>
        </is>
      </c>
      <c r="B499" s="8" t="inlineStr">
        <is>
          <t>Тянь-Шань Тур</t>
        </is>
      </c>
      <c r="C499" s="8" t="inlineStr">
        <is>
          <t>2476318306</t>
        </is>
      </c>
      <c r="D499" s="8" t="inlineStr">
        <is>
          <t>Сумма не сходится</t>
        </is>
      </c>
      <c r="E499" s="8" t="inlineStr">
        <is>
          <t>Бот ETM</t>
        </is>
      </c>
      <c r="F499" s="8" t="inlineStr">
        <is>
          <t>A</t>
        </is>
      </c>
      <c r="G499" s="14" t="n">
        <v>23546.28</v>
      </c>
      <c r="H499" s="14" t="n">
        <v>-32546.28</v>
      </c>
      <c r="I499" s="14" t="n">
        <v>23546.28</v>
      </c>
      <c r="J499" s="14" t="n">
        <v>-9000</v>
      </c>
      <c r="K499" s="21" t="n">
        <v>46041.55494212963</v>
      </c>
      <c r="L499" s="21" t="n">
        <v>46041</v>
      </c>
      <c r="M499" s="8" t="inlineStr">
        <is>
          <t>TRANSPOSITION</t>
        </is>
      </c>
      <c r="N499" s="8" t="inlineStr">
        <is>
          <t>Разработчик/поддержка бота ETM</t>
        </is>
      </c>
      <c r="O499" s="8" t="inlineStr">
        <is>
          <t>d.mambetova</t>
        </is>
      </c>
      <c r="P499" s="12" t="inlineStr">
        <is>
          <t>Реестр (23,546.28) совпадает с 1С (23,546.28), а в ETM 32,546.28: бот перенёс неверную сумму</t>
        </is>
      </c>
      <c r="Q499" s="8" t="inlineStr">
        <is>
          <t>57039343</t>
        </is>
      </c>
    </row>
    <row r="500">
      <c r="A500" s="8" t="inlineStr">
        <is>
          <t>G15124</t>
        </is>
      </c>
      <c r="B500" s="8" t="inlineStr">
        <is>
          <t>Ыйык Тур</t>
        </is>
      </c>
      <c r="C500" s="8" t="inlineStr">
        <is>
          <t>2461885583</t>
        </is>
      </c>
      <c r="D500" s="8" t="inlineStr">
        <is>
          <t>Сумма не сходится</t>
        </is>
      </c>
      <c r="E500" s="8" t="inlineStr">
        <is>
          <t>1С</t>
        </is>
      </c>
      <c r="F500" s="8" t="inlineStr">
        <is>
          <t>A</t>
        </is>
      </c>
      <c r="G500" s="14" t="n">
        <v>43709</v>
      </c>
      <c r="H500" s="14" t="n">
        <v>-34709</v>
      </c>
      <c r="I500" s="14" t="n">
        <v>34709</v>
      </c>
      <c r="J500" s="14" t="n">
        <v>9000</v>
      </c>
      <c r="K500" s="21" t="n">
        <v>46205.76137731481</v>
      </c>
      <c r="L500" s="21" t="n">
        <v>46205</v>
      </c>
      <c r="M500" s="8" t="inlineStr">
        <is>
          <t>TRANSPOSITION</t>
        </is>
      </c>
      <c r="N500" s="8" t="inlineStr">
        <is>
          <t>Бухгалтер 1С</t>
        </is>
      </c>
      <c r="O500" s="8" t="inlineStr">
        <is>
          <t>d.mambetova</t>
        </is>
      </c>
      <c r="P500" s="12" t="inlineStr">
        <is>
          <t>Реестр (34,709.00) совпадает с ETM (34,709.00), а в 1С 43,709.00: неверная сумма в 1С</t>
        </is>
      </c>
      <c r="Q500" s="8" t="inlineStr">
        <is>
          <t>57422099</t>
        </is>
      </c>
    </row>
    <row r="501">
      <c r="A501" s="8" t="inlineStr">
        <is>
          <t>G09453</t>
        </is>
      </c>
      <c r="B501" s="8" t="inlineStr">
        <is>
          <t>КУТ ЭЙР</t>
        </is>
      </c>
      <c r="C501" s="8" t="inlineStr">
        <is>
          <t>2416945654|2416945655</t>
        </is>
      </c>
      <c r="D501" s="8" t="inlineStr">
        <is>
          <t>Сумма не сходится</t>
        </is>
      </c>
      <c r="E501" s="8" t="inlineStr">
        <is>
          <t>1С</t>
        </is>
      </c>
      <c r="F501" s="8" t="inlineStr">
        <is>
          <t>A</t>
        </is>
      </c>
      <c r="G501" s="14" t="n">
        <v>89555.92</v>
      </c>
      <c r="H501" s="14" t="n">
        <v>-80600.33</v>
      </c>
      <c r="I501" s="14" t="n">
        <v>80599.93030000001</v>
      </c>
      <c r="J501" s="14" t="n">
        <v>8955.589999999997</v>
      </c>
      <c r="K501" s="21" t="n">
        <v>46045.55770833333</v>
      </c>
      <c r="L501" s="21" t="n">
        <v>46045</v>
      </c>
      <c r="M501" s="8" t="inlineStr"/>
      <c r="N501" s="8" t="inlineStr">
        <is>
          <t>Бухгалтер 1С</t>
        </is>
      </c>
      <c r="O501" s="8" t="inlineStr">
        <is>
          <t>d.mambetova</t>
        </is>
      </c>
      <c r="P501" s="12" t="inlineStr">
        <is>
          <t>Реестр (80,599.93) совпадает с ETM (80,600.33), а в 1С 89,555.92: неверная сумма в 1С</t>
        </is>
      </c>
      <c r="Q501" s="8" t="inlineStr">
        <is>
          <t>57048415</t>
        </is>
      </c>
    </row>
    <row r="502">
      <c r="A502" s="8" t="inlineStr">
        <is>
          <t>G12989</t>
        </is>
      </c>
      <c r="B502" s="8" t="inlineStr">
        <is>
          <t>Сатар уулу Санжар</t>
        </is>
      </c>
      <c r="C502" s="8" t="inlineStr">
        <is>
          <t>2459526615|2459526617</t>
        </is>
      </c>
      <c r="D502" s="8" t="inlineStr">
        <is>
          <t>Сумма не сходится</t>
        </is>
      </c>
      <c r="E502" s="8" t="inlineStr">
        <is>
          <t>1С</t>
        </is>
      </c>
      <c r="F502" s="8" t="inlineStr">
        <is>
          <t>A</t>
        </is>
      </c>
      <c r="G502" s="14" t="n">
        <v>89456</v>
      </c>
      <c r="H502" s="14" t="n">
        <v>-98401.60000000001</v>
      </c>
      <c r="I502" s="14" t="n">
        <v>98401.60000000001</v>
      </c>
      <c r="J502" s="14" t="n">
        <v>-8945.600000000006</v>
      </c>
      <c r="K502" s="21" t="n">
        <v>46100.74149305555</v>
      </c>
      <c r="L502" s="21" t="n">
        <v>46100</v>
      </c>
      <c r="M502" s="8" t="inlineStr"/>
      <c r="N502" s="8" t="inlineStr">
        <is>
          <t>Бухгалтер 1С</t>
        </is>
      </c>
      <c r="O502" s="8" t="inlineStr">
        <is>
          <t>k.dzhumaev</t>
        </is>
      </c>
      <c r="P502" s="12" t="inlineStr">
        <is>
          <t>Реестр (98,401.60) совпадает с ETM (98,401.60), а в 1С 89,456.00: неверная сумма в 1С</t>
        </is>
      </c>
      <c r="Q502" s="8" t="inlineStr">
        <is>
          <t>57156911</t>
        </is>
      </c>
    </row>
    <row r="503">
      <c r="A503" s="8" t="inlineStr">
        <is>
          <t>G07731</t>
        </is>
      </c>
      <c r="B503" s="8" t="inlineStr">
        <is>
          <t>ИП Абдылдаова У. О.</t>
        </is>
      </c>
      <c r="C503" s="8" t="inlineStr">
        <is>
          <t>2552670056|2552670059</t>
        </is>
      </c>
      <c r="D503" s="8" t="inlineStr">
        <is>
          <t>Сумма не сходится</t>
        </is>
      </c>
      <c r="E503" s="8" t="inlineStr">
        <is>
          <t>Бот ETM</t>
        </is>
      </c>
      <c r="F503" s="8" t="inlineStr">
        <is>
          <t>A</t>
        </is>
      </c>
      <c r="G503" s="14" t="n">
        <v>85672.53999999999</v>
      </c>
      <c r="H503" s="14" t="n">
        <v>-94239.78999999999</v>
      </c>
      <c r="I503" s="14" t="n">
        <v>85672.54999999999</v>
      </c>
      <c r="J503" s="14" t="n">
        <v>-8567.25</v>
      </c>
      <c r="K503" s="21" t="n">
        <v>46208.6546875</v>
      </c>
      <c r="L503" s="21" t="n">
        <v>46208</v>
      </c>
      <c r="M503" s="8" t="inlineStr"/>
      <c r="N503" s="8" t="inlineStr">
        <is>
          <t>Разработчик/поддержка бота ETM</t>
        </is>
      </c>
      <c r="O503" s="8" t="inlineStr">
        <is>
          <t>r.sydykov</t>
        </is>
      </c>
      <c r="P503" s="12" t="inlineStr">
        <is>
          <t>Реестр (85,672.55) совпадает с 1С (85,672.54), а в ETM 94,239.79: бот перенёс неверную сумму</t>
        </is>
      </c>
      <c r="Q503" s="8" t="inlineStr">
        <is>
          <t>57431769</t>
        </is>
      </c>
    </row>
    <row r="504">
      <c r="A504" s="8" t="inlineStr">
        <is>
          <t>G09278</t>
        </is>
      </c>
      <c r="B504" s="8" t="inlineStr">
        <is>
          <t>ИССЫК ТРИП</t>
        </is>
      </c>
      <c r="C504" s="8" t="inlineStr">
        <is>
          <t>2552668835|2552668836|2552668839</t>
        </is>
      </c>
      <c r="D504" s="8" t="inlineStr">
        <is>
          <t>Сумма не сходится</t>
        </is>
      </c>
      <c r="E504" s="8" t="inlineStr">
        <is>
          <t>1С</t>
        </is>
      </c>
      <c r="F504" s="8" t="inlineStr">
        <is>
          <t>A</t>
        </is>
      </c>
      <c r="G504" s="14" t="n">
        <v>82501.53</v>
      </c>
      <c r="H504" s="14" t="n">
        <v>-74251.38</v>
      </c>
      <c r="I504" s="14" t="n">
        <v>74250.9828</v>
      </c>
      <c r="J504" s="14" t="n">
        <v>8250.149999999994</v>
      </c>
      <c r="K504" s="21" t="n">
        <v>46048.7321875</v>
      </c>
      <c r="L504" s="21" t="n">
        <v>46048</v>
      </c>
      <c r="M504" s="8" t="inlineStr"/>
      <c r="N504" s="8" t="inlineStr">
        <is>
          <t>Бухгалтер 1С</t>
        </is>
      </c>
      <c r="O504" s="8" t="inlineStr">
        <is>
          <t>b.isakov</t>
        </is>
      </c>
      <c r="P504" s="12" t="inlineStr">
        <is>
          <t>Реестр (74,250.98) совпадает с ETM (74,251.38), а в 1С 82,501.53: неверная сумма в 1С</t>
        </is>
      </c>
      <c r="Q504" s="8" t="inlineStr">
        <is>
          <t>57053781,57053714,57053744</t>
        </is>
      </c>
    </row>
    <row r="505">
      <c r="A505" s="8" t="inlineStr">
        <is>
          <t>G04134</t>
        </is>
      </c>
      <c r="B505" s="8" t="inlineStr">
        <is>
          <t>Абдылда уулу Б.</t>
        </is>
      </c>
      <c r="C505" s="8" t="inlineStr">
        <is>
          <t>2416942960</t>
        </is>
      </c>
      <c r="D505" s="8" t="inlineStr">
        <is>
          <t>Сумма не сходится</t>
        </is>
      </c>
      <c r="E505" s="8" t="inlineStr">
        <is>
          <t>Бот ETM</t>
        </is>
      </c>
      <c r="F505" s="8" t="inlineStr">
        <is>
          <t>A</t>
        </is>
      </c>
      <c r="G505" s="14" t="n">
        <v>6094.550000000003</v>
      </c>
      <c r="H505" s="14" t="n">
        <v>-14194.55</v>
      </c>
      <c r="I505" s="14" t="n">
        <v>6094.550000000003</v>
      </c>
      <c r="J505" s="14" t="n">
        <v>-8100</v>
      </c>
      <c r="K505" s="21" t="n">
        <v>46072.5125462963</v>
      </c>
      <c r="L505" s="21" t="n">
        <v>46072</v>
      </c>
      <c r="M505" s="8" t="inlineStr"/>
      <c r="N505" s="8" t="inlineStr">
        <is>
          <t>Разработчик/поддержка бота ETM</t>
        </is>
      </c>
      <c r="O505" s="8" t="inlineStr">
        <is>
          <t>a.toktosunova|g.omurbekova</t>
        </is>
      </c>
      <c r="P505" s="12" t="inlineStr">
        <is>
          <t>Реестр (6,094.55) совпадает с 1С (6,094.55), а в ETM 14,194.55: бот перенёс неверную сумму</t>
        </is>
      </c>
      <c r="Q505" s="8" t="inlineStr">
        <is>
          <t>57098210,57152803</t>
        </is>
      </c>
    </row>
    <row r="506">
      <c r="A506" s="8" t="inlineStr">
        <is>
          <t>G06499</t>
        </is>
      </c>
      <c r="B506" s="8" t="inlineStr">
        <is>
          <t>Джолдош уулу Эмир</t>
        </is>
      </c>
      <c r="C506" s="8" t="inlineStr">
        <is>
          <t>2559100540|2559100543</t>
        </is>
      </c>
      <c r="D506" s="8" t="inlineStr">
        <is>
          <t>Сумма не сходится</t>
        </is>
      </c>
      <c r="E506" s="8" t="inlineStr">
        <is>
          <t>Бот ETM</t>
        </is>
      </c>
      <c r="F506" s="8" t="inlineStr">
        <is>
          <t>A</t>
        </is>
      </c>
      <c r="G506" s="14" t="n">
        <v>60924.8</v>
      </c>
      <c r="H506" s="14" t="n">
        <v>-69024.8</v>
      </c>
      <c r="I506" s="14" t="n">
        <v>60924.8</v>
      </c>
      <c r="J506" s="14" t="n">
        <v>-8100</v>
      </c>
      <c r="K506" s="21" t="n">
        <v>46198.72486111111</v>
      </c>
      <c r="L506" s="21" t="n">
        <v>46198</v>
      </c>
      <c r="M506" s="8" t="inlineStr">
        <is>
          <t>TRANSPOSITION</t>
        </is>
      </c>
      <c r="N506" s="8" t="inlineStr">
        <is>
          <t>Разработчик/поддержка бота ETM</t>
        </is>
      </c>
      <c r="O506" s="8" t="inlineStr">
        <is>
          <t>g.omurbekova</t>
        </is>
      </c>
      <c r="P506" s="12" t="inlineStr">
        <is>
          <t>Реестр (60,924.80) совпадает с 1С (60,924.80), а в ETM 69,024.80: бот перенёс неверную сумму</t>
        </is>
      </c>
      <c r="Q506" s="8" t="inlineStr">
        <is>
          <t>57399550</t>
        </is>
      </c>
    </row>
    <row r="507">
      <c r="A507" s="8" t="inlineStr">
        <is>
          <t>G05303</t>
        </is>
      </c>
      <c r="B507" s="8" t="inlineStr">
        <is>
          <t>Ак-Куу Авиа</t>
        </is>
      </c>
      <c r="C507" s="8" t="inlineStr">
        <is>
          <t>2552669546|2552669549</t>
        </is>
      </c>
      <c r="D507" s="8" t="inlineStr">
        <is>
          <t>Сумма не сходится</t>
        </is>
      </c>
      <c r="E507" s="8" t="inlineStr">
        <is>
          <t>Бот ETM</t>
        </is>
      </c>
      <c r="F507" s="8" t="inlineStr">
        <is>
          <t>A</t>
        </is>
      </c>
      <c r="G507" s="14" t="n">
        <v>78605.92</v>
      </c>
      <c r="H507" s="14" t="n">
        <v>-86466.51000000001</v>
      </c>
      <c r="I507" s="14" t="n">
        <v>78605.91499999999</v>
      </c>
      <c r="J507" s="14" t="n">
        <v>-7860.590000000011</v>
      </c>
      <c r="K507" s="21" t="n">
        <v>46144.55502314815</v>
      </c>
      <c r="L507" s="21" t="n">
        <v>46144</v>
      </c>
      <c r="M507" s="8" t="inlineStr"/>
      <c r="N507" s="8" t="inlineStr">
        <is>
          <t>Разработчик/поддержка бота ETM</t>
        </is>
      </c>
      <c r="O507" s="8" t="inlineStr">
        <is>
          <t>g.omurbekova</t>
        </is>
      </c>
      <c r="P507" s="12" t="inlineStr">
        <is>
          <t>Реестр (78,605.91) совпадает с 1С (78,605.92), а в ETM 86,466.51: бот перенёс неверную сумму</t>
        </is>
      </c>
      <c r="Q507" s="8" t="inlineStr">
        <is>
          <t>57245007,57244998</t>
        </is>
      </c>
    </row>
    <row r="508">
      <c r="A508" s="8" t="inlineStr">
        <is>
          <t>G14990</t>
        </is>
      </c>
      <c r="B508" s="8" t="inlineStr">
        <is>
          <t>Ыйык Тур</t>
        </is>
      </c>
      <c r="C508" s="8" t="inlineStr">
        <is>
          <t>2420847941|2420847943</t>
        </is>
      </c>
      <c r="D508" s="8" t="inlineStr">
        <is>
          <t>Сумма не сходится</t>
        </is>
      </c>
      <c r="E508" s="8" t="inlineStr">
        <is>
          <t>1С</t>
        </is>
      </c>
      <c r="F508" s="8" t="inlineStr">
        <is>
          <t>A</t>
        </is>
      </c>
      <c r="G508" s="14" t="n">
        <v>31964.44</v>
      </c>
      <c r="H508" s="14" t="n">
        <v>-39164.44</v>
      </c>
      <c r="I508" s="14" t="n">
        <v>39164.440732</v>
      </c>
      <c r="J508" s="14" t="n">
        <v>-7200.000000000004</v>
      </c>
      <c r="K508" s="21" t="n">
        <v>46191.45274305555</v>
      </c>
      <c r="L508" s="21" t="n">
        <v>46191</v>
      </c>
      <c r="M508" s="8" t="inlineStr">
        <is>
          <t>TRANSPOSITION</t>
        </is>
      </c>
      <c r="N508" s="8" t="inlineStr">
        <is>
          <t>Бухгалтер 1С</t>
        </is>
      </c>
      <c r="O508" s="8" t="inlineStr">
        <is>
          <t>k.dzhumaev</t>
        </is>
      </c>
      <c r="P508" s="12" t="inlineStr">
        <is>
          <t>Реестр (39,164.44) совпадает с ETM (39,164.44), а в 1С 31,964.44: неверная сумма в 1С</t>
        </is>
      </c>
      <c r="Q508" s="8" t="inlineStr">
        <is>
          <t>57379288</t>
        </is>
      </c>
    </row>
    <row r="509">
      <c r="A509" s="8" t="inlineStr">
        <is>
          <t>G00322</t>
        </is>
      </c>
      <c r="B509" s="8" t="inlineStr">
        <is>
          <t>Blue Bird Travel</t>
        </is>
      </c>
      <c r="C509" s="8" t="inlineStr">
        <is>
          <t>2416942843</t>
        </is>
      </c>
      <c r="D509" s="8" t="inlineStr">
        <is>
          <t>Сумма не сходится</t>
        </is>
      </c>
      <c r="E509" s="8" t="inlineStr">
        <is>
          <t>1С</t>
        </is>
      </c>
      <c r="F509" s="8" t="inlineStr">
        <is>
          <t>A</t>
        </is>
      </c>
      <c r="G509" s="14" t="n">
        <v>29135.35</v>
      </c>
      <c r="H509" s="14" t="n">
        <v>-21935.35</v>
      </c>
      <c r="I509" s="14" t="n">
        <v>21935.103</v>
      </c>
      <c r="J509" s="14" t="n">
        <v>7200</v>
      </c>
      <c r="K509" s="21" t="n">
        <v>46104.55849537037</v>
      </c>
      <c r="L509" s="21" t="n">
        <v>46104</v>
      </c>
      <c r="M509" s="8" t="inlineStr">
        <is>
          <t>TRANSPOSITION</t>
        </is>
      </c>
      <c r="N509" s="8" t="inlineStr">
        <is>
          <t>Бухгалтер 1С</t>
        </is>
      </c>
      <c r="O509" s="8" t="inlineStr">
        <is>
          <t>g.omurbekova</t>
        </is>
      </c>
      <c r="P509" s="12" t="inlineStr">
        <is>
          <t>Реестр (21,935.10) совпадает с ETM (21,935.35), а в 1С 29,135.35: неверная сумма в 1С</t>
        </is>
      </c>
      <c r="Q509" s="8" t="inlineStr">
        <is>
          <t>57165793</t>
        </is>
      </c>
    </row>
    <row r="510">
      <c r="A510" s="8" t="inlineStr">
        <is>
          <t>G01933</t>
        </is>
      </c>
      <c r="B510" s="8" t="inlineStr">
        <is>
          <t>Karakol Express</t>
        </is>
      </c>
      <c r="C510" s="8" t="inlineStr">
        <is>
          <t>2559101687|2559101689</t>
        </is>
      </c>
      <c r="D510" s="8" t="inlineStr">
        <is>
          <t>Сумма не сходится</t>
        </is>
      </c>
      <c r="E510" s="8" t="inlineStr">
        <is>
          <t>Бот ETM</t>
        </is>
      </c>
      <c r="F510" s="8" t="inlineStr">
        <is>
          <t>A</t>
        </is>
      </c>
      <c r="G510" s="14" t="n">
        <v>60848.94</v>
      </c>
      <c r="H510" s="14" t="n">
        <v>-68048.94</v>
      </c>
      <c r="I510" s="14" t="n">
        <v>60848.93</v>
      </c>
      <c r="J510" s="14" t="n">
        <v>-7200</v>
      </c>
      <c r="K510" s="21" t="n">
        <v>46137.785625</v>
      </c>
      <c r="L510" s="21" t="n">
        <v>46137</v>
      </c>
      <c r="M510" s="8" t="inlineStr">
        <is>
          <t>TRANSPOSITION</t>
        </is>
      </c>
      <c r="N510" s="8" t="inlineStr">
        <is>
          <t>Разработчик/поддержка бота ETM</t>
        </is>
      </c>
      <c r="O510" s="8" t="inlineStr">
        <is>
          <t>k.dzhumaev</t>
        </is>
      </c>
      <c r="P510" s="12" t="inlineStr">
        <is>
          <t>Реестр (60,848.93) совпадает с 1С (60,848.94), а в ETM 68,048.94: бот перенёс неверную сумму</t>
        </is>
      </c>
      <c r="Q510" s="8" t="inlineStr">
        <is>
          <t>57228847</t>
        </is>
      </c>
    </row>
    <row r="511">
      <c r="A511" s="8" t="inlineStr">
        <is>
          <t>G04626</t>
        </is>
      </c>
      <c r="B511" s="8" t="inlineStr">
        <is>
          <t>Абдылдаов Д. М.</t>
        </is>
      </c>
      <c r="C511" s="8" t="inlineStr">
        <is>
          <t>2476317370|2476317373</t>
        </is>
      </c>
      <c r="D511" s="8" t="inlineStr">
        <is>
          <t>Сумма не сходится</t>
        </is>
      </c>
      <c r="E511" s="8" t="inlineStr">
        <is>
          <t>Бот ETM</t>
        </is>
      </c>
      <c r="F511" s="8" t="inlineStr">
        <is>
          <t>A</t>
        </is>
      </c>
      <c r="G511" s="14" t="n">
        <v>30872</v>
      </c>
      <c r="H511" s="14" t="n">
        <v>-38072</v>
      </c>
      <c r="I511" s="14" t="n">
        <v>30872</v>
      </c>
      <c r="J511" s="14" t="n">
        <v>-7200</v>
      </c>
      <c r="K511" s="21" t="n">
        <v>46230.445625</v>
      </c>
      <c r="L511" s="21" t="n">
        <v>46230</v>
      </c>
      <c r="M511" s="8" t="inlineStr">
        <is>
          <t>TRANSPOSITION</t>
        </is>
      </c>
      <c r="N511" s="8" t="inlineStr">
        <is>
          <t>Разработчик/поддержка бота ETM</t>
        </is>
      </c>
      <c r="O511" s="8" t="inlineStr">
        <is>
          <t>n.abdyldaeva</t>
        </is>
      </c>
      <c r="P511" s="12" t="inlineStr">
        <is>
          <t>Реестр (30,872.00) совпадает с 1С (30,872.00), а в ETM 38,072.00: бот перенёс неверную сумму</t>
        </is>
      </c>
      <c r="Q511" s="8" t="inlineStr">
        <is>
          <t>57492419,57492392</t>
        </is>
      </c>
    </row>
    <row r="512">
      <c r="A512" s="8" t="inlineStr">
        <is>
          <t>G08088</t>
        </is>
      </c>
      <c r="B512" s="8" t="inlineStr">
        <is>
          <t>ИП Джолдошов Д. У.</t>
        </is>
      </c>
      <c r="C512" s="8" t="inlineStr">
        <is>
          <t>2459532005|2459532006|2459532007|2459532009</t>
        </is>
      </c>
      <c r="D512" s="8" t="inlineStr">
        <is>
          <t>Сумма не сходится</t>
        </is>
      </c>
      <c r="E512" s="8" t="inlineStr">
        <is>
          <t>Бот ETM</t>
        </is>
      </c>
      <c r="F512" s="8" t="inlineStr">
        <is>
          <t>A</t>
        </is>
      </c>
      <c r="G512" s="14" t="n">
        <v>69320</v>
      </c>
      <c r="H512" s="14" t="n">
        <v>-62388</v>
      </c>
      <c r="I512" s="14" t="n">
        <v>69320</v>
      </c>
      <c r="J512" s="14" t="n">
        <v>6932</v>
      </c>
      <c r="K512" s="21" t="n">
        <v>46234.34341435185</v>
      </c>
      <c r="L512" s="21" t="n">
        <v>46234</v>
      </c>
      <c r="M512" s="8" t="inlineStr"/>
      <c r="N512" s="8" t="inlineStr">
        <is>
          <t>Разработчик/поддержка бота ETM</t>
        </is>
      </c>
      <c r="O512" s="8" t="inlineStr">
        <is>
          <t>k.dzhumaev</t>
        </is>
      </c>
      <c r="P512" s="12" t="inlineStr">
        <is>
          <t>Реестр (69,320.00) совпадает с 1С (69,320.00), а в ETM 62,388.00: бот перенёс неверную сумму</t>
        </is>
      </c>
      <c r="Q512" s="8" t="inlineStr">
        <is>
          <t>57503450,57503441,57503486,57503421</t>
        </is>
      </c>
    </row>
    <row r="513">
      <c r="A513" s="8" t="inlineStr">
        <is>
          <t>G03231</t>
        </is>
      </c>
      <c r="B513" s="8" t="inlineStr">
        <is>
          <t>SkyWay Travel</t>
        </is>
      </c>
      <c r="C513" s="8" t="inlineStr">
        <is>
          <t>2476315617|2476315619|2476315620</t>
        </is>
      </c>
      <c r="D513" s="8" t="inlineStr">
        <is>
          <t>Сумма не сходится</t>
        </is>
      </c>
      <c r="E513" s="8" t="inlineStr">
        <is>
          <t>1С</t>
        </is>
      </c>
      <c r="F513" s="8" t="inlineStr">
        <is>
          <t>A</t>
        </is>
      </c>
      <c r="G513" s="14" t="n">
        <v>68955</v>
      </c>
      <c r="H513" s="14" t="n">
        <v>-75850.5</v>
      </c>
      <c r="I513" s="14" t="n">
        <v>75850.49579999999</v>
      </c>
      <c r="J513" s="14" t="n">
        <v>-6895.5</v>
      </c>
      <c r="K513" s="21" t="n">
        <v>46156.56042824074</v>
      </c>
      <c r="L513" s="21" t="n">
        <v>46156</v>
      </c>
      <c r="M513" s="8" t="inlineStr"/>
      <c r="N513" s="8" t="inlineStr">
        <is>
          <t>Бухгалтер 1С</t>
        </is>
      </c>
      <c r="O513" s="8" t="inlineStr">
        <is>
          <t>d.mambetova</t>
        </is>
      </c>
      <c r="P513" s="12" t="inlineStr">
        <is>
          <t>Реестр (75,850.50) совпадает с ETM (75,850.50), а в 1С 68,955.00: неверная сумма в 1С</t>
        </is>
      </c>
      <c r="Q513" s="8" t="inlineStr">
        <is>
          <t>57283108</t>
        </is>
      </c>
    </row>
    <row r="514">
      <c r="A514" s="8" t="inlineStr">
        <is>
          <t>G14568</t>
        </is>
      </c>
      <c r="B514" s="8" t="inlineStr">
        <is>
          <t>Чынарова Бурул Джолдошовна</t>
        </is>
      </c>
      <c r="C514" s="8" t="inlineStr">
        <is>
          <t>2416943108|2416943110</t>
        </is>
      </c>
      <c r="D514" s="8" t="inlineStr">
        <is>
          <t>Сумма не сходится</t>
        </is>
      </c>
      <c r="E514" s="8" t="inlineStr">
        <is>
          <t>1С</t>
        </is>
      </c>
      <c r="F514" s="8" t="inlineStr">
        <is>
          <t>A</t>
        </is>
      </c>
      <c r="G514" s="14" t="n">
        <v>67427.24000000001</v>
      </c>
      <c r="H514" s="14" t="n">
        <v>-60684.52</v>
      </c>
      <c r="I514" s="14" t="n">
        <v>60684.525</v>
      </c>
      <c r="J514" s="14" t="n">
        <v>6742.720000000001</v>
      </c>
      <c r="K514" s="21" t="n">
        <v>46214.70885416667</v>
      </c>
      <c r="L514" s="21" t="n">
        <v>46214</v>
      </c>
      <c r="M514" s="8" t="inlineStr"/>
      <c r="N514" s="8" t="inlineStr">
        <is>
          <t>Бухгалтер 1С</t>
        </is>
      </c>
      <c r="O514" s="8" t="inlineStr">
        <is>
          <t>d.mambetova</t>
        </is>
      </c>
      <c r="P514" s="12" t="inlineStr">
        <is>
          <t>Реестр (60,684.53) совпадает с ETM (60,684.52), а в 1С 67,427.24: неверная сумма в 1С</t>
        </is>
      </c>
      <c r="Q514" s="8" t="inlineStr">
        <is>
          <t>57450489,57450486</t>
        </is>
      </c>
    </row>
    <row r="515">
      <c r="A515" s="8" t="inlineStr">
        <is>
          <t>G05979</t>
        </is>
      </c>
      <c r="B515" s="8" t="inlineStr">
        <is>
          <t>БАЙТУР ТУРИЗМ</t>
        </is>
      </c>
      <c r="C515" s="8" t="inlineStr">
        <is>
          <t>2559098600|2559098601</t>
        </is>
      </c>
      <c r="D515" s="8" t="inlineStr">
        <is>
          <t>Сумма не сходится</t>
        </is>
      </c>
      <c r="E515" s="8" t="inlineStr">
        <is>
          <t>1С</t>
        </is>
      </c>
      <c r="F515" s="8" t="inlineStr">
        <is>
          <t>A</t>
        </is>
      </c>
      <c r="G515" s="14" t="n">
        <v>66910.39999999999</v>
      </c>
      <c r="H515" s="14" t="n">
        <v>-60219.36</v>
      </c>
      <c r="I515" s="14" t="n">
        <v>60219.36000000001</v>
      </c>
      <c r="J515" s="14" t="n">
        <v>6691.039999999994</v>
      </c>
      <c r="K515" s="21" t="n">
        <v>46154.47722222222</v>
      </c>
      <c r="L515" s="21" t="n">
        <v>46154</v>
      </c>
      <c r="M515" s="8" t="inlineStr"/>
      <c r="N515" s="8" t="inlineStr">
        <is>
          <t>Бухгалтер 1С</t>
        </is>
      </c>
      <c r="O515" s="8" t="inlineStr">
        <is>
          <t>d.mambetova</t>
        </is>
      </c>
      <c r="P515" s="12" t="inlineStr">
        <is>
          <t>Реестр (60,219.36) совпадает с ETM (60,219.36), а в 1С 66,910.40: неверная сумма в 1С</t>
        </is>
      </c>
      <c r="Q515" s="8" t="inlineStr">
        <is>
          <t>57274911</t>
        </is>
      </c>
    </row>
    <row r="516">
      <c r="A516" s="8" t="inlineStr">
        <is>
          <t>G15256</t>
        </is>
      </c>
      <c r="B516" s="8" t="inlineStr">
        <is>
          <t>Ыйык Тур</t>
        </is>
      </c>
      <c r="C516" s="8" t="inlineStr">
        <is>
          <t>2559102427|2559102429|2559102430</t>
        </is>
      </c>
      <c r="D516" s="8" t="inlineStr">
        <is>
          <t>Сумма не сходится</t>
        </is>
      </c>
      <c r="E516" s="8" t="inlineStr">
        <is>
          <t>1С</t>
        </is>
      </c>
      <c r="F516" s="8" t="inlineStr">
        <is>
          <t>A</t>
        </is>
      </c>
      <c r="G516" s="14" t="n">
        <v>0</v>
      </c>
      <c r="H516" s="14" t="n">
        <v>-6659.330000000002</v>
      </c>
      <c r="I516" s="14" t="n">
        <v>6659.32799999998</v>
      </c>
      <c r="J516" s="14" t="n">
        <v>-6659.330000000002</v>
      </c>
      <c r="K516" s="21" t="n">
        <v>46134.35118055555</v>
      </c>
      <c r="L516" s="21" t="n">
        <v>46134</v>
      </c>
      <c r="M516" s="8" t="inlineStr"/>
      <c r="N516" s="8" t="inlineStr">
        <is>
          <t>Бухгалтер 1С</t>
        </is>
      </c>
      <c r="O516" s="8" t="inlineStr">
        <is>
          <t>a.toktosunova|d.mambetova</t>
        </is>
      </c>
      <c r="P516" s="12" t="inlineStr">
        <is>
          <t>Реестр (6,659.33) совпадает с ETM (6,659.33), а в 1С 0.00: неверная сумма в 1С</t>
        </is>
      </c>
      <c r="Q516" s="8" t="inlineStr">
        <is>
          <t>57222508,57222479,57222513,57282268</t>
        </is>
      </c>
    </row>
    <row r="517">
      <c r="A517" s="8" t="inlineStr">
        <is>
          <t>G05805</t>
        </is>
      </c>
      <c r="B517" s="8" t="inlineStr">
        <is>
          <t>Ала-Арча Тревел</t>
        </is>
      </c>
      <c r="C517" s="8" t="inlineStr">
        <is>
          <t>2552672680|2552672682|2552672685</t>
        </is>
      </c>
      <c r="D517" s="8" t="inlineStr">
        <is>
          <t>Сумма не сходится</t>
        </is>
      </c>
      <c r="E517" s="8" t="inlineStr">
        <is>
          <t>Бот ETM</t>
        </is>
      </c>
      <c r="F517" s="8" t="inlineStr">
        <is>
          <t>A</t>
        </is>
      </c>
      <c r="G517" s="14" t="n">
        <v>66064.26000000001</v>
      </c>
      <c r="H517" s="14" t="n">
        <v>-59457.82999999999</v>
      </c>
      <c r="I517" s="14" t="n">
        <v>66064.2525</v>
      </c>
      <c r="J517" s="14" t="n">
        <v>6606.430000000015</v>
      </c>
      <c r="K517" s="21" t="n">
        <v>46106.5980787037</v>
      </c>
      <c r="L517" s="21" t="n">
        <v>46106</v>
      </c>
      <c r="M517" s="8" t="inlineStr"/>
      <c r="N517" s="8" t="inlineStr">
        <is>
          <t>Разработчик/поддержка бота ETM</t>
        </is>
      </c>
      <c r="O517" s="8" t="inlineStr">
        <is>
          <t>g.omurbekova</t>
        </is>
      </c>
      <c r="P517" s="12" t="inlineStr">
        <is>
          <t>Реестр (66,064.25) совпадает с 1С (66,064.26), а в ETM 59,457.83: бот перенёс неверную сумму</t>
        </is>
      </c>
      <c r="Q517" s="8" t="inlineStr">
        <is>
          <t>57171464,57171442,57171493</t>
        </is>
      </c>
    </row>
    <row r="518">
      <c r="A518" s="8" t="inlineStr">
        <is>
          <t>G07302</t>
        </is>
      </c>
      <c r="B518" s="8" t="inlineStr">
        <is>
          <t>Жибек Эйр</t>
        </is>
      </c>
      <c r="C518" s="8" t="inlineStr">
        <is>
          <t>2461882638</t>
        </is>
      </c>
      <c r="D518" s="8" t="inlineStr">
        <is>
          <t>Сумма не сходится</t>
        </is>
      </c>
      <c r="E518" s="8" t="inlineStr">
        <is>
          <t>1С</t>
        </is>
      </c>
      <c r="F518" s="8" t="inlineStr">
        <is>
          <t>A</t>
        </is>
      </c>
      <c r="G518" s="14" t="n">
        <v>12993</v>
      </c>
      <c r="H518" s="14" t="n">
        <v>-6496.5</v>
      </c>
      <c r="I518" s="14" t="n">
        <v>6496.5</v>
      </c>
      <c r="J518" s="14" t="n">
        <v>6496.5</v>
      </c>
      <c r="K518" s="21" t="n">
        <v>46100.3722337963</v>
      </c>
      <c r="L518" s="21" t="n">
        <v>46100</v>
      </c>
      <c r="M518" s="8" t="inlineStr"/>
      <c r="N518" s="8" t="inlineStr">
        <is>
          <t>Бухгалтер 1С</t>
        </is>
      </c>
      <c r="O518" s="8" t="inlineStr">
        <is>
          <t>a.toktosunova|d.mambetova</t>
        </is>
      </c>
      <c r="P518" s="12" t="inlineStr">
        <is>
          <t>Реестр (6,496.50) совпадает с ETM (6,496.50), а в 1С 12,993.00: неверная сумма в 1С</t>
        </is>
      </c>
      <c r="Q518" s="8" t="inlineStr">
        <is>
          <t>57157501,57288518</t>
        </is>
      </c>
    </row>
    <row r="519">
      <c r="A519" s="8" t="inlineStr">
        <is>
          <t>G02965</t>
        </is>
      </c>
      <c r="B519" s="8" t="inlineStr">
        <is>
          <t>SkyWay Travel</t>
        </is>
      </c>
      <c r="C519" s="8" t="inlineStr">
        <is>
          <t>2460738404|2460738407</t>
        </is>
      </c>
      <c r="D519" s="8" t="inlineStr">
        <is>
          <t>Сумма не сходится</t>
        </is>
      </c>
      <c r="E519" s="8" t="inlineStr">
        <is>
          <t>Бот ETM</t>
        </is>
      </c>
      <c r="F519" s="8" t="inlineStr">
        <is>
          <t>A</t>
        </is>
      </c>
      <c r="G519" s="14" t="n">
        <v>64898</v>
      </c>
      <c r="H519" s="14" t="n">
        <v>-58408.2</v>
      </c>
      <c r="I519" s="14" t="n">
        <v>64898</v>
      </c>
      <c r="J519" s="14" t="n">
        <v>6489.800000000003</v>
      </c>
      <c r="K519" s="21" t="n">
        <v>46223.78951388889</v>
      </c>
      <c r="L519" s="21" t="n">
        <v>46223</v>
      </c>
      <c r="M519" s="8" t="inlineStr"/>
      <c r="N519" s="8" t="inlineStr">
        <is>
          <t>Разработчик/поддержка бота ETM</t>
        </is>
      </c>
      <c r="O519" s="8" t="inlineStr">
        <is>
          <t>b.isakov</t>
        </is>
      </c>
      <c r="P519" s="12" t="inlineStr">
        <is>
          <t>Реестр (64,898.00) совпадает с 1С (64,898.00), а в ETM 58,408.20: бот перенёс неверную сумму</t>
        </is>
      </c>
      <c r="Q519" s="8" t="inlineStr">
        <is>
          <t>57474948</t>
        </is>
      </c>
    </row>
    <row r="520">
      <c r="A520" s="8" t="inlineStr">
        <is>
          <t>G12312</t>
        </is>
      </c>
      <c r="B520" s="8" t="inlineStr">
        <is>
          <t>САЛАМ ЭЙР</t>
        </is>
      </c>
      <c r="C520" s="8" t="inlineStr">
        <is>
          <t>2459528302|2459528303|2459528304|2459528305</t>
        </is>
      </c>
      <c r="D520" s="8" t="inlineStr">
        <is>
          <t>Сумма не сходится</t>
        </is>
      </c>
      <c r="E520" s="8" t="inlineStr">
        <is>
          <t>1С</t>
        </is>
      </c>
      <c r="F520" s="8" t="inlineStr">
        <is>
          <t>A</t>
        </is>
      </c>
      <c r="G520" s="14" t="n">
        <v>128740</v>
      </c>
      <c r="H520" s="14" t="n">
        <v>-122303</v>
      </c>
      <c r="I520" s="14" t="n">
        <v>122303</v>
      </c>
      <c r="J520" s="14" t="n">
        <v>6437</v>
      </c>
      <c r="K520" s="21" t="n">
        <v>46095.38402777778</v>
      </c>
      <c r="L520" s="21" t="n">
        <v>46095</v>
      </c>
      <c r="M520" s="8" t="inlineStr"/>
      <c r="N520" s="8" t="inlineStr">
        <is>
          <t>Бухгалтер 1С</t>
        </is>
      </c>
      <c r="O520" s="8" t="inlineStr">
        <is>
          <t>d.mambetova</t>
        </is>
      </c>
      <c r="P520" s="12" t="inlineStr">
        <is>
          <t>Реестр (122,303.00) совпадает с ETM (122,303.00), а в 1С 128,740.00: неверная сумма в 1С</t>
        </is>
      </c>
      <c r="Q520" s="8" t="inlineStr">
        <is>
          <t>57147302,57147343,57147335,57147297</t>
        </is>
      </c>
    </row>
    <row r="521">
      <c r="A521" s="8" t="inlineStr">
        <is>
          <t>G00210</t>
        </is>
      </c>
      <c r="B521" s="8" t="inlineStr">
        <is>
          <t>Aylana Tour</t>
        </is>
      </c>
      <c r="C521" s="8" t="inlineStr">
        <is>
          <t>2476314061|2476314062|2476314064</t>
        </is>
      </c>
      <c r="D521" s="8" t="inlineStr">
        <is>
          <t>Сумма не сходится</t>
        </is>
      </c>
      <c r="E521" s="8" t="inlineStr">
        <is>
          <t>1С</t>
        </is>
      </c>
      <c r="F521" s="8" t="inlineStr">
        <is>
          <t>A</t>
        </is>
      </c>
      <c r="G521" s="14" t="n">
        <v>48179.64</v>
      </c>
      <c r="H521" s="14" t="n">
        <v>-41879.64</v>
      </c>
      <c r="I521" s="14" t="n">
        <v>41879.6364</v>
      </c>
      <c r="J521" s="14" t="n">
        <v>6300</v>
      </c>
      <c r="K521" s="21" t="n">
        <v>46232.33523148148</v>
      </c>
      <c r="L521" s="21" t="n">
        <v>46232</v>
      </c>
      <c r="M521" s="8" t="inlineStr">
        <is>
          <t>TRANSPOSITION</t>
        </is>
      </c>
      <c r="N521" s="8" t="inlineStr">
        <is>
          <t>Бухгалтер 1С</t>
        </is>
      </c>
      <c r="O521" s="8" t="inlineStr">
        <is>
          <t>b.isakov</t>
        </is>
      </c>
      <c r="P521" s="12" t="inlineStr">
        <is>
          <t>Реестр (41,879.64) совпадает с ETM (41,879.64), а в 1С 48,179.64: неверная сумма в 1С</t>
        </is>
      </c>
      <c r="Q521" s="8" t="inlineStr">
        <is>
          <t>57495968,57495971,57495998</t>
        </is>
      </c>
    </row>
    <row r="522">
      <c r="A522" s="8" t="inlineStr">
        <is>
          <t>G01008</t>
        </is>
      </c>
      <c r="B522" s="8" t="inlineStr">
        <is>
          <t>Jailoo Trip</t>
        </is>
      </c>
      <c r="C522" s="8" t="inlineStr">
        <is>
          <t>2461884375|2461884377</t>
        </is>
      </c>
      <c r="D522" s="8" t="inlineStr">
        <is>
          <t>Сумма не сходится</t>
        </is>
      </c>
      <c r="E522" s="8" t="inlineStr">
        <is>
          <t>Бот ETM</t>
        </is>
      </c>
      <c r="F522" s="8" t="inlineStr">
        <is>
          <t>A</t>
        </is>
      </c>
      <c r="G522" s="14" t="n">
        <v>49292</v>
      </c>
      <c r="H522" s="14" t="n">
        <v>-42992</v>
      </c>
      <c r="I522" s="14" t="n">
        <v>49292</v>
      </c>
      <c r="J522" s="14" t="n">
        <v>6300</v>
      </c>
      <c r="K522" s="21" t="n">
        <v>46072.60011574074</v>
      </c>
      <c r="L522" s="21" t="n">
        <v>46072</v>
      </c>
      <c r="M522" s="8" t="inlineStr">
        <is>
          <t>TRANSPOSITION</t>
        </is>
      </c>
      <c r="N522" s="8" t="inlineStr">
        <is>
          <t>Разработчик/поддержка бота ETM</t>
        </is>
      </c>
      <c r="O522" s="8" t="inlineStr">
        <is>
          <t>k.dzhumaev</t>
        </is>
      </c>
      <c r="P522" s="12" t="inlineStr">
        <is>
          <t>Реестр (49,292.00) совпадает с 1С (49,292.00), а в ETM 42,992.00: бот перенёс неверную сумму</t>
        </is>
      </c>
      <c r="Q522" s="8" t="inlineStr">
        <is>
          <t>57098642,57098621</t>
        </is>
      </c>
    </row>
    <row r="523">
      <c r="A523" s="8" t="inlineStr">
        <is>
          <t>G02723</t>
        </is>
      </c>
      <c r="B523" s="8" t="inlineStr">
        <is>
          <t>SkyWay Travel</t>
        </is>
      </c>
      <c r="C523" s="8" t="inlineStr">
        <is>
          <t>2459530315</t>
        </is>
      </c>
      <c r="D523" s="8" t="inlineStr">
        <is>
          <t>Сумма не сходится</t>
        </is>
      </c>
      <c r="E523" s="8" t="inlineStr">
        <is>
          <t>Бот ETM</t>
        </is>
      </c>
      <c r="F523" s="8" t="inlineStr">
        <is>
          <t>A</t>
        </is>
      </c>
      <c r="G523" s="14" t="n">
        <v>10786</v>
      </c>
      <c r="H523" s="14" t="n">
        <v>-17086</v>
      </c>
      <c r="I523" s="14" t="n">
        <v>10786</v>
      </c>
      <c r="J523" s="14" t="n">
        <v>-6300</v>
      </c>
      <c r="K523" s="21" t="n">
        <v>46150.6053587963</v>
      </c>
      <c r="L523" s="21" t="n">
        <v>46150</v>
      </c>
      <c r="M523" s="8" t="inlineStr">
        <is>
          <t>TRANSPOSITION</t>
        </is>
      </c>
      <c r="N523" s="8" t="inlineStr">
        <is>
          <t>Разработчик/поддержка бота ETM</t>
        </is>
      </c>
      <c r="O523" s="8" t="inlineStr">
        <is>
          <t>r.sydykov</t>
        </is>
      </c>
      <c r="P523" s="12" t="inlineStr">
        <is>
          <t>Реестр (10,786.00) совпадает с 1С (10,786.00), а в ETM 17,086.00: бот перенёс неверную сумму</t>
        </is>
      </c>
      <c r="Q523" s="8" t="inlineStr">
        <is>
          <t>57265227</t>
        </is>
      </c>
    </row>
    <row r="524">
      <c r="A524" s="8" t="inlineStr">
        <is>
          <t>G10401</t>
        </is>
      </c>
      <c r="B524" s="8" t="inlineStr">
        <is>
          <t>Манас Тревел</t>
        </is>
      </c>
      <c r="C524" s="8" t="inlineStr">
        <is>
          <t>2476317647</t>
        </is>
      </c>
      <c r="D524" s="8" t="inlineStr">
        <is>
          <t>Сумма не сходится</t>
        </is>
      </c>
      <c r="E524" s="8" t="inlineStr">
        <is>
          <t>1С</t>
        </is>
      </c>
      <c r="F524" s="8" t="inlineStr">
        <is>
          <t>A</t>
        </is>
      </c>
      <c r="G524" s="14" t="n">
        <v>32956.19</v>
      </c>
      <c r="H524" s="14" t="n">
        <v>-39256.19</v>
      </c>
      <c r="I524" s="14" t="n">
        <v>39256.1936</v>
      </c>
      <c r="J524" s="14" t="n">
        <v>-6300</v>
      </c>
      <c r="K524" s="21" t="n">
        <v>46124.46965277778</v>
      </c>
      <c r="L524" s="21" t="n">
        <v>46124</v>
      </c>
      <c r="M524" s="8" t="inlineStr">
        <is>
          <t>TRANSPOSITION</t>
        </is>
      </c>
      <c r="N524" s="8" t="inlineStr">
        <is>
          <t>Бухгалтер 1С</t>
        </is>
      </c>
      <c r="O524" s="8" t="inlineStr">
        <is>
          <t>d.mambetova</t>
        </is>
      </c>
      <c r="P524" s="12" t="inlineStr">
        <is>
          <t>Реестр (39,256.19) совпадает с ETM (39,256.19), а в 1С 32,956.19: неверная сумма в 1С</t>
        </is>
      </c>
      <c r="Q524" s="8" t="inlineStr">
        <is>
          <t>57203550</t>
        </is>
      </c>
    </row>
    <row r="525">
      <c r="A525" s="8" t="inlineStr">
        <is>
          <t>G02239</t>
        </is>
      </c>
      <c r="B525" s="8" t="inlineStr">
        <is>
          <t>SkyWay Travel</t>
        </is>
      </c>
      <c r="C525" s="8" t="inlineStr">
        <is>
          <t>2416941643</t>
        </is>
      </c>
      <c r="D525" s="8" t="inlineStr">
        <is>
          <t>Сумма не сходится</t>
        </is>
      </c>
      <c r="E525" s="8" t="inlineStr">
        <is>
          <t>Бот ETM</t>
        </is>
      </c>
      <c r="F525" s="8" t="inlineStr">
        <is>
          <t>A</t>
        </is>
      </c>
      <c r="G525" s="14" t="n">
        <v>62819.87</v>
      </c>
      <c r="H525" s="14" t="n">
        <v>-69101.86</v>
      </c>
      <c r="I525" s="14" t="n">
        <v>62819.87</v>
      </c>
      <c r="J525" s="14" t="n">
        <v>-6281.989999999998</v>
      </c>
      <c r="K525" s="21" t="n">
        <v>46041.34761574074</v>
      </c>
      <c r="L525" s="21" t="n">
        <v>46041</v>
      </c>
      <c r="M525" s="8" t="inlineStr"/>
      <c r="N525" s="8" t="inlineStr">
        <is>
          <t>Разработчик/поддержка бота ETM</t>
        </is>
      </c>
      <c r="O525" s="8" t="inlineStr">
        <is>
          <t>g.omurbekova</t>
        </is>
      </c>
      <c r="P525" s="12" t="inlineStr">
        <is>
          <t>Реестр (62,819.87) совпадает с 1С (62,819.87), а в ETM 69,101.86: бот перенёс неверную сумму</t>
        </is>
      </c>
      <c r="Q525" s="8" t="inlineStr">
        <is>
          <t>57038365</t>
        </is>
      </c>
    </row>
    <row r="526">
      <c r="A526" s="8" t="inlineStr">
        <is>
          <t>G10017</t>
        </is>
      </c>
      <c r="B526" s="8" t="inlineStr">
        <is>
          <t>Мамбет уулу Чынгыз</t>
        </is>
      </c>
      <c r="C526" s="8" t="inlineStr">
        <is>
          <t>2420843634|2420843635|2420843636</t>
        </is>
      </c>
      <c r="D526" s="8" t="inlineStr">
        <is>
          <t>Сумма не сходится</t>
        </is>
      </c>
      <c r="E526" s="8" t="inlineStr">
        <is>
          <t>Бот ETM</t>
        </is>
      </c>
      <c r="F526" s="8" t="inlineStr">
        <is>
          <t>A</t>
        </is>
      </c>
      <c r="G526" s="14" t="n">
        <v>62543.16</v>
      </c>
      <c r="H526" s="14" t="n">
        <v>-56288.84</v>
      </c>
      <c r="I526" s="14" t="n">
        <v>62543.15399999999</v>
      </c>
      <c r="J526" s="14" t="n">
        <v>6254.320000000007</v>
      </c>
      <c r="K526" s="21" t="n">
        <v>46080.79848379629</v>
      </c>
      <c r="L526" s="21" t="n">
        <v>46080</v>
      </c>
      <c r="M526" s="8" t="inlineStr"/>
      <c r="N526" s="8" t="inlineStr">
        <is>
          <t>Разработчик/поддержка бота ETM</t>
        </is>
      </c>
      <c r="O526" s="8" t="inlineStr">
        <is>
          <t>a.toktosunova</t>
        </is>
      </c>
      <c r="P526" s="12" t="inlineStr">
        <is>
          <t>Реестр (62,543.15) совпадает с 1С (62,543.16), а в ETM 56,288.84: бот перенёс неверную сумму</t>
        </is>
      </c>
      <c r="Q526" s="8" t="inlineStr">
        <is>
          <t>57111955</t>
        </is>
      </c>
    </row>
    <row r="527">
      <c r="A527" s="8" t="inlineStr">
        <is>
          <t>G14336</t>
        </is>
      </c>
      <c r="B527" s="8" t="inlineStr">
        <is>
          <t>ЧОЛПОН ТУР</t>
        </is>
      </c>
      <c r="C527" s="8" t="inlineStr">
        <is>
          <t>2552670745</t>
        </is>
      </c>
      <c r="D527" s="8" t="inlineStr">
        <is>
          <t>Сумма не сходится</t>
        </is>
      </c>
      <c r="E527" s="8" t="inlineStr">
        <is>
          <t>Бот ETM</t>
        </is>
      </c>
      <c r="F527" s="8" t="inlineStr">
        <is>
          <t>A</t>
        </is>
      </c>
      <c r="G527" s="14" t="n">
        <v>59291.87</v>
      </c>
      <c r="H527" s="14" t="n">
        <v>-65221.06</v>
      </c>
      <c r="I527" s="14" t="n">
        <v>59291.86500000001</v>
      </c>
      <c r="J527" s="14" t="n">
        <v>-5929.189999999995</v>
      </c>
      <c r="K527" s="21" t="n">
        <v>46079.51600694445</v>
      </c>
      <c r="L527" s="21" t="n">
        <v>46079</v>
      </c>
      <c r="M527" s="8" t="inlineStr"/>
      <c r="N527" s="8" t="inlineStr">
        <is>
          <t>Разработчик/поддержка бота ETM</t>
        </is>
      </c>
      <c r="O527" s="8" t="inlineStr">
        <is>
          <t>n.abdyldaeva</t>
        </is>
      </c>
      <c r="P527" s="12" t="inlineStr">
        <is>
          <t>Реестр (59,291.87) совпадает с 1С (59,291.87), а в ETM 65,221.06: бот перенёс неверную сумму</t>
        </is>
      </c>
      <c r="Q527" s="8" t="inlineStr">
        <is>
          <t>57110698</t>
        </is>
      </c>
    </row>
    <row r="528">
      <c r="A528" s="8" t="inlineStr">
        <is>
          <t>G06487</t>
        </is>
      </c>
      <c r="B528" s="8" t="inlineStr">
        <is>
          <t>Джолдош уулу Эмир</t>
        </is>
      </c>
      <c r="C528" s="8" t="inlineStr">
        <is>
          <t>2552670959|2552670962|2552670965|2552670967</t>
        </is>
      </c>
      <c r="D528" s="8" t="inlineStr">
        <is>
          <t>Сумма не сходится</t>
        </is>
      </c>
      <c r="E528" s="8" t="inlineStr">
        <is>
          <t>Бот ETM</t>
        </is>
      </c>
      <c r="F528" s="8" t="inlineStr">
        <is>
          <t>A</t>
        </is>
      </c>
      <c r="G528" s="14" t="n">
        <v>116690.32</v>
      </c>
      <c r="H528" s="14" t="n">
        <v>-110855.8</v>
      </c>
      <c r="I528" s="14" t="n">
        <v>116690.31</v>
      </c>
      <c r="J528" s="14" t="n">
        <v>5834.520000000004</v>
      </c>
      <c r="K528" s="21" t="n">
        <v>46046.57405092593</v>
      </c>
      <c r="L528" s="21" t="n">
        <v>46046</v>
      </c>
      <c r="M528" s="8" t="inlineStr"/>
      <c r="N528" s="8" t="inlineStr">
        <is>
          <t>Разработчик/поддержка бота ETM</t>
        </is>
      </c>
      <c r="O528" s="8" t="inlineStr">
        <is>
          <t>g.omurbekova</t>
        </is>
      </c>
      <c r="P528" s="12" t="inlineStr">
        <is>
          <t>Реестр (116,690.31) совпадает с 1С (116,690.32), а в ETM 110,855.80: бот перенёс неверную сумму</t>
        </is>
      </c>
      <c r="Q528" s="8" t="inlineStr">
        <is>
          <t>57050043</t>
        </is>
      </c>
    </row>
    <row r="529">
      <c r="A529" s="8" t="inlineStr">
        <is>
          <t>G14717</t>
        </is>
      </c>
      <c r="B529" s="8" t="inlineStr">
        <is>
          <t>ЫЙЫК ЭКСПРЕСС</t>
        </is>
      </c>
      <c r="C529" s="8" t="inlineStr">
        <is>
          <t>2416944130</t>
        </is>
      </c>
      <c r="D529" s="8" t="inlineStr">
        <is>
          <t>Сумма не сходится</t>
        </is>
      </c>
      <c r="E529" s="8" t="inlineStr">
        <is>
          <t>1С</t>
        </is>
      </c>
      <c r="F529" s="8" t="inlineStr">
        <is>
          <t>A</t>
        </is>
      </c>
      <c r="G529" s="14" t="n">
        <v>20667.92</v>
      </c>
      <c r="H529" s="14" t="n">
        <v>-26067.92</v>
      </c>
      <c r="I529" s="14" t="n">
        <v>26067.6312</v>
      </c>
      <c r="J529" s="14" t="n">
        <v>-5400</v>
      </c>
      <c r="K529" s="21" t="n">
        <v>46105.36818287037</v>
      </c>
      <c r="L529" s="21" t="n">
        <v>46105</v>
      </c>
      <c r="M529" s="8" t="inlineStr">
        <is>
          <t>TRANSPOSITION</t>
        </is>
      </c>
      <c r="N529" s="8" t="inlineStr">
        <is>
          <t>Бухгалтер 1С</t>
        </is>
      </c>
      <c r="O529" s="8" t="inlineStr">
        <is>
          <t>e.satarov</t>
        </is>
      </c>
      <c r="P529" s="12" t="inlineStr">
        <is>
          <t>Реестр (26,067.63) совпадает с ETM (26,067.92), а в 1С 20,667.92: неверная сумма в 1С</t>
        </is>
      </c>
      <c r="Q529" s="8" t="inlineStr">
        <is>
          <t>57168964</t>
        </is>
      </c>
    </row>
    <row r="530">
      <c r="A530" s="8" t="inlineStr">
        <is>
          <t>G01256</t>
        </is>
      </c>
      <c r="B530" s="8" t="inlineStr">
        <is>
          <t>Karakol Express</t>
        </is>
      </c>
      <c r="C530" s="8" t="inlineStr">
        <is>
          <t>2420848090|2420848093</t>
        </is>
      </c>
      <c r="D530" s="8" t="inlineStr">
        <is>
          <t>Сумма не сходится</t>
        </is>
      </c>
      <c r="E530" s="8" t="inlineStr">
        <is>
          <t>Бот ETM</t>
        </is>
      </c>
      <c r="F530" s="8" t="inlineStr">
        <is>
          <t>A</t>
        </is>
      </c>
      <c r="G530" s="14" t="n">
        <v>52163.74</v>
      </c>
      <c r="H530" s="14" t="n">
        <v>-57380.11</v>
      </c>
      <c r="I530" s="14" t="n">
        <v>52163.7364</v>
      </c>
      <c r="J530" s="14" t="n">
        <v>-5216.370000000003</v>
      </c>
      <c r="K530" s="21" t="n">
        <v>46148.381875</v>
      </c>
      <c r="L530" s="21" t="n">
        <v>46148</v>
      </c>
      <c r="M530" s="8" t="inlineStr"/>
      <c r="N530" s="8" t="inlineStr">
        <is>
          <t>Разработчик/поддержка бота ETM</t>
        </is>
      </c>
      <c r="O530" s="8" t="inlineStr">
        <is>
          <t>d.mambetova</t>
        </is>
      </c>
      <c r="P530" s="12" t="inlineStr">
        <is>
          <t>Реестр (52,163.74) совпадает с 1С (52,163.74), а в ETM 57,380.11: бот перенёс неверную сумму</t>
        </is>
      </c>
      <c r="Q530" s="8" t="inlineStr">
        <is>
          <t>57259770,57259763</t>
        </is>
      </c>
    </row>
    <row r="531">
      <c r="A531" s="8" t="inlineStr">
        <is>
          <t>G10086</t>
        </is>
      </c>
      <c r="B531" s="8" t="inlineStr">
        <is>
          <t>Мамбет уулу Чынгыз</t>
        </is>
      </c>
      <c r="C531" s="8" t="inlineStr">
        <is>
          <t>2559099601</t>
        </is>
      </c>
      <c r="D531" s="8" t="inlineStr">
        <is>
          <t>Сумма не сходится</t>
        </is>
      </c>
      <c r="E531" s="8" t="inlineStr">
        <is>
          <t>1С</t>
        </is>
      </c>
      <c r="F531" s="8" t="inlineStr">
        <is>
          <t>A</t>
        </is>
      </c>
      <c r="G531" s="14" t="n">
        <v>51554.93</v>
      </c>
      <c r="H531" s="14" t="n">
        <v>-46399.44</v>
      </c>
      <c r="I531" s="14" t="n">
        <v>46399.0083</v>
      </c>
      <c r="J531" s="14" t="n">
        <v>5155.489999999998</v>
      </c>
      <c r="K531" s="21" t="n">
        <v>46176.49219907408</v>
      </c>
      <c r="L531" s="21" t="n">
        <v>46176</v>
      </c>
      <c r="M531" s="8" t="inlineStr"/>
      <c r="N531" s="8" t="inlineStr">
        <is>
          <t>Бухгалтер 1С</t>
        </is>
      </c>
      <c r="O531" s="8" t="inlineStr">
        <is>
          <t>d.mambetova</t>
        </is>
      </c>
      <c r="P531" s="12" t="inlineStr">
        <is>
          <t>Реестр (46,399.01) совпадает с ETM (46,399.44), а в 1С 51,554.93: неверная сумма в 1С</t>
        </is>
      </c>
      <c r="Q531" s="8" t="inlineStr">
        <is>
          <t>57338404</t>
        </is>
      </c>
    </row>
    <row r="532">
      <c r="A532" s="8" t="inlineStr">
        <is>
          <t>G05914</t>
        </is>
      </c>
      <c r="B532" s="8" t="inlineStr">
        <is>
          <t>Асанова Каныкей Эсенбекевна</t>
        </is>
      </c>
      <c r="C532" s="8" t="inlineStr">
        <is>
          <t>2552670698|2552670700</t>
        </is>
      </c>
      <c r="D532" s="8" t="inlineStr">
        <is>
          <t>Сумма не сходится</t>
        </is>
      </c>
      <c r="E532" s="8" t="inlineStr">
        <is>
          <t>1С</t>
        </is>
      </c>
      <c r="F532" s="8" t="inlineStr">
        <is>
          <t>A</t>
        </is>
      </c>
      <c r="G532" s="14" t="n">
        <v>51309.98</v>
      </c>
      <c r="H532" s="14" t="n">
        <v>-46178.98</v>
      </c>
      <c r="I532" s="14" t="n">
        <v>46179.0471</v>
      </c>
      <c r="J532" s="14" t="n">
        <v>5131</v>
      </c>
      <c r="K532" s="21" t="n">
        <v>46046.42797453704</v>
      </c>
      <c r="L532" s="21" t="n">
        <v>46046</v>
      </c>
      <c r="M532" s="8" t="inlineStr"/>
      <c r="N532" s="8" t="inlineStr">
        <is>
          <t>Бухгалтер 1С</t>
        </is>
      </c>
      <c r="O532" s="8" t="inlineStr">
        <is>
          <t>k.dzhumaev</t>
        </is>
      </c>
      <c r="P532" s="12" t="inlineStr">
        <is>
          <t>Реестр (46,179.05) совпадает с ETM (46,178.98), а в 1С 51,309.98: неверная сумма в 1С</t>
        </is>
      </c>
      <c r="Q532" s="8" t="inlineStr">
        <is>
          <t>57049999,57049976</t>
        </is>
      </c>
    </row>
    <row r="533">
      <c r="A533" s="8" t="inlineStr">
        <is>
          <t>G14834</t>
        </is>
      </c>
      <c r="B533" s="8" t="inlineStr">
        <is>
          <t>ЫЙЫК ЭКСПРЕСС</t>
        </is>
      </c>
      <c r="C533" s="8" t="inlineStr">
        <is>
          <t>2559098842|2559098844</t>
        </is>
      </c>
      <c r="D533" s="8" t="inlineStr">
        <is>
          <t>Сумма не сходится</t>
        </is>
      </c>
      <c r="E533" s="8" t="inlineStr">
        <is>
          <t>1С</t>
        </is>
      </c>
      <c r="F533" s="8" t="inlineStr">
        <is>
          <t>A</t>
        </is>
      </c>
      <c r="G533" s="14" t="n">
        <v>38454.57</v>
      </c>
      <c r="H533" s="14" t="n">
        <v>-33327.29</v>
      </c>
      <c r="I533" s="14" t="n">
        <v>33327.23499999999</v>
      </c>
      <c r="J533" s="14" t="n">
        <v>5127.279999999999</v>
      </c>
      <c r="K533" s="21" t="n">
        <v>46032.81475694444</v>
      </c>
      <c r="L533" s="21" t="n">
        <v>46032</v>
      </c>
      <c r="M533" s="8" t="inlineStr"/>
      <c r="N533" s="8" t="inlineStr">
        <is>
          <t>Бухгалтер 1С</t>
        </is>
      </c>
      <c r="O533" s="8" t="inlineStr">
        <is>
          <t>b.isakov|d.mambetova</t>
        </is>
      </c>
      <c r="P533" s="12" t="inlineStr">
        <is>
          <t>Реестр (33,327.23) совпадает с ETM (33,327.29), а в 1С 38,454.57: неверная сумма в 1С</t>
        </is>
      </c>
      <c r="Q533" s="8" t="inlineStr">
        <is>
          <t>57017943,57035858</t>
        </is>
      </c>
    </row>
    <row r="534">
      <c r="A534" s="8" t="inlineStr">
        <is>
          <t>G09898</t>
        </is>
      </c>
      <c r="B534" s="8" t="inlineStr">
        <is>
          <t>Кенешова Чолпон Таалайовна</t>
        </is>
      </c>
      <c r="C534" s="8" t="inlineStr">
        <is>
          <t>2559100482|2559100483|2559100484</t>
        </is>
      </c>
      <c r="D534" s="8" t="inlineStr">
        <is>
          <t>Сумма не сходится</t>
        </is>
      </c>
      <c r="E534" s="8" t="inlineStr">
        <is>
          <t>Бот ETM</t>
        </is>
      </c>
      <c r="F534" s="8" t="inlineStr">
        <is>
          <t>A</t>
        </is>
      </c>
      <c r="G534" s="14" t="n">
        <v>100832.4</v>
      </c>
      <c r="H534" s="14" t="n">
        <v>-95790.78</v>
      </c>
      <c r="I534" s="14" t="n">
        <v>100832.4</v>
      </c>
      <c r="J534" s="14" t="n">
        <v>5041.619999999995</v>
      </c>
      <c r="K534" s="21" t="n">
        <v>46143.3771412037</v>
      </c>
      <c r="L534" s="21" t="n">
        <v>46143</v>
      </c>
      <c r="M534" s="8" t="inlineStr"/>
      <c r="N534" s="8" t="inlineStr">
        <is>
          <t>Разработчик/поддержка бота ETM</t>
        </is>
      </c>
      <c r="O534" s="8" t="inlineStr">
        <is>
          <t>a.toktosunova</t>
        </is>
      </c>
      <c r="P534" s="12" t="inlineStr">
        <is>
          <t>Реестр (100,832.40) совпадает с 1С (100,832.40), а в ETM 95,790.78: бот перенёс неверную сумму</t>
        </is>
      </c>
      <c r="Q534" s="8" t="inlineStr">
        <is>
          <t>57241951</t>
        </is>
      </c>
    </row>
    <row r="535">
      <c r="A535" s="8" t="inlineStr">
        <is>
          <t>G13643</t>
        </is>
      </c>
      <c r="B535" s="8" t="inlineStr">
        <is>
          <t>ТАЛАС ВОЯЖ</t>
        </is>
      </c>
      <c r="C535" s="8" t="inlineStr">
        <is>
          <t>2559103566|2559103569|2559103570</t>
        </is>
      </c>
      <c r="D535" s="8" t="inlineStr">
        <is>
          <t>Сумма не сходится</t>
        </is>
      </c>
      <c r="E535" s="8" t="inlineStr">
        <is>
          <t>Бот ETM</t>
        </is>
      </c>
      <c r="F535" s="8" t="inlineStr">
        <is>
          <t>A</t>
        </is>
      </c>
      <c r="G535" s="14" t="n">
        <v>92163.99000000001</v>
      </c>
      <c r="H535" s="14" t="n">
        <v>-96772.19</v>
      </c>
      <c r="I535" s="14" t="n">
        <v>92163.97500000001</v>
      </c>
      <c r="J535" s="14" t="n">
        <v>-4608.199999999997</v>
      </c>
      <c r="K535" s="21" t="n">
        <v>46108.45873842593</v>
      </c>
      <c r="L535" s="21" t="n">
        <v>46108</v>
      </c>
      <c r="M535" s="8" t="inlineStr"/>
      <c r="N535" s="8" t="inlineStr">
        <is>
          <t>Разработчик/поддержка бота ETM</t>
        </is>
      </c>
      <c r="O535" s="8" t="inlineStr">
        <is>
          <t>k.dzhumaev</t>
        </is>
      </c>
      <c r="P535" s="12" t="inlineStr">
        <is>
          <t>Реестр (92,163.98) совпадает с 1С (92,163.99), а в ETM 96,772.19: бот перенёс неверную сумму</t>
        </is>
      </c>
      <c r="Q535" s="8" t="inlineStr">
        <is>
          <t>57176541,57176516,57176519</t>
        </is>
      </c>
    </row>
    <row r="536">
      <c r="A536" s="8" t="inlineStr">
        <is>
          <t>G03248</t>
        </is>
      </c>
      <c r="B536" s="8" t="inlineStr">
        <is>
          <t>SkyWay Travel</t>
        </is>
      </c>
      <c r="C536" s="8" t="inlineStr">
        <is>
          <t>2476316381</t>
        </is>
      </c>
      <c r="D536" s="8" t="inlineStr">
        <is>
          <t>Сумма не сходится</t>
        </is>
      </c>
      <c r="E536" s="8" t="inlineStr">
        <is>
          <t>1С</t>
        </is>
      </c>
      <c r="F536" s="8" t="inlineStr">
        <is>
          <t>A</t>
        </is>
      </c>
      <c r="G536" s="14" t="n">
        <v>22701.13</v>
      </c>
      <c r="H536" s="14" t="n">
        <v>-27201.13</v>
      </c>
      <c r="I536" s="14" t="n">
        <v>27201.1345</v>
      </c>
      <c r="J536" s="14" t="n">
        <v>-4500</v>
      </c>
      <c r="K536" s="21" t="n">
        <v>46158.35393518519</v>
      </c>
      <c r="L536" s="21" t="n">
        <v>46158</v>
      </c>
      <c r="M536" s="8" t="inlineStr">
        <is>
          <t>TRANSPOSITION</t>
        </is>
      </c>
      <c r="N536" s="8" t="inlineStr">
        <is>
          <t>Бухгалтер 1С</t>
        </is>
      </c>
      <c r="O536" s="8" t="inlineStr">
        <is>
          <t>d.mambetova</t>
        </is>
      </c>
      <c r="P536" s="12" t="inlineStr">
        <is>
          <t>Реестр (27,201.13) совпадает с ETM (27,201.13), а в 1С 22,701.13: неверная сумма в 1С</t>
        </is>
      </c>
      <c r="Q536" s="8" t="inlineStr">
        <is>
          <t>57289396</t>
        </is>
      </c>
    </row>
    <row r="537">
      <c r="A537" s="8" t="inlineStr">
        <is>
          <t>G03661</t>
        </is>
      </c>
      <c r="B537" s="8" t="inlineStr">
        <is>
          <t>SkyWay Travel</t>
        </is>
      </c>
      <c r="C537" s="8" t="inlineStr">
        <is>
          <t>2559100450|2559100452|2559100454</t>
        </is>
      </c>
      <c r="D537" s="8" t="inlineStr">
        <is>
          <t>Сумма не сходится</t>
        </is>
      </c>
      <c r="E537" s="8" t="inlineStr">
        <is>
          <t>1С</t>
        </is>
      </c>
      <c r="F537" s="8" t="inlineStr">
        <is>
          <t>A</t>
        </is>
      </c>
      <c r="G537" s="14" t="n">
        <v>152730.96</v>
      </c>
      <c r="H537" s="14" t="n">
        <v>-157230.96</v>
      </c>
      <c r="I537" s="14" t="n">
        <v>157231.045</v>
      </c>
      <c r="J537" s="14" t="n">
        <v>-4500</v>
      </c>
      <c r="K537" s="21" t="n">
        <v>46181.40635416667</v>
      </c>
      <c r="L537" s="21" t="n">
        <v>46181</v>
      </c>
      <c r="M537" s="8" t="inlineStr">
        <is>
          <t>TRANSPOSITION</t>
        </is>
      </c>
      <c r="N537" s="8" t="inlineStr">
        <is>
          <t>Бухгалтер 1С</t>
        </is>
      </c>
      <c r="O537" s="8" t="inlineStr">
        <is>
          <t>k.dzhumaev</t>
        </is>
      </c>
      <c r="P537" s="12" t="inlineStr">
        <is>
          <t>Реестр (157,231.05) совпадает с ETM (157,230.96), а в 1С 152,730.96: неверная сумма в 1С</t>
        </is>
      </c>
      <c r="Q537" s="8" t="inlineStr">
        <is>
          <t>57351480,57351529,57351497</t>
        </is>
      </c>
    </row>
    <row r="538">
      <c r="A538" s="8" t="inlineStr">
        <is>
          <t>G14205</t>
        </is>
      </c>
      <c r="B538" s="8" t="inlineStr">
        <is>
          <t>Урматова Айпери Нурбековна</t>
        </is>
      </c>
      <c r="C538" s="8" t="inlineStr">
        <is>
          <t>2476318300|2476318302</t>
        </is>
      </c>
      <c r="D538" s="8" t="inlineStr">
        <is>
          <t>Сумма не сходится</t>
        </is>
      </c>
      <c r="E538" s="8" t="inlineStr">
        <is>
          <t>1С</t>
        </is>
      </c>
      <c r="F538" s="8" t="inlineStr">
        <is>
          <t>A</t>
        </is>
      </c>
      <c r="G538" s="14" t="n">
        <v>55017.36</v>
      </c>
      <c r="H538" s="14" t="n">
        <v>-50517.36</v>
      </c>
      <c r="I538" s="14" t="n">
        <v>50517.35680000001</v>
      </c>
      <c r="J538" s="14" t="n">
        <v>4500</v>
      </c>
      <c r="K538" s="21" t="n">
        <v>46138.34506944445</v>
      </c>
      <c r="L538" s="21" t="n">
        <v>46138</v>
      </c>
      <c r="M538" s="8" t="inlineStr">
        <is>
          <t>TRANSPOSITION</t>
        </is>
      </c>
      <c r="N538" s="8" t="inlineStr">
        <is>
          <t>Бухгалтер 1С</t>
        </is>
      </c>
      <c r="O538" s="8" t="inlineStr">
        <is>
          <t>d.mambetova</t>
        </is>
      </c>
      <c r="P538" s="12" t="inlineStr">
        <is>
          <t>Реестр (50,517.36) совпадает с ETM (50,517.36), а в 1С 55,017.36: неверная сумма в 1С</t>
        </is>
      </c>
      <c r="Q538" s="8" t="inlineStr">
        <is>
          <t>57230917,57230916</t>
        </is>
      </c>
    </row>
    <row r="539">
      <c r="A539" s="8" t="inlineStr">
        <is>
          <t>G13678</t>
        </is>
      </c>
      <c r="B539" s="8" t="inlineStr">
        <is>
          <t>ТАЛАС ЛАЙН</t>
        </is>
      </c>
      <c r="C539" s="8" t="inlineStr">
        <is>
          <t>2420846053|2420846055|2420846058</t>
        </is>
      </c>
      <c r="D539" s="8" t="inlineStr">
        <is>
          <t>Сумма не сходится</t>
        </is>
      </c>
      <c r="E539" s="8" t="inlineStr">
        <is>
          <t>Бот ETM</t>
        </is>
      </c>
      <c r="F539" s="8" t="inlineStr">
        <is>
          <t>A</t>
        </is>
      </c>
      <c r="G539" s="14" t="n">
        <v>44965.59</v>
      </c>
      <c r="H539" s="14" t="n">
        <v>-49462.15</v>
      </c>
      <c r="I539" s="14" t="n">
        <v>44965.5954</v>
      </c>
      <c r="J539" s="14" t="n">
        <v>-4496.560000000005</v>
      </c>
      <c r="K539" s="21" t="n">
        <v>46062.47673611111</v>
      </c>
      <c r="L539" s="21" t="n">
        <v>46062</v>
      </c>
      <c r="M539" s="8" t="inlineStr"/>
      <c r="N539" s="8" t="inlineStr">
        <is>
          <t>Разработчик/поддержка бота ETM</t>
        </is>
      </c>
      <c r="O539" s="8" t="inlineStr">
        <is>
          <t>g.omurbekova</t>
        </is>
      </c>
      <c r="P539" s="12" t="inlineStr">
        <is>
          <t>Реестр (44,965.60) совпадает с 1С (44,965.59), а в ETM 49,462.15: бот перенёс неверную сумму</t>
        </is>
      </c>
      <c r="Q539" s="8" t="inlineStr">
        <is>
          <t>57080962,57080961,57080945</t>
        </is>
      </c>
    </row>
    <row r="540">
      <c r="A540" s="8" t="inlineStr">
        <is>
          <t>G05909</t>
        </is>
      </c>
      <c r="B540" s="8" t="inlineStr">
        <is>
          <t>Асанова Каныкей Эсенбекевна</t>
        </is>
      </c>
      <c r="C540" s="8" t="inlineStr">
        <is>
          <t>2476318525|2476318526</t>
        </is>
      </c>
      <c r="D540" s="8" t="inlineStr">
        <is>
          <t>Сумма не сходится</t>
        </is>
      </c>
      <c r="E540" s="8" t="inlineStr">
        <is>
          <t>Бот ETM</t>
        </is>
      </c>
      <c r="F540" s="8" t="inlineStr">
        <is>
          <t>A</t>
        </is>
      </c>
      <c r="G540" s="14" t="n">
        <v>44445.36</v>
      </c>
      <c r="H540" s="14" t="n">
        <v>-40000.82</v>
      </c>
      <c r="I540" s="14" t="n">
        <v>44445.36</v>
      </c>
      <c r="J540" s="14" t="n">
        <v>4444.540000000001</v>
      </c>
      <c r="K540" s="21" t="n">
        <v>46116.34571759259</v>
      </c>
      <c r="L540" s="21" t="n">
        <v>46116</v>
      </c>
      <c r="M540" s="8" t="inlineStr"/>
      <c r="N540" s="8" t="inlineStr">
        <is>
          <t>Разработчик/поддержка бота ETM</t>
        </is>
      </c>
      <c r="O540" s="8" t="inlineStr">
        <is>
          <t>a.toktosunova</t>
        </is>
      </c>
      <c r="P540" s="12" t="inlineStr">
        <is>
          <t>Реестр (44,445.36) совпадает с 1С (44,445.36), а в ETM 40,000.82: бот перенёс неверную сумму</t>
        </is>
      </c>
      <c r="Q540" s="8" t="inlineStr">
        <is>
          <t>57190494,57190486</t>
        </is>
      </c>
    </row>
    <row r="541">
      <c r="A541" s="8" t="inlineStr">
        <is>
          <t>G09279</t>
        </is>
      </c>
      <c r="B541" s="8" t="inlineStr">
        <is>
          <t>ИССЫК ТРИП</t>
        </is>
      </c>
      <c r="C541" s="8" t="inlineStr">
        <is>
          <t>2552669012</t>
        </is>
      </c>
      <c r="D541" s="8" t="inlineStr">
        <is>
          <t>Сумма не сходится</t>
        </is>
      </c>
      <c r="E541" s="8" t="inlineStr">
        <is>
          <t>1С</t>
        </is>
      </c>
      <c r="F541" s="8" t="inlineStr">
        <is>
          <t>A</t>
        </is>
      </c>
      <c r="G541" s="14" t="n">
        <v>44308.5</v>
      </c>
      <c r="H541" s="14" t="n">
        <v>-48739.35</v>
      </c>
      <c r="I541" s="14" t="n">
        <v>48739.41</v>
      </c>
      <c r="J541" s="14" t="n">
        <v>-4430.849999999999</v>
      </c>
      <c r="K541" s="21" t="n">
        <v>46163.4966087963</v>
      </c>
      <c r="L541" s="21" t="n">
        <v>46163</v>
      </c>
      <c r="M541" s="8" t="inlineStr"/>
      <c r="N541" s="8" t="inlineStr">
        <is>
          <t>Бухгалтер 1С</t>
        </is>
      </c>
      <c r="O541" s="8" t="inlineStr">
        <is>
          <t>k.dzhumaev</t>
        </is>
      </c>
      <c r="P541" s="12" t="inlineStr">
        <is>
          <t>Реестр (48,739.41) совпадает с ETM (48,739.35), а в 1С 44,308.50: неверная сумма в 1С</t>
        </is>
      </c>
      <c r="Q541" s="8" t="inlineStr">
        <is>
          <t>57304249</t>
        </is>
      </c>
    </row>
    <row r="542">
      <c r="A542" s="8" t="inlineStr">
        <is>
          <t>G15237</t>
        </is>
      </c>
      <c r="B542" s="8" t="inlineStr">
        <is>
          <t>Ыйык Тур</t>
        </is>
      </c>
      <c r="C542" s="8" t="inlineStr">
        <is>
          <t>2559100596|2559100597|2559100598|2559100600</t>
        </is>
      </c>
      <c r="D542" s="8" t="inlineStr">
        <is>
          <t>Сумма не сходится</t>
        </is>
      </c>
      <c r="E542" s="8" t="inlineStr">
        <is>
          <t>1С</t>
        </is>
      </c>
      <c r="F542" s="8" t="inlineStr">
        <is>
          <t>A</t>
        </is>
      </c>
      <c r="G542" s="14" t="n">
        <v>87474.72</v>
      </c>
      <c r="H542" s="14" t="n">
        <v>-83100.98</v>
      </c>
      <c r="I542" s="14" t="n">
        <v>83100.96500000001</v>
      </c>
      <c r="J542" s="14" t="n">
        <v>4373.740000000005</v>
      </c>
      <c r="K542" s="21" t="n">
        <v>46144.66105324074</v>
      </c>
      <c r="L542" s="21" t="n">
        <v>46144</v>
      </c>
      <c r="M542" s="8" t="inlineStr"/>
      <c r="N542" s="8" t="inlineStr">
        <is>
          <t>Бухгалтер 1С</t>
        </is>
      </c>
      <c r="O542" s="8" t="inlineStr">
        <is>
          <t>d.mambetova</t>
        </is>
      </c>
      <c r="P542" s="12" t="inlineStr">
        <is>
          <t>Реестр (83,100.97) совпадает с ETM (83,100.98), а в 1С 87,474.72: неверная сумма в 1С</t>
        </is>
      </c>
      <c r="Q542" s="8" t="inlineStr">
        <is>
          <t>57245074,57245027,57245065,57245015</t>
        </is>
      </c>
    </row>
    <row r="543">
      <c r="A543" s="8" t="inlineStr">
        <is>
          <t>G12004</t>
        </is>
      </c>
      <c r="B543" s="8" t="inlineStr">
        <is>
          <t>ОсОО Чолпон Авиакасса</t>
        </is>
      </c>
      <c r="C543" s="8" t="inlineStr">
        <is>
          <t>2459530607|2459530608</t>
        </is>
      </c>
      <c r="D543" s="8" t="inlineStr">
        <is>
          <t>Сумма не сходится</t>
        </is>
      </c>
      <c r="E543" s="8" t="inlineStr">
        <is>
          <t>1С</t>
        </is>
      </c>
      <c r="F543" s="8" t="inlineStr">
        <is>
          <t>A</t>
        </is>
      </c>
      <c r="G543" s="14" t="n">
        <v>87398</v>
      </c>
      <c r="H543" s="14" t="n">
        <v>-91767.89999999999</v>
      </c>
      <c r="I543" s="14" t="n">
        <v>91767.89999999999</v>
      </c>
      <c r="J543" s="14" t="n">
        <v>-4369.899999999994</v>
      </c>
      <c r="K543" s="21" t="n">
        <v>46160.43098379629</v>
      </c>
      <c r="L543" s="21" t="n">
        <v>46160</v>
      </c>
      <c r="M543" s="8" t="inlineStr"/>
      <c r="N543" s="8" t="inlineStr">
        <is>
          <t>Бухгалтер 1С</t>
        </is>
      </c>
      <c r="O543" s="8" t="inlineStr">
        <is>
          <t>g.omurbekova</t>
        </is>
      </c>
      <c r="P543" s="12" t="inlineStr">
        <is>
          <t>Реестр (91,767.90) совпадает с ETM (91,767.90), а в 1С 87,398.00: неверная сумма в 1С</t>
        </is>
      </c>
      <c r="Q543" s="8" t="inlineStr">
        <is>
          <t>57296025,57296059</t>
        </is>
      </c>
    </row>
    <row r="544">
      <c r="A544" s="8" t="inlineStr">
        <is>
          <t>G08281</t>
        </is>
      </c>
      <c r="B544" s="8" t="inlineStr">
        <is>
          <t>ИП Мамбетова Ч. Э.</t>
        </is>
      </c>
      <c r="C544" s="8" t="inlineStr">
        <is>
          <t>2461885792</t>
        </is>
      </c>
      <c r="D544" s="8" t="inlineStr">
        <is>
          <t>Сумма не сходится</t>
        </is>
      </c>
      <c r="E544" s="8" t="inlineStr">
        <is>
          <t>1С</t>
        </is>
      </c>
      <c r="F544" s="8" t="inlineStr">
        <is>
          <t>A</t>
        </is>
      </c>
      <c r="G544" s="14" t="n">
        <v>43078</v>
      </c>
      <c r="H544" s="14" t="n">
        <v>-47385.8</v>
      </c>
      <c r="I544" s="14" t="n">
        <v>47385.8</v>
      </c>
      <c r="J544" s="14" t="n">
        <v>-4307.800000000003</v>
      </c>
      <c r="K544" s="21" t="n">
        <v>46228.7297337963</v>
      </c>
      <c r="L544" s="21" t="n">
        <v>46228</v>
      </c>
      <c r="M544" s="8" t="inlineStr"/>
      <c r="N544" s="8" t="inlineStr">
        <is>
          <t>Бухгалтер 1С</t>
        </is>
      </c>
      <c r="O544" s="8" t="inlineStr">
        <is>
          <t>n.abdyldaeva</t>
        </is>
      </c>
      <c r="P544" s="12" t="inlineStr">
        <is>
          <t>Реестр (47,385.80) совпадает с ETM (47,385.80), а в 1С 43,078.00: неверная сумма в 1С</t>
        </is>
      </c>
      <c r="Q544" s="8" t="inlineStr">
        <is>
          <t>57487745</t>
        </is>
      </c>
    </row>
    <row r="545">
      <c r="A545" s="8" t="inlineStr">
        <is>
          <t>G01159</t>
        </is>
      </c>
      <c r="B545" s="8" t="inlineStr">
        <is>
          <t>Karakol Express</t>
        </is>
      </c>
      <c r="C545" s="8" t="inlineStr">
        <is>
          <t>2416946456</t>
        </is>
      </c>
      <c r="D545" s="8" t="inlineStr">
        <is>
          <t>Сумма не сходится</t>
        </is>
      </c>
      <c r="E545" s="8" t="inlineStr">
        <is>
          <t>Бот ETM</t>
        </is>
      </c>
      <c r="F545" s="8" t="inlineStr">
        <is>
          <t>A</t>
        </is>
      </c>
      <c r="G545" s="14" t="n">
        <v>43026.96</v>
      </c>
      <c r="H545" s="14" t="n">
        <v>-47329.66</v>
      </c>
      <c r="I545" s="14" t="n">
        <v>43026.96</v>
      </c>
      <c r="J545" s="14" t="n">
        <v>-4302.700000000004</v>
      </c>
      <c r="K545" s="21" t="n">
        <v>46023.68350694444</v>
      </c>
      <c r="L545" s="21" t="n">
        <v>46023</v>
      </c>
      <c r="M545" s="8" t="inlineStr"/>
      <c r="N545" s="8" t="inlineStr">
        <is>
          <t>Разработчик/поддержка бота ETM</t>
        </is>
      </c>
      <c r="O545" s="8" t="inlineStr">
        <is>
          <t>r.sydykov</t>
        </is>
      </c>
      <c r="P545" s="12" t="inlineStr">
        <is>
          <t>Реестр (43,026.96) совпадает с 1С (43,026.96), а в ETM 47,329.66: бот перенёс неверную сумму</t>
        </is>
      </c>
      <c r="Q545" s="8" t="inlineStr">
        <is>
          <t>57002294</t>
        </is>
      </c>
    </row>
    <row r="546">
      <c r="A546" s="8" t="inlineStr">
        <is>
          <t>G08719</t>
        </is>
      </c>
      <c r="B546" s="8" t="inlineStr">
        <is>
          <t>ИП Турсунов Т. А.</t>
        </is>
      </c>
      <c r="C546" s="8" t="inlineStr">
        <is>
          <t>2416941647|2416941648</t>
        </is>
      </c>
      <c r="D546" s="8" t="inlineStr">
        <is>
          <t>Сумма не сходится</t>
        </is>
      </c>
      <c r="E546" s="8" t="inlineStr">
        <is>
          <t>1С</t>
        </is>
      </c>
      <c r="F546" s="8" t="inlineStr">
        <is>
          <t>A</t>
        </is>
      </c>
      <c r="G546" s="14" t="n">
        <v>85737.24000000001</v>
      </c>
      <c r="H546" s="14" t="n">
        <v>-81450.38</v>
      </c>
      <c r="I546" s="14" t="n">
        <v>81450.0128</v>
      </c>
      <c r="J546" s="14" t="n">
        <v>4286.860000000001</v>
      </c>
      <c r="K546" s="21" t="n">
        <v>46033.37583333333</v>
      </c>
      <c r="L546" s="21" t="n">
        <v>46033</v>
      </c>
      <c r="M546" s="8" t="inlineStr"/>
      <c r="N546" s="8" t="inlineStr">
        <is>
          <t>Бухгалтер 1С</t>
        </is>
      </c>
      <c r="O546" s="8" t="inlineStr">
        <is>
          <t>b.isakov</t>
        </is>
      </c>
      <c r="P546" s="12" t="inlineStr">
        <is>
          <t>Реестр (81,450.01) совпадает с ETM (81,450.38), а в 1С 85,737.24: неверная сумма в 1С</t>
        </is>
      </c>
      <c r="Q546" s="8" t="inlineStr">
        <is>
          <t>57019481,57019451</t>
        </is>
      </c>
    </row>
    <row r="547">
      <c r="A547" s="8" t="inlineStr">
        <is>
          <t>G12532</t>
        </is>
      </c>
      <c r="B547" s="8" t="inlineStr">
        <is>
          <t>Сагын кызы Б.</t>
        </is>
      </c>
      <c r="C547" s="8" t="inlineStr">
        <is>
          <t>2416942473</t>
        </is>
      </c>
      <c r="D547" s="8" t="inlineStr">
        <is>
          <t>Сумма не сходится</t>
        </is>
      </c>
      <c r="E547" s="8" t="inlineStr">
        <is>
          <t>Бот ETM</t>
        </is>
      </c>
      <c r="F547" s="8" t="inlineStr">
        <is>
          <t>A</t>
        </is>
      </c>
      <c r="G547" s="14" t="n">
        <v>42050.31</v>
      </c>
      <c r="H547" s="14" t="n">
        <v>-46255.34</v>
      </c>
      <c r="I547" s="14" t="n">
        <v>42050.31</v>
      </c>
      <c r="J547" s="14" t="n">
        <v>-4205.029999999999</v>
      </c>
      <c r="K547" s="21" t="n">
        <v>46207.41333333333</v>
      </c>
      <c r="L547" s="21" t="n">
        <v>46207</v>
      </c>
      <c r="M547" s="8" t="inlineStr"/>
      <c r="N547" s="8" t="inlineStr">
        <is>
          <t>Разработчик/поддержка бота ETM</t>
        </is>
      </c>
      <c r="O547" s="8" t="inlineStr">
        <is>
          <t>a.toktosunova</t>
        </is>
      </c>
      <c r="P547" s="12" t="inlineStr">
        <is>
          <t>Реестр (42,050.31) совпадает с 1С (42,050.31), а в ETM 46,255.34: бот перенёс неверную сумму</t>
        </is>
      </c>
      <c r="Q547" s="8" t="inlineStr">
        <is>
          <t>57427933</t>
        </is>
      </c>
    </row>
    <row r="548">
      <c r="A548" s="8" t="inlineStr">
        <is>
          <t>G08061</t>
        </is>
      </c>
      <c r="B548" s="8" t="inlineStr">
        <is>
          <t>ИП Джолдошов Д. У.</t>
        </is>
      </c>
      <c r="C548" s="8" t="inlineStr">
        <is>
          <t>2416942257</t>
        </is>
      </c>
      <c r="D548" s="8" t="inlineStr">
        <is>
          <t>Сумма не сходится</t>
        </is>
      </c>
      <c r="E548" s="8" t="inlineStr">
        <is>
          <t>Бот ETM</t>
        </is>
      </c>
      <c r="F548" s="8" t="inlineStr">
        <is>
          <t>A</t>
        </is>
      </c>
      <c r="G548" s="14" t="n">
        <v>41721.4</v>
      </c>
      <c r="H548" s="14" t="n">
        <v>-45893.54</v>
      </c>
      <c r="I548" s="14" t="n">
        <v>41721.4</v>
      </c>
      <c r="J548" s="14" t="n">
        <v>-4172.139999999999</v>
      </c>
      <c r="K548" s="21" t="n">
        <v>46108.51565972222</v>
      </c>
      <c r="L548" s="21" t="n">
        <v>46108</v>
      </c>
      <c r="M548" s="8" t="inlineStr"/>
      <c r="N548" s="8" t="inlineStr">
        <is>
          <t>Разработчик/поддержка бота ETM</t>
        </is>
      </c>
      <c r="O548" s="8" t="inlineStr">
        <is>
          <t>a.toktosunova</t>
        </is>
      </c>
      <c r="P548" s="12" t="inlineStr">
        <is>
          <t>Реестр (41,721.40) совпадает с 1С (41,721.40), а в ETM 45,893.54: бот перенёс неверную сумму</t>
        </is>
      </c>
      <c r="Q548" s="8" t="inlineStr">
        <is>
          <t>57175044</t>
        </is>
      </c>
    </row>
    <row r="549">
      <c r="A549" s="8" t="inlineStr">
        <is>
          <t>G00155</t>
        </is>
      </c>
      <c r="B549" s="8" t="inlineStr">
        <is>
          <t>Aylana Tour</t>
        </is>
      </c>
      <c r="C549" s="8" t="inlineStr">
        <is>
          <t>2416945585|2416945586</t>
        </is>
      </c>
      <c r="D549" s="8" t="inlineStr">
        <is>
          <t>Сумма не сходится</t>
        </is>
      </c>
      <c r="E549" s="8" t="inlineStr">
        <is>
          <t>1С</t>
        </is>
      </c>
      <c r="F549" s="8" t="inlineStr">
        <is>
          <t>A</t>
        </is>
      </c>
      <c r="G549" s="14" t="n">
        <v>82472.28</v>
      </c>
      <c r="H549" s="14" t="n">
        <v>-86595.89</v>
      </c>
      <c r="I549" s="14" t="n">
        <v>86595.894</v>
      </c>
      <c r="J549" s="14" t="n">
        <v>-4123.610000000001</v>
      </c>
      <c r="K549" s="21" t="n">
        <v>46051.78599537037</v>
      </c>
      <c r="L549" s="21" t="n">
        <v>46051</v>
      </c>
      <c r="M549" s="8" t="inlineStr"/>
      <c r="N549" s="8" t="inlineStr">
        <is>
          <t>Бухгалтер 1С</t>
        </is>
      </c>
      <c r="O549" s="8" t="inlineStr">
        <is>
          <t>k.dzhumaev</t>
        </is>
      </c>
      <c r="P549" s="12" t="inlineStr">
        <is>
          <t>Реестр (86,595.89) совпадает с ETM (86,595.89), а в 1С 82,472.28: неверная сумма в 1С</t>
        </is>
      </c>
      <c r="Q549" s="8" t="inlineStr">
        <is>
          <t>57061776,57061793</t>
        </is>
      </c>
    </row>
    <row r="550">
      <c r="A550" s="8" t="inlineStr">
        <is>
          <t>G07726</t>
        </is>
      </c>
      <c r="B550" s="8" t="inlineStr">
        <is>
          <t>ИП Абдылдаова У. О.</t>
        </is>
      </c>
      <c r="C550" s="8" t="inlineStr">
        <is>
          <t>2476319665|2476319667|2476319670</t>
        </is>
      </c>
      <c r="D550" s="8" t="inlineStr">
        <is>
          <t>Сумма не сходится</t>
        </is>
      </c>
      <c r="E550" s="8" t="inlineStr">
        <is>
          <t>Бот ETM</t>
        </is>
      </c>
      <c r="F550" s="8" t="inlineStr">
        <is>
          <t>A</t>
        </is>
      </c>
      <c r="G550" s="14" t="n">
        <v>81423</v>
      </c>
      <c r="H550" s="14" t="n">
        <v>-85494.14999999999</v>
      </c>
      <c r="I550" s="14" t="n">
        <v>81423</v>
      </c>
      <c r="J550" s="14" t="n">
        <v>-4071.149999999994</v>
      </c>
      <c r="K550" s="21" t="n">
        <v>46226.41</v>
      </c>
      <c r="L550" s="21" t="n">
        <v>46226</v>
      </c>
      <c r="M550" s="8" t="inlineStr"/>
      <c r="N550" s="8" t="inlineStr">
        <is>
          <t>Разработчик/поддержка бота ETM</t>
        </is>
      </c>
      <c r="O550" s="8" t="inlineStr">
        <is>
          <t>b.isakov</t>
        </is>
      </c>
      <c r="P550" s="12" t="inlineStr">
        <is>
          <t>Реестр (81,423.00) совпадает с 1С (81,423.00), а в ETM 85,494.15: бот перенёс неверную сумму</t>
        </is>
      </c>
      <c r="Q550" s="8" t="inlineStr">
        <is>
          <t>57482806,57482794,57482817</t>
        </is>
      </c>
    </row>
    <row r="551">
      <c r="A551" s="8" t="inlineStr">
        <is>
          <t>G03726</t>
        </is>
      </c>
      <c r="B551" s="8" t="inlineStr">
        <is>
          <t>SkyWay Travel</t>
        </is>
      </c>
      <c r="C551" s="8" t="inlineStr">
        <is>
          <t>2559102196|2559102199|2559102202</t>
        </is>
      </c>
      <c r="D551" s="8" t="inlineStr">
        <is>
          <t>Сумма не сходится</t>
        </is>
      </c>
      <c r="E551" s="8" t="inlineStr">
        <is>
          <t>1С</t>
        </is>
      </c>
      <c r="F551" s="8" t="inlineStr">
        <is>
          <t>A</t>
        </is>
      </c>
      <c r="G551" s="14" t="n">
        <v>79899.96000000001</v>
      </c>
      <c r="H551" s="14" t="n">
        <v>-75904.95999999999</v>
      </c>
      <c r="I551" s="14" t="n">
        <v>75904.962</v>
      </c>
      <c r="J551" s="14" t="n">
        <v>3995.000000000015</v>
      </c>
      <c r="K551" s="21" t="n">
        <v>46224.3400925926</v>
      </c>
      <c r="L551" s="21" t="n">
        <v>46224</v>
      </c>
      <c r="M551" s="8" t="inlineStr"/>
      <c r="N551" s="8" t="inlineStr">
        <is>
          <t>Бухгалтер 1С</t>
        </is>
      </c>
      <c r="O551" s="8" t="inlineStr">
        <is>
          <t>d.mambetova</t>
        </is>
      </c>
      <c r="P551" s="12" t="inlineStr">
        <is>
          <t>Реестр (75,904.96) совпадает с ETM (75,904.96), а в 1С 79,899.96: неверная сумма в 1С</t>
        </is>
      </c>
      <c r="Q551" s="8" t="inlineStr">
        <is>
          <t>57476832,57476814,57476803</t>
        </is>
      </c>
    </row>
    <row r="552">
      <c r="A552" s="8" t="inlineStr">
        <is>
          <t>G09911</t>
        </is>
      </c>
      <c r="B552" s="8" t="inlineStr">
        <is>
          <t>МУРАС ТРИП</t>
        </is>
      </c>
      <c r="C552" s="8" t="inlineStr">
        <is>
          <t>2416942878|2416942881</t>
        </is>
      </c>
      <c r="D552" s="8" t="inlineStr">
        <is>
          <t>Сумма не сходится</t>
        </is>
      </c>
      <c r="E552" s="8" t="inlineStr">
        <is>
          <t>Бот ETM</t>
        </is>
      </c>
      <c r="F552" s="8" t="inlineStr">
        <is>
          <t>A</t>
        </is>
      </c>
      <c r="G552" s="14" t="n">
        <v>76722.36</v>
      </c>
      <c r="H552" s="14" t="n">
        <v>-80558.48000000001</v>
      </c>
      <c r="I552" s="14" t="n">
        <v>76722.36</v>
      </c>
      <c r="J552" s="14" t="n">
        <v>-3836.12000000001</v>
      </c>
      <c r="K552" s="21" t="n">
        <v>46136.74074074074</v>
      </c>
      <c r="L552" s="21" t="n">
        <v>46136</v>
      </c>
      <c r="M552" s="8" t="inlineStr"/>
      <c r="N552" s="8" t="inlineStr">
        <is>
          <t>Разработчик/поддержка бота ETM</t>
        </is>
      </c>
      <c r="O552" s="8" t="inlineStr">
        <is>
          <t>n.abdyldaeva</t>
        </is>
      </c>
      <c r="P552" s="12" t="inlineStr">
        <is>
          <t>Реестр (76,722.36) совпадает с 1С (76,722.36), а в ETM 80,558.48: бот перенёс неверную сумму</t>
        </is>
      </c>
      <c r="Q552" s="8" t="inlineStr">
        <is>
          <t>57226280,57226296</t>
        </is>
      </c>
    </row>
    <row r="553">
      <c r="A553" s="8" t="inlineStr">
        <is>
          <t>G09333</t>
        </is>
      </c>
      <c r="B553" s="8" t="inlineStr">
        <is>
          <t>ИССЫК ТРИП</t>
        </is>
      </c>
      <c r="C553" s="8" t="inlineStr">
        <is>
          <t>2559099352</t>
        </is>
      </c>
      <c r="D553" s="8" t="inlineStr">
        <is>
          <t>Сумма не сходится</t>
        </is>
      </c>
      <c r="E553" s="8" t="inlineStr">
        <is>
          <t>1С</t>
        </is>
      </c>
      <c r="F553" s="8" t="inlineStr">
        <is>
          <t>A</t>
        </is>
      </c>
      <c r="G553" s="14" t="n">
        <v>38138.35</v>
      </c>
      <c r="H553" s="14" t="n">
        <v>-41952.19</v>
      </c>
      <c r="I553" s="14" t="n">
        <v>41952.41379999999</v>
      </c>
      <c r="J553" s="14" t="n">
        <v>-3813.840000000004</v>
      </c>
      <c r="K553" s="21" t="n">
        <v>46188.80395833333</v>
      </c>
      <c r="L553" s="21" t="n">
        <v>46188</v>
      </c>
      <c r="M553" s="8" t="inlineStr"/>
      <c r="N553" s="8" t="inlineStr">
        <is>
          <t>Бухгалтер 1С</t>
        </is>
      </c>
      <c r="O553" s="8" t="inlineStr">
        <is>
          <t>k.dzhumaev</t>
        </is>
      </c>
      <c r="P553" s="12" t="inlineStr">
        <is>
          <t>Реестр (41,952.41) совпадает с ETM (41,952.19), а в 1С 38,138.35: неверная сумма в 1С</t>
        </is>
      </c>
      <c r="Q553" s="8" t="inlineStr">
        <is>
          <t>57368738</t>
        </is>
      </c>
    </row>
    <row r="554">
      <c r="A554" s="8" t="inlineStr">
        <is>
          <t>G10209</t>
        </is>
      </c>
      <c r="B554" s="8" t="inlineStr">
        <is>
          <t>Манас Тревел</t>
        </is>
      </c>
      <c r="C554" s="8" t="inlineStr">
        <is>
          <t>2416946092</t>
        </is>
      </c>
      <c r="D554" s="8" t="inlineStr">
        <is>
          <t>Сумма не сходится</t>
        </is>
      </c>
      <c r="E554" s="8" t="inlineStr">
        <is>
          <t>1С</t>
        </is>
      </c>
      <c r="F554" s="8" t="inlineStr">
        <is>
          <t>A</t>
        </is>
      </c>
      <c r="G554" s="14" t="n">
        <v>37986.55</v>
      </c>
      <c r="H554" s="14" t="n">
        <v>-41785.21</v>
      </c>
      <c r="I554" s="14" t="n">
        <v>41785.422</v>
      </c>
      <c r="J554" s="14" t="n">
        <v>-3798.659999999996</v>
      </c>
      <c r="K554" s="21" t="n">
        <v>46159.7674537037</v>
      </c>
      <c r="L554" s="21" t="n">
        <v>46159</v>
      </c>
      <c r="M554" s="8" t="inlineStr"/>
      <c r="N554" s="8" t="inlineStr">
        <is>
          <t>Бухгалтер 1С</t>
        </is>
      </c>
      <c r="O554" s="8" t="inlineStr">
        <is>
          <t>d.mambetova</t>
        </is>
      </c>
      <c r="P554" s="12" t="inlineStr">
        <is>
          <t>Реестр (41,785.42) совпадает с ETM (41,785.21), а в 1С 37,986.55: неверная сумма в 1С</t>
        </is>
      </c>
      <c r="Q554" s="8" t="inlineStr">
        <is>
          <t>57294076</t>
        </is>
      </c>
    </row>
    <row r="555">
      <c r="A555" s="8" t="inlineStr">
        <is>
          <t>G03520</t>
        </is>
      </c>
      <c r="B555" s="8" t="inlineStr">
        <is>
          <t>SkyWay Travel</t>
        </is>
      </c>
      <c r="C555" s="8" t="inlineStr">
        <is>
          <t>2552671378|2552671380|2552671382</t>
        </is>
      </c>
      <c r="D555" s="8" t="inlineStr">
        <is>
          <t>Сумма не сходится</t>
        </is>
      </c>
      <c r="E555" s="8" t="inlineStr">
        <is>
          <t>Бот ETM</t>
        </is>
      </c>
      <c r="F555" s="8" t="inlineStr">
        <is>
          <t>A</t>
        </is>
      </c>
      <c r="G555" s="14" t="n">
        <v>74160.03</v>
      </c>
      <c r="H555" s="14" t="n">
        <v>-77868.03</v>
      </c>
      <c r="I555" s="14" t="n">
        <v>74160.03</v>
      </c>
      <c r="J555" s="14" t="n">
        <v>-3708</v>
      </c>
      <c r="K555" s="21" t="n">
        <v>46118.36541666667</v>
      </c>
      <c r="L555" s="21" t="n">
        <v>46118</v>
      </c>
      <c r="M555" s="8" t="inlineStr"/>
      <c r="N555" s="8" t="inlineStr">
        <is>
          <t>Разработчик/поддержка бота ETM</t>
        </is>
      </c>
      <c r="O555" s="8" t="inlineStr">
        <is>
          <t>b.isakov</t>
        </is>
      </c>
      <c r="P555" s="12" t="inlineStr">
        <is>
          <t>Реестр (74,160.03) совпадает с 1С (74,160.03), а в ETM 77,868.03: бот перенёс неверную сумму</t>
        </is>
      </c>
      <c r="Q555" s="8" t="inlineStr">
        <is>
          <t>57193213,57193249,57193194</t>
        </is>
      </c>
    </row>
    <row r="556">
      <c r="A556" s="8" t="inlineStr">
        <is>
          <t>G01710</t>
        </is>
      </c>
      <c r="B556" s="8" t="inlineStr">
        <is>
          <t>Karakol Express</t>
        </is>
      </c>
      <c r="C556" s="8" t="inlineStr">
        <is>
          <t>2476318209</t>
        </is>
      </c>
      <c r="D556" s="8" t="inlineStr">
        <is>
          <t>Сумма не сходится</t>
        </is>
      </c>
      <c r="E556" s="8" t="inlineStr">
        <is>
          <t>Бот ETM</t>
        </is>
      </c>
      <c r="F556" s="8" t="inlineStr">
        <is>
          <t>A</t>
        </is>
      </c>
      <c r="G556" s="14" t="n">
        <v>14847</v>
      </c>
      <c r="H556" s="14" t="n">
        <v>-18447</v>
      </c>
      <c r="I556" s="14" t="n">
        <v>14847</v>
      </c>
      <c r="J556" s="14" t="n">
        <v>-3600</v>
      </c>
      <c r="K556" s="21" t="n">
        <v>46183.35440972223</v>
      </c>
      <c r="L556" s="21" t="n">
        <v>46183</v>
      </c>
      <c r="M556" s="8" t="inlineStr">
        <is>
          <t>TRANSPOSITION</t>
        </is>
      </c>
      <c r="N556" s="8" t="inlineStr">
        <is>
          <t>Разработчик/поддержка бота ETM</t>
        </is>
      </c>
      <c r="O556" s="8" t="inlineStr">
        <is>
          <t>g.omurbekova</t>
        </is>
      </c>
      <c r="P556" s="12" t="inlineStr">
        <is>
          <t>Реестр (14,847.00) совпадает с 1С (14,847.00), а в ETM 18,447.00: бот перенёс неверную сумму</t>
        </is>
      </c>
      <c r="Q556" s="8" t="inlineStr">
        <is>
          <t>57357276</t>
        </is>
      </c>
    </row>
    <row r="557">
      <c r="A557" s="8" t="inlineStr">
        <is>
          <t>G02740</t>
        </is>
      </c>
      <c r="B557" s="8" t="inlineStr">
        <is>
          <t>SkyWay Travel</t>
        </is>
      </c>
      <c r="C557" s="8" t="inlineStr">
        <is>
          <t>2459530762</t>
        </is>
      </c>
      <c r="D557" s="8" t="inlineStr">
        <is>
          <t>Сумма не сходится</t>
        </is>
      </c>
      <c r="E557" s="8" t="inlineStr">
        <is>
          <t>Бот ETM</t>
        </is>
      </c>
      <c r="F557" s="8" t="inlineStr">
        <is>
          <t>A</t>
        </is>
      </c>
      <c r="G557" s="14" t="n">
        <v>31586</v>
      </c>
      <c r="H557" s="14" t="n">
        <v>-35186</v>
      </c>
      <c r="I557" s="14" t="n">
        <v>31586</v>
      </c>
      <c r="J557" s="14" t="n">
        <v>-3600</v>
      </c>
      <c r="K557" s="21" t="n">
        <v>46204.46402777778</v>
      </c>
      <c r="L557" s="21" t="n">
        <v>46204</v>
      </c>
      <c r="M557" s="8" t="inlineStr">
        <is>
          <t>TRANSPOSITION</t>
        </is>
      </c>
      <c r="N557" s="8" t="inlineStr">
        <is>
          <t>Разработчик/поддержка бота ETM</t>
        </is>
      </c>
      <c r="O557" s="8" t="inlineStr">
        <is>
          <t>r.sydykov</t>
        </is>
      </c>
      <c r="P557" s="12" t="inlineStr">
        <is>
          <t>Реестр (31,586.00) совпадает с 1С (31,586.00), а в ETM 35,186.00: бот перенёс неверную сумму</t>
        </is>
      </c>
      <c r="Q557" s="8" t="inlineStr">
        <is>
          <t>57418537</t>
        </is>
      </c>
    </row>
    <row r="558">
      <c r="A558" s="8" t="inlineStr">
        <is>
          <t>G06506</t>
        </is>
      </c>
      <c r="B558" s="8" t="inlineStr">
        <is>
          <t>Джолдошова Салтанат Сатаревна</t>
        </is>
      </c>
      <c r="C558" s="8" t="inlineStr">
        <is>
          <t>2416940811|2416940813</t>
        </is>
      </c>
      <c r="D558" s="8" t="inlineStr">
        <is>
          <t>Сумма не сходится</t>
        </is>
      </c>
      <c r="E558" s="8" t="inlineStr">
        <is>
          <t>1С</t>
        </is>
      </c>
      <c r="F558" s="8" t="inlineStr">
        <is>
          <t>A</t>
        </is>
      </c>
      <c r="G558" s="14" t="n">
        <v>105182.14</v>
      </c>
      <c r="H558" s="14" t="n">
        <v>-101582.14</v>
      </c>
      <c r="I558" s="14" t="n">
        <v>101582.5316</v>
      </c>
      <c r="J558" s="14" t="n">
        <v>3600</v>
      </c>
      <c r="K558" s="21" t="n">
        <v>46166.69424768518</v>
      </c>
      <c r="L558" s="21" t="n">
        <v>46166</v>
      </c>
      <c r="M558" s="8" t="inlineStr">
        <is>
          <t>TRANSPOSITION</t>
        </is>
      </c>
      <c r="N558" s="8" t="inlineStr">
        <is>
          <t>Бухгалтер 1С</t>
        </is>
      </c>
      <c r="O558" s="8" t="inlineStr">
        <is>
          <t>r.sydykov</t>
        </is>
      </c>
      <c r="P558" s="12" t="inlineStr">
        <is>
          <t>Реестр (101,582.53) совпадает с ETM (101,582.14), а в 1С 105,182.14: неверная сумма в 1С</t>
        </is>
      </c>
      <c r="Q558" s="8" t="inlineStr">
        <is>
          <t>57312279</t>
        </is>
      </c>
    </row>
    <row r="559">
      <c r="A559" s="8" t="inlineStr">
        <is>
          <t>G07151</t>
        </is>
      </c>
      <c r="B559" s="8" t="inlineStr">
        <is>
          <t>Жибек Эйр</t>
        </is>
      </c>
      <c r="C559" s="8" t="inlineStr">
        <is>
          <t>2416944008|2416944011</t>
        </is>
      </c>
      <c r="D559" s="8" t="inlineStr">
        <is>
          <t>Сумма не сходится</t>
        </is>
      </c>
      <c r="E559" s="8" t="inlineStr">
        <is>
          <t>Бот ETM</t>
        </is>
      </c>
      <c r="F559" s="8" t="inlineStr">
        <is>
          <t>A</t>
        </is>
      </c>
      <c r="G559" s="14" t="n">
        <v>96252.08</v>
      </c>
      <c r="H559" s="14" t="n">
        <v>-92652.08</v>
      </c>
      <c r="I559" s="14" t="n">
        <v>96252.08</v>
      </c>
      <c r="J559" s="14" t="n">
        <v>3600</v>
      </c>
      <c r="K559" s="21" t="n">
        <v>46033.46741898148</v>
      </c>
      <c r="L559" s="21" t="n">
        <v>46033</v>
      </c>
      <c r="M559" s="8" t="inlineStr">
        <is>
          <t>TRANSPOSITION</t>
        </is>
      </c>
      <c r="N559" s="8" t="inlineStr">
        <is>
          <t>Разработчик/поддержка бота ETM</t>
        </is>
      </c>
      <c r="O559" s="8" t="inlineStr">
        <is>
          <t>r.sydykov</t>
        </is>
      </c>
      <c r="P559" s="12" t="inlineStr">
        <is>
          <t>Реестр (96,252.08) совпадает с 1С (96,252.08), а в ETM 92,652.08: бот перенёс неверную сумму</t>
        </is>
      </c>
      <c r="Q559" s="8" t="inlineStr">
        <is>
          <t>57020539,57020516</t>
        </is>
      </c>
    </row>
    <row r="560">
      <c r="A560" s="8" t="inlineStr">
        <is>
          <t>G11773</t>
        </is>
      </c>
      <c r="B560" s="8" t="inlineStr">
        <is>
          <t>ОсОО Кок-Жайык Лайн</t>
        </is>
      </c>
      <c r="C560" s="8" t="inlineStr">
        <is>
          <t>2420843084|2420843085</t>
        </is>
      </c>
      <c r="D560" s="8" t="inlineStr">
        <is>
          <t>Сумма не сходится</t>
        </is>
      </c>
      <c r="E560" s="8" t="inlineStr">
        <is>
          <t>Бот ETM</t>
        </is>
      </c>
      <c r="F560" s="8" t="inlineStr">
        <is>
          <t>A</t>
        </is>
      </c>
      <c r="G560" s="14" t="n">
        <v>52612.08</v>
      </c>
      <c r="H560" s="14" t="n">
        <v>-56212.08</v>
      </c>
      <c r="I560" s="14" t="n">
        <v>52612.0848</v>
      </c>
      <c r="J560" s="14" t="n">
        <v>-3600</v>
      </c>
      <c r="K560" s="21" t="n">
        <v>46218.41195601852</v>
      </c>
      <c r="L560" s="21" t="n">
        <v>46218</v>
      </c>
      <c r="M560" s="8" t="inlineStr">
        <is>
          <t>TRANSPOSITION</t>
        </is>
      </c>
      <c r="N560" s="8" t="inlineStr">
        <is>
          <t>Разработчик/поддержка бота ETM</t>
        </is>
      </c>
      <c r="O560" s="8" t="inlineStr">
        <is>
          <t>e.satarov</t>
        </is>
      </c>
      <c r="P560" s="12" t="inlineStr">
        <is>
          <t>Реестр (52,612.08) совпадает с 1С (52,612.08), а в ETM 56,212.08: бот перенёс неверную сумму</t>
        </is>
      </c>
      <c r="Q560" s="8" t="inlineStr">
        <is>
          <t>57460036,57460048</t>
        </is>
      </c>
    </row>
    <row r="561">
      <c r="A561" s="8" t="inlineStr">
        <is>
          <t>G08225</t>
        </is>
      </c>
      <c r="B561" s="8" t="inlineStr">
        <is>
          <t>ИП Жумабекова Б. Н.</t>
        </is>
      </c>
      <c r="C561" s="8" t="inlineStr">
        <is>
          <t>2559099708|2559099709</t>
        </is>
      </c>
      <c r="D561" s="8" t="inlineStr">
        <is>
          <t>Сумма не сходится</t>
        </is>
      </c>
      <c r="E561" s="8" t="inlineStr">
        <is>
          <t>1С</t>
        </is>
      </c>
      <c r="F561" s="8" t="inlineStr">
        <is>
          <t>A</t>
        </is>
      </c>
      <c r="G561" s="14" t="n">
        <v>70603.94</v>
      </c>
      <c r="H561" s="14" t="n">
        <v>-74134.14</v>
      </c>
      <c r="I561" s="14" t="n">
        <v>74134.14750000001</v>
      </c>
      <c r="J561" s="14" t="n">
        <v>-3530.199999999997</v>
      </c>
      <c r="K561" s="21" t="n">
        <v>46185.464375</v>
      </c>
      <c r="L561" s="21" t="n">
        <v>46185</v>
      </c>
      <c r="M561" s="8" t="inlineStr"/>
      <c r="N561" s="8" t="inlineStr">
        <is>
          <t>Бухгалтер 1С</t>
        </is>
      </c>
      <c r="O561" s="8" t="inlineStr">
        <is>
          <t>r.sydykov</t>
        </is>
      </c>
      <c r="P561" s="12" t="inlineStr">
        <is>
          <t>Реестр (74,134.15) совпадает с ETM (74,134.14), а в 1С 70,603.94: неверная сумма в 1С</t>
        </is>
      </c>
      <c r="Q561" s="8" t="inlineStr">
        <is>
          <t>57361492,57361532</t>
        </is>
      </c>
    </row>
    <row r="562">
      <c r="A562" s="8" t="inlineStr">
        <is>
          <t>G05696</t>
        </is>
      </c>
      <c r="B562" s="8" t="inlineStr">
        <is>
          <t>Ак-Куу Тур</t>
        </is>
      </c>
      <c r="C562" s="8" t="inlineStr">
        <is>
          <t>2559103888|2559103890</t>
        </is>
      </c>
      <c r="D562" s="8" t="inlineStr">
        <is>
          <t>Сумма не сходится</t>
        </is>
      </c>
      <c r="E562" s="8" t="inlineStr">
        <is>
          <t>1С</t>
        </is>
      </c>
      <c r="F562" s="8" t="inlineStr">
        <is>
          <t>A</t>
        </is>
      </c>
      <c r="G562" s="14" t="n">
        <v>69424</v>
      </c>
      <c r="H562" s="14" t="n">
        <v>-65952.8</v>
      </c>
      <c r="I562" s="14" t="n">
        <v>65952.8</v>
      </c>
      <c r="J562" s="14" t="n">
        <v>3471.199999999997</v>
      </c>
      <c r="K562" s="21" t="n">
        <v>46088.6234375</v>
      </c>
      <c r="L562" s="21" t="n">
        <v>46088</v>
      </c>
      <c r="M562" s="8" t="inlineStr"/>
      <c r="N562" s="8" t="inlineStr">
        <is>
          <t>Бухгалтер 1С</t>
        </is>
      </c>
      <c r="O562" s="8" t="inlineStr">
        <is>
          <t>k.dzhumaev</t>
        </is>
      </c>
      <c r="P562" s="12" t="inlineStr">
        <is>
          <t>Реестр (65,952.80) совпадает с ETM (65,952.80), а в 1С 69,424.00: неверная сумма в 1С</t>
        </is>
      </c>
      <c r="Q562" s="8" t="inlineStr">
        <is>
          <t>57130901,57130922</t>
        </is>
      </c>
    </row>
    <row r="563">
      <c r="A563" s="8" t="inlineStr">
        <is>
          <t>G09244</t>
        </is>
      </c>
      <c r="B563" s="8" t="inlineStr">
        <is>
          <t>ИССЫК ТРИП</t>
        </is>
      </c>
      <c r="C563" s="8" t="inlineStr">
        <is>
          <t>2476318957</t>
        </is>
      </c>
      <c r="D563" s="8" t="inlineStr">
        <is>
          <t>Сумма не сходится</t>
        </is>
      </c>
      <c r="E563" s="8" t="inlineStr">
        <is>
          <t>1С</t>
        </is>
      </c>
      <c r="F563" s="8" t="inlineStr">
        <is>
          <t>A</t>
        </is>
      </c>
      <c r="G563" s="14" t="n">
        <v>33430.5</v>
      </c>
      <c r="H563" s="14" t="n">
        <v>-36773.55</v>
      </c>
      <c r="I563" s="14" t="n">
        <v>36773.55</v>
      </c>
      <c r="J563" s="14" t="n">
        <v>-3343.050000000003</v>
      </c>
      <c r="K563" s="21" t="n">
        <v>46155.52792824074</v>
      </c>
      <c r="L563" s="21" t="n">
        <v>46155</v>
      </c>
      <c r="M563" s="8" t="inlineStr"/>
      <c r="N563" s="8" t="inlineStr">
        <is>
          <t>Бухгалтер 1С</t>
        </is>
      </c>
      <c r="O563" s="8" t="inlineStr">
        <is>
          <t>a.toktosunova</t>
        </is>
      </c>
      <c r="P563" s="12" t="inlineStr">
        <is>
          <t>Реестр (36,773.55) совпадает с ETM (36,773.55), а в 1С 33,430.50: неверная сумма в 1С</t>
        </is>
      </c>
      <c r="Q563" s="8" t="inlineStr">
        <is>
          <t>57281184</t>
        </is>
      </c>
    </row>
    <row r="564">
      <c r="A564" s="8" t="inlineStr">
        <is>
          <t>G04270</t>
        </is>
      </c>
      <c r="B564" s="8" t="inlineStr">
        <is>
          <t>Абдылда уулу Б.</t>
        </is>
      </c>
      <c r="C564" s="8" t="inlineStr">
        <is>
          <t>2459531146</t>
        </is>
      </c>
      <c r="D564" s="8" t="inlineStr">
        <is>
          <t>Сумма не сходится</t>
        </is>
      </c>
      <c r="E564" s="8" t="inlineStr">
        <is>
          <t>Бот ETM</t>
        </is>
      </c>
      <c r="F564" s="8" t="inlineStr">
        <is>
          <t>A</t>
        </is>
      </c>
      <c r="G564" s="14" t="n">
        <v>32692</v>
      </c>
      <c r="H564" s="14" t="n">
        <v>-29422.8</v>
      </c>
      <c r="I564" s="14" t="n">
        <v>32692</v>
      </c>
      <c r="J564" s="14" t="n">
        <v>3269.200000000001</v>
      </c>
      <c r="K564" s="21" t="n">
        <v>46213.68697916667</v>
      </c>
      <c r="L564" s="21" t="n">
        <v>46213</v>
      </c>
      <c r="M564" s="8" t="inlineStr"/>
      <c r="N564" s="8" t="inlineStr">
        <is>
          <t>Разработчик/поддержка бота ETM</t>
        </is>
      </c>
      <c r="O564" s="8" t="inlineStr">
        <is>
          <t>b.isakov</t>
        </is>
      </c>
      <c r="P564" s="12" t="inlineStr">
        <is>
          <t>Реестр (32,692.00) совпадает с 1С (32,692.00), а в ETM 29,422.80: бот перенёс неверную сумму</t>
        </is>
      </c>
      <c r="Q564" s="8" t="inlineStr">
        <is>
          <t>57448821</t>
        </is>
      </c>
    </row>
    <row r="565">
      <c r="A565" s="8" t="inlineStr">
        <is>
          <t>G03108</t>
        </is>
      </c>
      <c r="B565" s="8" t="inlineStr">
        <is>
          <t>SkyWay Travel</t>
        </is>
      </c>
      <c r="C565" s="8" t="inlineStr">
        <is>
          <t>2461884470|2461884471</t>
        </is>
      </c>
      <c r="D565" s="8" t="inlineStr">
        <is>
          <t>Сумма не сходится</t>
        </is>
      </c>
      <c r="E565" s="8" t="inlineStr">
        <is>
          <t>1С</t>
        </is>
      </c>
      <c r="F565" s="8" t="inlineStr">
        <is>
          <t>A</t>
        </is>
      </c>
      <c r="G565" s="14" t="n">
        <v>32310</v>
      </c>
      <c r="H565" s="14" t="n">
        <v>-29079</v>
      </c>
      <c r="I565" s="14" t="n">
        <v>29079</v>
      </c>
      <c r="J565" s="14" t="n">
        <v>3231</v>
      </c>
      <c r="K565" s="21" t="n">
        <v>46101.55984953704</v>
      </c>
      <c r="L565" s="21" t="n">
        <v>46101</v>
      </c>
      <c r="M565" s="8" t="inlineStr"/>
      <c r="N565" s="8" t="inlineStr">
        <is>
          <t>Бухгалтер 1С</t>
        </is>
      </c>
      <c r="O565" s="8" t="inlineStr">
        <is>
          <t>k.dzhumaev</t>
        </is>
      </c>
      <c r="P565" s="12" t="inlineStr">
        <is>
          <t>Реестр (29,079.00) совпадает с ETM (29,079.00), а в 1С 32,310.00: неверная сумма в 1С</t>
        </is>
      </c>
      <c r="Q565" s="8" t="inlineStr">
        <is>
          <t>57160597</t>
        </is>
      </c>
    </row>
    <row r="566">
      <c r="A566" s="8" t="inlineStr">
        <is>
          <t>G15489</t>
        </is>
      </c>
      <c r="B566" s="8" t="inlineStr">
        <is>
          <t>Эсенбекова Айгуль Нурбекевна</t>
        </is>
      </c>
      <c r="C566" s="8" t="inlineStr">
        <is>
          <t>2476318854|2476318855</t>
        </is>
      </c>
      <c r="D566" s="8" t="inlineStr">
        <is>
          <t>Сумма не сходится</t>
        </is>
      </c>
      <c r="E566" s="8" t="inlineStr">
        <is>
          <t>Бот ETM</t>
        </is>
      </c>
      <c r="F566" s="8" t="inlineStr">
        <is>
          <t>A</t>
        </is>
      </c>
      <c r="G566" s="14" t="n">
        <v>31454</v>
      </c>
      <c r="H566" s="14" t="n">
        <v>-34599.4</v>
      </c>
      <c r="I566" s="14" t="n">
        <v>31454</v>
      </c>
      <c r="J566" s="14" t="n">
        <v>-3145.400000000001</v>
      </c>
      <c r="K566" s="21" t="n">
        <v>46226.38472222222</v>
      </c>
      <c r="L566" s="21" t="n">
        <v>46226</v>
      </c>
      <c r="M566" s="8" t="inlineStr"/>
      <c r="N566" s="8" t="inlineStr">
        <is>
          <t>Разработчик/поддержка бота ETM</t>
        </is>
      </c>
      <c r="O566" s="8" t="inlineStr">
        <is>
          <t>n.abdyldaeva</t>
        </is>
      </c>
      <c r="P566" s="12" t="inlineStr">
        <is>
          <t>Реестр (31,454.00) совпадает с 1С (31,454.00), а в ETM 34,599.40: бот перенёс неверную сумму</t>
        </is>
      </c>
      <c r="Q566" s="8" t="inlineStr">
        <is>
          <t>57482470,57482462</t>
        </is>
      </c>
    </row>
    <row r="567">
      <c r="A567" s="8" t="inlineStr">
        <is>
          <t>G03432</t>
        </is>
      </c>
      <c r="B567" s="8" t="inlineStr">
        <is>
          <t>SkyWay Travel</t>
        </is>
      </c>
      <c r="C567" s="8" t="inlineStr">
        <is>
          <t>2552669198</t>
        </is>
      </c>
      <c r="D567" s="8" t="inlineStr">
        <is>
          <t>Сумма не сходится</t>
        </is>
      </c>
      <c r="E567" s="8" t="inlineStr">
        <is>
          <t>1С</t>
        </is>
      </c>
      <c r="F567" s="8" t="inlineStr">
        <is>
          <t>A</t>
        </is>
      </c>
      <c r="G567" s="14" t="n">
        <v>31302.87</v>
      </c>
      <c r="H567" s="14" t="n">
        <v>-28172.58</v>
      </c>
      <c r="I567" s="14" t="n">
        <v>28172.2438</v>
      </c>
      <c r="J567" s="14" t="n">
        <v>3130.289999999997</v>
      </c>
      <c r="K567" s="21" t="n">
        <v>46064.77700231481</v>
      </c>
      <c r="L567" s="21" t="n">
        <v>46064</v>
      </c>
      <c r="M567" s="8" t="inlineStr"/>
      <c r="N567" s="8" t="inlineStr">
        <is>
          <t>Бухгалтер 1С</t>
        </is>
      </c>
      <c r="O567" s="8" t="inlineStr">
        <is>
          <t>r.sydykov</t>
        </is>
      </c>
      <c r="P567" s="12" t="inlineStr">
        <is>
          <t>Реестр (28,172.24) совпадает с ETM (28,172.58), а в 1С 31,302.87: неверная сумма в 1С</t>
        </is>
      </c>
      <c r="Q567" s="8" t="inlineStr">
        <is>
          <t>57085081</t>
        </is>
      </c>
    </row>
    <row r="568">
      <c r="A568" s="8" t="inlineStr">
        <is>
          <t>G14248</t>
        </is>
      </c>
      <c r="B568" s="8" t="inlineStr">
        <is>
          <t>ЧОЛПОН ТУР</t>
        </is>
      </c>
      <c r="C568" s="8" t="inlineStr">
        <is>
          <t>2416945004</t>
        </is>
      </c>
      <c r="D568" s="8" t="inlineStr">
        <is>
          <t>Сумма не сходится</t>
        </is>
      </c>
      <c r="E568" s="8" t="inlineStr">
        <is>
          <t>1С</t>
        </is>
      </c>
      <c r="F568" s="8" t="inlineStr">
        <is>
          <t>A</t>
        </is>
      </c>
      <c r="G568" s="14" t="n">
        <v>30838.88</v>
      </c>
      <c r="H568" s="14" t="n">
        <v>-27754.99</v>
      </c>
      <c r="I568" s="14" t="n">
        <v>27754.656</v>
      </c>
      <c r="J568" s="14" t="n">
        <v>3083.889999999999</v>
      </c>
      <c r="K568" s="21" t="n">
        <v>46220.64386574074</v>
      </c>
      <c r="L568" s="21" t="n">
        <v>46220</v>
      </c>
      <c r="M568" s="8" t="inlineStr"/>
      <c r="N568" s="8" t="inlineStr">
        <is>
          <t>Бухгалтер 1С</t>
        </is>
      </c>
      <c r="O568" s="8" t="inlineStr">
        <is>
          <t>k.dzhumaev</t>
        </is>
      </c>
      <c r="P568" s="12" t="inlineStr">
        <is>
          <t>Реестр (27,754.66) совпадает с ETM (27,754.99), а в 1С 30,838.88: неверная сумма в 1С</t>
        </is>
      </c>
      <c r="Q568" s="8" t="inlineStr">
        <is>
          <t>57467124</t>
        </is>
      </c>
    </row>
    <row r="569">
      <c r="A569" s="8" t="inlineStr">
        <is>
          <t>G10097</t>
        </is>
      </c>
      <c r="B569" s="8" t="inlineStr">
        <is>
          <t>Манас Вояж</t>
        </is>
      </c>
      <c r="C569" s="8" t="inlineStr">
        <is>
          <t>2416943799</t>
        </is>
      </c>
      <c r="D569" s="8" t="inlineStr">
        <is>
          <t>Сумма не сходится</t>
        </is>
      </c>
      <c r="E569" s="8" t="inlineStr">
        <is>
          <t>1С</t>
        </is>
      </c>
      <c r="F569" s="8" t="inlineStr">
        <is>
          <t>A</t>
        </is>
      </c>
      <c r="G569" s="14" t="n">
        <v>30558.16</v>
      </c>
      <c r="H569" s="14" t="n">
        <v>-33613.98</v>
      </c>
      <c r="I569" s="14" t="n">
        <v>33614.1136</v>
      </c>
      <c r="J569" s="14" t="n">
        <v>-3055.820000000003</v>
      </c>
      <c r="K569" s="21" t="n">
        <v>46059.4624537037</v>
      </c>
      <c r="L569" s="21" t="n">
        <v>46059</v>
      </c>
      <c r="M569" s="8" t="inlineStr"/>
      <c r="N569" s="8" t="inlineStr">
        <is>
          <t>Бухгалтер 1С</t>
        </is>
      </c>
      <c r="O569" s="8" t="inlineStr">
        <is>
          <t>d.mambetova</t>
        </is>
      </c>
      <c r="P569" s="12" t="inlineStr">
        <is>
          <t>Реестр (33,614.11) совпадает с ETM (33,613.98), а в 1С 30,558.16: неверная сумма в 1С</t>
        </is>
      </c>
      <c r="Q569" s="8" t="inlineStr">
        <is>
          <t>57076465</t>
        </is>
      </c>
    </row>
    <row r="570">
      <c r="A570" s="8" t="inlineStr">
        <is>
          <t>G08574</t>
        </is>
      </c>
      <c r="B570" s="8" t="inlineStr">
        <is>
          <t>ИП Токтосун кызы Н.</t>
        </is>
      </c>
      <c r="C570" s="8" t="inlineStr">
        <is>
          <t>2460733492|2460733493|2460733494</t>
        </is>
      </c>
      <c r="D570" s="8" t="inlineStr">
        <is>
          <t>Сумма не сходится</t>
        </is>
      </c>
      <c r="E570" s="8" t="inlineStr">
        <is>
          <t>Бот ETM</t>
        </is>
      </c>
      <c r="F570" s="8" t="inlineStr">
        <is>
          <t>A</t>
        </is>
      </c>
      <c r="G570" s="14" t="n">
        <v>30207</v>
      </c>
      <c r="H570" s="14" t="n">
        <v>-33227.7</v>
      </c>
      <c r="I570" s="14" t="n">
        <v>30207</v>
      </c>
      <c r="J570" s="14" t="n">
        <v>-3020.699999999997</v>
      </c>
      <c r="K570" s="21" t="n">
        <v>46168.34077546297</v>
      </c>
      <c r="L570" s="21" t="n">
        <v>46168</v>
      </c>
      <c r="M570" s="8" t="inlineStr"/>
      <c r="N570" s="8" t="inlineStr">
        <is>
          <t>Разработчик/поддержка бота ETM</t>
        </is>
      </c>
      <c r="O570" s="8" t="inlineStr">
        <is>
          <t>r.sydykov</t>
        </is>
      </c>
      <c r="P570" s="12" t="inlineStr">
        <is>
          <t>Реестр (30,207.00) совпадает с 1С (30,207.00), а в ETM 33,227.70: бот перенёс неверную сумму</t>
        </is>
      </c>
      <c r="Q570" s="8" t="inlineStr">
        <is>
          <t>57317738,57317728,57317717</t>
        </is>
      </c>
    </row>
    <row r="571">
      <c r="A571" s="8" t="inlineStr">
        <is>
          <t>G05935</t>
        </is>
      </c>
      <c r="B571" s="8" t="inlineStr">
        <is>
          <t>БАЙТУР ТУРИЗМ</t>
        </is>
      </c>
      <c r="C571" s="8" t="inlineStr">
        <is>
          <t>2420844601</t>
        </is>
      </c>
      <c r="D571" s="8" t="inlineStr">
        <is>
          <t>Сумма не сходится</t>
        </is>
      </c>
      <c r="E571" s="8" t="inlineStr">
        <is>
          <t>1С</t>
        </is>
      </c>
      <c r="F571" s="8" t="inlineStr">
        <is>
          <t>A</t>
        </is>
      </c>
      <c r="G571" s="14" t="n">
        <v>30158.24</v>
      </c>
      <c r="H571" s="14" t="n">
        <v>-27142.42</v>
      </c>
      <c r="I571" s="14" t="n">
        <v>27142.41974</v>
      </c>
      <c r="J571" s="14" t="n">
        <v>3015.820000000003</v>
      </c>
      <c r="K571" s="21" t="n">
        <v>46224.64991898148</v>
      </c>
      <c r="L571" s="21" t="n">
        <v>46224</v>
      </c>
      <c r="M571" s="8" t="inlineStr"/>
      <c r="N571" s="8" t="inlineStr">
        <is>
          <t>Бухгалтер 1С</t>
        </is>
      </c>
      <c r="O571" s="8" t="inlineStr">
        <is>
          <t>k.dzhumaev</t>
        </is>
      </c>
      <c r="P571" s="12" t="inlineStr">
        <is>
          <t>Реестр (27,142.42) совпадает с ETM (27,142.42), а в 1С 30,158.24: неверная сумма в 1С</t>
        </is>
      </c>
      <c r="Q571" s="8" t="inlineStr">
        <is>
          <t>57476304</t>
        </is>
      </c>
    </row>
    <row r="572">
      <c r="A572" s="8" t="inlineStr">
        <is>
          <t>G14578</t>
        </is>
      </c>
      <c r="B572" s="8" t="inlineStr">
        <is>
          <t>Чынарова Бурул Джолдошовна</t>
        </is>
      </c>
      <c r="C572" s="8" t="inlineStr">
        <is>
          <t>2416945401</t>
        </is>
      </c>
      <c r="D572" s="8" t="inlineStr">
        <is>
          <t>Сумма не сходится</t>
        </is>
      </c>
      <c r="E572" s="8" t="inlineStr">
        <is>
          <t>1С</t>
        </is>
      </c>
      <c r="F572" s="8" t="inlineStr">
        <is>
          <t>A</t>
        </is>
      </c>
      <c r="G572" s="14" t="n">
        <v>59430.96</v>
      </c>
      <c r="H572" s="14" t="n">
        <v>-56459.41</v>
      </c>
      <c r="I572" s="14" t="n">
        <v>56459.7104</v>
      </c>
      <c r="J572" s="14" t="n">
        <v>2971.549999999996</v>
      </c>
      <c r="K572" s="21" t="n">
        <v>46031.36216435185</v>
      </c>
      <c r="L572" s="21" t="n">
        <v>46031</v>
      </c>
      <c r="M572" s="8" t="inlineStr"/>
      <c r="N572" s="8" t="inlineStr">
        <is>
          <t>Бухгалтер 1С</t>
        </is>
      </c>
      <c r="O572" s="8" t="inlineStr">
        <is>
          <t>d.mambetova</t>
        </is>
      </c>
      <c r="P572" s="12" t="inlineStr">
        <is>
          <t>Реестр (56,459.71) совпадает с ETM (56,459.41), а в 1С 59,430.96: неверная сумма в 1С</t>
        </is>
      </c>
      <c r="Q572" s="8" t="inlineStr">
        <is>
          <t>57017246</t>
        </is>
      </c>
    </row>
    <row r="573">
      <c r="A573" s="8" t="inlineStr">
        <is>
          <t>G11295</t>
        </is>
      </c>
      <c r="B573" s="8" t="inlineStr">
        <is>
          <t>ОсОО Алтын Эйр</t>
        </is>
      </c>
      <c r="C573" s="8" t="inlineStr">
        <is>
          <t>2559101557|2559101560</t>
        </is>
      </c>
      <c r="D573" s="8" t="inlineStr">
        <is>
          <t>Сумма не сходится</t>
        </is>
      </c>
      <c r="E573" s="8" t="inlineStr">
        <is>
          <t>1С</t>
        </is>
      </c>
      <c r="F573" s="8" t="inlineStr">
        <is>
          <t>A</t>
        </is>
      </c>
      <c r="G573" s="14" t="n">
        <v>57680.7</v>
      </c>
      <c r="H573" s="14" t="n">
        <v>-60564.74</v>
      </c>
      <c r="I573" s="14" t="n">
        <v>60564.8322</v>
      </c>
      <c r="J573" s="14" t="n">
        <v>-2884.040000000001</v>
      </c>
      <c r="K573" s="21" t="n">
        <v>46180.60989583333</v>
      </c>
      <c r="L573" s="21" t="n">
        <v>46180</v>
      </c>
      <c r="M573" s="8" t="inlineStr"/>
      <c r="N573" s="8" t="inlineStr">
        <is>
          <t>Бухгалтер 1С</t>
        </is>
      </c>
      <c r="O573" s="8" t="inlineStr">
        <is>
          <t>d.mambetova</t>
        </is>
      </c>
      <c r="P573" s="12" t="inlineStr">
        <is>
          <t>Реестр (60,564.83) совпадает с ETM (60,564.74), а в 1С 57,680.70: неверная сумма в 1С</t>
        </is>
      </c>
      <c r="Q573" s="8" t="inlineStr">
        <is>
          <t>57349396,57349430</t>
        </is>
      </c>
    </row>
    <row r="574">
      <c r="A574" s="8" t="inlineStr">
        <is>
          <t>G14959</t>
        </is>
      </c>
      <c r="B574" s="8" t="inlineStr">
        <is>
          <t>Ыйык Тур</t>
        </is>
      </c>
      <c r="C574" s="8" t="inlineStr">
        <is>
          <t>2420844612</t>
        </is>
      </c>
      <c r="D574" s="8" t="inlineStr">
        <is>
          <t>Сумма не сходится</t>
        </is>
      </c>
      <c r="E574" s="8" t="inlineStr">
        <is>
          <t>1С</t>
        </is>
      </c>
      <c r="F574" s="8" t="inlineStr">
        <is>
          <t>A</t>
        </is>
      </c>
      <c r="G574" s="14" t="n">
        <v>28023.16</v>
      </c>
      <c r="H574" s="14" t="n">
        <v>-30825.48</v>
      </c>
      <c r="I574" s="14" t="n">
        <v>30825.47974</v>
      </c>
      <c r="J574" s="14" t="n">
        <v>-2802.32</v>
      </c>
      <c r="K574" s="21" t="n">
        <v>46113.53508101852</v>
      </c>
      <c r="L574" s="21" t="n">
        <v>46113</v>
      </c>
      <c r="M574" s="8" t="inlineStr"/>
      <c r="N574" s="8" t="inlineStr">
        <is>
          <t>Бухгалтер 1С</t>
        </is>
      </c>
      <c r="O574" s="8" t="inlineStr">
        <is>
          <t>e.satarov</t>
        </is>
      </c>
      <c r="P574" s="12" t="inlineStr">
        <is>
          <t>Реестр (30,825.48) совпадает с ETM (30,825.48), а в 1С 28,023.16: неверная сумма в 1С</t>
        </is>
      </c>
      <c r="Q574" s="8" t="inlineStr">
        <is>
          <t>57184623</t>
        </is>
      </c>
    </row>
    <row r="575">
      <c r="A575" s="8" t="inlineStr">
        <is>
          <t>G04697</t>
        </is>
      </c>
      <c r="B575" s="8" t="inlineStr">
        <is>
          <t>Абдыраманова Д. А.</t>
        </is>
      </c>
      <c r="C575" s="8" t="inlineStr">
        <is>
          <t>2476314562</t>
        </is>
      </c>
      <c r="D575" s="8" t="inlineStr">
        <is>
          <t>Сумма не сходится</t>
        </is>
      </c>
      <c r="E575" s="8" t="inlineStr">
        <is>
          <t>Бот ETM</t>
        </is>
      </c>
      <c r="F575" s="8" t="inlineStr">
        <is>
          <t>A</t>
        </is>
      </c>
      <c r="G575" s="14" t="n">
        <v>27677.11</v>
      </c>
      <c r="H575" s="14" t="n">
        <v>-30444.82</v>
      </c>
      <c r="I575" s="14" t="n">
        <v>27677.11</v>
      </c>
      <c r="J575" s="14" t="n">
        <v>-2767.709999999999</v>
      </c>
      <c r="K575" s="21" t="n">
        <v>46214.59128472222</v>
      </c>
      <c r="L575" s="21" t="n">
        <v>46214</v>
      </c>
      <c r="M575" s="8" t="inlineStr"/>
      <c r="N575" s="8" t="inlineStr">
        <is>
          <t>Разработчик/поддержка бота ETM</t>
        </is>
      </c>
      <c r="O575" s="8" t="inlineStr">
        <is>
          <t>n.abdyldaeva</t>
        </is>
      </c>
      <c r="P575" s="12" t="inlineStr">
        <is>
          <t>Реестр (27,677.11) совпадает с 1С (27,677.11), а в ETM 30,444.82: бот перенёс неверную сумму</t>
        </is>
      </c>
      <c r="Q575" s="8" t="inlineStr">
        <is>
          <t>57449847</t>
        </is>
      </c>
    </row>
    <row r="576">
      <c r="A576" s="8" t="inlineStr">
        <is>
          <t>G11838</t>
        </is>
      </c>
      <c r="B576" s="8" t="inlineStr">
        <is>
          <t>ОсОО Кок-Жайык Лайн</t>
        </is>
      </c>
      <c r="C576" s="8" t="inlineStr">
        <is>
          <t>2476317961</t>
        </is>
      </c>
      <c r="D576" s="8" t="inlineStr">
        <is>
          <t>Сумма не сходится</t>
        </is>
      </c>
      <c r="E576" s="8" t="inlineStr">
        <is>
          <t>1С</t>
        </is>
      </c>
      <c r="F576" s="8" t="inlineStr">
        <is>
          <t>A</t>
        </is>
      </c>
      <c r="G576" s="14" t="n">
        <v>27344.74</v>
      </c>
      <c r="H576" s="14" t="n">
        <v>-30079.21</v>
      </c>
      <c r="I576" s="14" t="n">
        <v>30079.214</v>
      </c>
      <c r="J576" s="14" t="n">
        <v>-2734.469999999998</v>
      </c>
      <c r="K576" s="21" t="n">
        <v>46218.76084490741</v>
      </c>
      <c r="L576" s="21" t="n">
        <v>46218</v>
      </c>
      <c r="M576" s="8" t="inlineStr"/>
      <c r="N576" s="8" t="inlineStr">
        <is>
          <t>Бухгалтер 1С</t>
        </is>
      </c>
      <c r="O576" s="8" t="inlineStr">
        <is>
          <t>d.mambetova</t>
        </is>
      </c>
      <c r="P576" s="12" t="inlineStr">
        <is>
          <t>Реестр (30,079.21) совпадает с ETM (30,079.21), а в 1С 27,344.74: неверная сумма в 1С</t>
        </is>
      </c>
      <c r="Q576" s="8" t="inlineStr">
        <is>
          <t>57461951</t>
        </is>
      </c>
    </row>
    <row r="577">
      <c r="A577" s="8" t="inlineStr">
        <is>
          <t>G01472</t>
        </is>
      </c>
      <c r="B577" s="8" t="inlineStr">
        <is>
          <t>Karakol Express</t>
        </is>
      </c>
      <c r="C577" s="8" t="inlineStr">
        <is>
          <t>2460736316</t>
        </is>
      </c>
      <c r="D577" s="8" t="inlineStr">
        <is>
          <t>Сумма не сходится</t>
        </is>
      </c>
      <c r="E577" s="8" t="inlineStr">
        <is>
          <t>Бот ETM</t>
        </is>
      </c>
      <c r="F577" s="8" t="inlineStr">
        <is>
          <t>A</t>
        </is>
      </c>
      <c r="G577" s="14" t="n">
        <v>13047</v>
      </c>
      <c r="H577" s="14" t="n">
        <v>-10347</v>
      </c>
      <c r="I577" s="14" t="n">
        <v>13047</v>
      </c>
      <c r="J577" s="14" t="n">
        <v>2700</v>
      </c>
      <c r="K577" s="21" t="n">
        <v>46151.49026620371</v>
      </c>
      <c r="L577" s="21" t="n">
        <v>46151</v>
      </c>
      <c r="M577" s="8" t="inlineStr">
        <is>
          <t>TRANSPOSITION</t>
        </is>
      </c>
      <c r="N577" s="8" t="inlineStr">
        <is>
          <t>Разработчик/поддержка бота ETM</t>
        </is>
      </c>
      <c r="O577" s="8" t="inlineStr">
        <is>
          <t>b.isakov</t>
        </is>
      </c>
      <c r="P577" s="12" t="inlineStr">
        <is>
          <t>Реестр (13,047.00) совпадает с 1С (13,047.00), а в ETM 10,347.00: бот перенёс неверную сумму</t>
        </is>
      </c>
      <c r="Q577" s="8" t="inlineStr">
        <is>
          <t>57268218</t>
        </is>
      </c>
    </row>
    <row r="578">
      <c r="A578" s="8" t="inlineStr">
        <is>
          <t>G02133</t>
        </is>
      </c>
      <c r="B578" s="8" t="inlineStr">
        <is>
          <t>Silk Route Air</t>
        </is>
      </c>
      <c r="C578" s="8" t="inlineStr">
        <is>
          <t>2416941520|2416941522</t>
        </is>
      </c>
      <c r="D578" s="8" t="inlineStr">
        <is>
          <t>Сумма не сходится</t>
        </is>
      </c>
      <c r="E578" s="8" t="inlineStr">
        <is>
          <t>Бот ETM</t>
        </is>
      </c>
      <c r="F578" s="8" t="inlineStr">
        <is>
          <t>A</t>
        </is>
      </c>
      <c r="G578" s="14" t="n">
        <v>47438.12</v>
      </c>
      <c r="H578" s="14" t="n">
        <v>-44738.12</v>
      </c>
      <c r="I578" s="14" t="n">
        <v>47438.12</v>
      </c>
      <c r="J578" s="14" t="n">
        <v>2700</v>
      </c>
      <c r="K578" s="21" t="n">
        <v>46098.49259259259</v>
      </c>
      <c r="L578" s="21" t="n">
        <v>46098</v>
      </c>
      <c r="M578" s="8" t="inlineStr">
        <is>
          <t>TRANSPOSITION</t>
        </is>
      </c>
      <c r="N578" s="8" t="inlineStr">
        <is>
          <t>Разработчик/поддержка бота ETM</t>
        </is>
      </c>
      <c r="O578" s="8" t="inlineStr">
        <is>
          <t>g.omurbekova</t>
        </is>
      </c>
      <c r="P578" s="12" t="inlineStr">
        <is>
          <t>Реестр (47,438.12) совпадает с 1С (47,438.12), а в ETM 44,738.12: бот перенёс неверную сумму</t>
        </is>
      </c>
      <c r="Q578" s="8" t="inlineStr">
        <is>
          <t>57152981,57152977</t>
        </is>
      </c>
    </row>
    <row r="579">
      <c r="A579" s="8" t="inlineStr">
        <is>
          <t>G02304</t>
        </is>
      </c>
      <c r="B579" s="8" t="inlineStr">
        <is>
          <t>SkyWay Travel</t>
        </is>
      </c>
      <c r="C579" s="8" t="inlineStr">
        <is>
          <t>2416943423|2416943426</t>
        </is>
      </c>
      <c r="D579" s="8" t="inlineStr">
        <is>
          <t>Сумма не сходится</t>
        </is>
      </c>
      <c r="E579" s="8" t="inlineStr">
        <is>
          <t>1С</t>
        </is>
      </c>
      <c r="F579" s="8" t="inlineStr">
        <is>
          <t>A</t>
        </is>
      </c>
      <c r="G579" s="14" t="n">
        <v>82564.03999999999</v>
      </c>
      <c r="H579" s="14" t="n">
        <v>-85264.03999999999</v>
      </c>
      <c r="I579" s="14" t="n">
        <v>85263.6805</v>
      </c>
      <c r="J579" s="14" t="n">
        <v>-2700</v>
      </c>
      <c r="K579" s="21" t="n">
        <v>46164.67190972222</v>
      </c>
      <c r="L579" s="21" t="n">
        <v>46164</v>
      </c>
      <c r="M579" s="8" t="inlineStr">
        <is>
          <t>TRANSPOSITION</t>
        </is>
      </c>
      <c r="N579" s="8" t="inlineStr">
        <is>
          <t>Бухгалтер 1С</t>
        </is>
      </c>
      <c r="O579" s="8" t="inlineStr">
        <is>
          <t>d.mambetova</t>
        </is>
      </c>
      <c r="P579" s="12" t="inlineStr">
        <is>
          <t>Реестр (85,263.68) совпадает с ETM (85,264.04), а в 1С 82,564.04: неверная сумма в 1С</t>
        </is>
      </c>
      <c r="Q579" s="8" t="inlineStr">
        <is>
          <t>57307549</t>
        </is>
      </c>
    </row>
    <row r="580">
      <c r="A580" s="8" t="inlineStr">
        <is>
          <t>G03803</t>
        </is>
      </c>
      <c r="B580" s="8" t="inlineStr">
        <is>
          <t>Steppe Travel</t>
        </is>
      </c>
      <c r="C580" s="8" t="inlineStr">
        <is>
          <t>2416942805</t>
        </is>
      </c>
      <c r="D580" s="8" t="inlineStr">
        <is>
          <t>Сумма не сходится</t>
        </is>
      </c>
      <c r="E580" s="8" t="inlineStr">
        <is>
          <t>1С</t>
        </is>
      </c>
      <c r="F580" s="8" t="inlineStr">
        <is>
          <t>A</t>
        </is>
      </c>
      <c r="G580" s="14" t="n">
        <v>19639.04</v>
      </c>
      <c r="H580" s="14" t="n">
        <v>-16939.04</v>
      </c>
      <c r="I580" s="14" t="n">
        <v>16939.3152</v>
      </c>
      <c r="J580" s="14" t="n">
        <v>2700</v>
      </c>
      <c r="K580" s="21" t="n">
        <v>46100.69510416667</v>
      </c>
      <c r="L580" s="21" t="n">
        <v>46100</v>
      </c>
      <c r="M580" s="8" t="inlineStr">
        <is>
          <t>TRANSPOSITION</t>
        </is>
      </c>
      <c r="N580" s="8" t="inlineStr">
        <is>
          <t>Бухгалтер 1С</t>
        </is>
      </c>
      <c r="O580" s="8" t="inlineStr">
        <is>
          <t>k.dzhumaev</t>
        </is>
      </c>
      <c r="P580" s="12" t="inlineStr">
        <is>
          <t>Реестр (16,939.32) совпадает с ETM (16,939.04), а в 1С 19,639.04: неверная сумма в 1С</t>
        </is>
      </c>
      <c r="Q580" s="8" t="inlineStr">
        <is>
          <t>57157624</t>
        </is>
      </c>
    </row>
    <row r="581">
      <c r="A581" s="8" t="inlineStr">
        <is>
          <t>G03969</t>
        </is>
      </c>
      <c r="B581" s="8" t="inlineStr">
        <is>
          <t>Sunrise Tours</t>
        </is>
      </c>
      <c r="C581" s="8" t="inlineStr">
        <is>
          <t>2476317888</t>
        </is>
      </c>
      <c r="D581" s="8" t="inlineStr">
        <is>
          <t>Сумма не сходится</t>
        </is>
      </c>
      <c r="E581" s="8" t="inlineStr">
        <is>
          <t>1С</t>
        </is>
      </c>
      <c r="F581" s="8" t="inlineStr">
        <is>
          <t>A</t>
        </is>
      </c>
      <c r="G581" s="14" t="n">
        <v>22504.09</v>
      </c>
      <c r="H581" s="14" t="n">
        <v>-25204.09</v>
      </c>
      <c r="I581" s="14" t="n">
        <v>25204.0927</v>
      </c>
      <c r="J581" s="14" t="n">
        <v>-2700</v>
      </c>
      <c r="K581" s="21" t="n">
        <v>46028.6009375</v>
      </c>
      <c r="L581" s="21" t="n">
        <v>46028</v>
      </c>
      <c r="M581" s="8" t="inlineStr">
        <is>
          <t>TRANSPOSITION</t>
        </is>
      </c>
      <c r="N581" s="8" t="inlineStr">
        <is>
          <t>Бухгалтер 1С</t>
        </is>
      </c>
      <c r="O581" s="8" t="inlineStr">
        <is>
          <t>d.mambetova</t>
        </is>
      </c>
      <c r="P581" s="12" t="inlineStr">
        <is>
          <t>Реестр (25,204.09) совпадает с ETM (25,204.09), а в 1С 22,504.09: неверная сумма в 1С</t>
        </is>
      </c>
      <c r="Q581" s="8" t="inlineStr">
        <is>
          <t>57010444</t>
        </is>
      </c>
    </row>
    <row r="582">
      <c r="A582" s="8" t="inlineStr">
        <is>
          <t>G08335</t>
        </is>
      </c>
      <c r="B582" s="8" t="inlineStr">
        <is>
          <t>ИП Муратов Э. У.</t>
        </is>
      </c>
      <c r="C582" s="8" t="inlineStr">
        <is>
          <t>2416945172</t>
        </is>
      </c>
      <c r="D582" s="8" t="inlineStr">
        <is>
          <t>Сумма не сходится</t>
        </is>
      </c>
      <c r="E582" s="8" t="inlineStr">
        <is>
          <t>1С</t>
        </is>
      </c>
      <c r="F582" s="8" t="inlineStr">
        <is>
          <t>A</t>
        </is>
      </c>
      <c r="G582" s="14" t="n">
        <v>19699.7</v>
      </c>
      <c r="H582" s="14" t="n">
        <v>-16999.7</v>
      </c>
      <c r="I582" s="14" t="n">
        <v>16999.373</v>
      </c>
      <c r="J582" s="14" t="n">
        <v>2700</v>
      </c>
      <c r="K582" s="21" t="n">
        <v>46042.55171296297</v>
      </c>
      <c r="L582" s="21" t="n">
        <v>46042</v>
      </c>
      <c r="M582" s="8" t="inlineStr">
        <is>
          <t>TRANSPOSITION</t>
        </is>
      </c>
      <c r="N582" s="8" t="inlineStr">
        <is>
          <t>Бухгалтер 1С</t>
        </is>
      </c>
      <c r="O582" s="8" t="inlineStr">
        <is>
          <t>k.dzhumaev</t>
        </is>
      </c>
      <c r="P582" s="12" t="inlineStr">
        <is>
          <t>Реестр (16,999.37) совпадает с ETM (16,999.70), а в 1С 19,699.70: неверная сумма в 1С</t>
        </is>
      </c>
      <c r="Q582" s="8" t="inlineStr">
        <is>
          <t>57041464</t>
        </is>
      </c>
    </row>
    <row r="583">
      <c r="A583" s="8" t="inlineStr">
        <is>
          <t>G11845</t>
        </is>
      </c>
      <c r="B583" s="8" t="inlineStr">
        <is>
          <t>ОсОО Кок-Жайык Лайн</t>
        </is>
      </c>
      <c r="C583" s="8" t="inlineStr">
        <is>
          <t>2552669336</t>
        </is>
      </c>
      <c r="D583" s="8" t="inlineStr">
        <is>
          <t>Сумма не сходится</t>
        </is>
      </c>
      <c r="E583" s="8" t="inlineStr">
        <is>
          <t>Бот ETM</t>
        </is>
      </c>
      <c r="F583" s="8" t="inlineStr">
        <is>
          <t>A</t>
        </is>
      </c>
      <c r="G583" s="14" t="n">
        <v>21470.69</v>
      </c>
      <c r="H583" s="14" t="n">
        <v>-24170.69</v>
      </c>
      <c r="I583" s="14" t="n">
        <v>21470.69</v>
      </c>
      <c r="J583" s="14" t="n">
        <v>-2700</v>
      </c>
      <c r="K583" s="21" t="n">
        <v>46068.57232638889</v>
      </c>
      <c r="L583" s="21" t="n">
        <v>46068</v>
      </c>
      <c r="M583" s="8" t="inlineStr">
        <is>
          <t>TRANSPOSITION</t>
        </is>
      </c>
      <c r="N583" s="8" t="inlineStr">
        <is>
          <t>Разработчик/поддержка бота ETM</t>
        </is>
      </c>
      <c r="O583" s="8" t="inlineStr">
        <is>
          <t>g.omurbekova</t>
        </is>
      </c>
      <c r="P583" s="12" t="inlineStr">
        <is>
          <t>Реестр (21,470.69) совпадает с 1С (21,470.69), а в ETM 24,170.69: бот перенёс неверную сумму</t>
        </is>
      </c>
      <c r="Q583" s="8" t="inlineStr">
        <is>
          <t>57091795</t>
        </is>
      </c>
    </row>
    <row r="584">
      <c r="A584" s="8" t="inlineStr">
        <is>
          <t>G13605</t>
        </is>
      </c>
      <c r="B584" s="8" t="inlineStr">
        <is>
          <t>ТАЛАС ВОЯЖ</t>
        </is>
      </c>
      <c r="C584" s="8" t="inlineStr">
        <is>
          <t>2420846336</t>
        </is>
      </c>
      <c r="D584" s="8" t="inlineStr">
        <is>
          <t>Сумма не сходится</t>
        </is>
      </c>
      <c r="E584" s="8" t="inlineStr">
        <is>
          <t>1С</t>
        </is>
      </c>
      <c r="F584" s="8" t="inlineStr">
        <is>
          <t>A</t>
        </is>
      </c>
      <c r="G584" s="14" t="n">
        <v>28508.83</v>
      </c>
      <c r="H584" s="14" t="n">
        <v>-25808.83</v>
      </c>
      <c r="I584" s="14" t="n">
        <v>25808.830424</v>
      </c>
      <c r="J584" s="14" t="n">
        <v>2700</v>
      </c>
      <c r="K584" s="21" t="n">
        <v>46026.67873842592</v>
      </c>
      <c r="L584" s="21" t="n">
        <v>46026</v>
      </c>
      <c r="M584" s="8" t="inlineStr">
        <is>
          <t>TRANSPOSITION</t>
        </is>
      </c>
      <c r="N584" s="8" t="inlineStr">
        <is>
          <t>Бухгалтер 1С</t>
        </is>
      </c>
      <c r="O584" s="8" t="inlineStr">
        <is>
          <t>d.mambetova</t>
        </is>
      </c>
      <c r="P584" s="12" t="inlineStr">
        <is>
          <t>Реестр (25,808.83) совпадает с ETM (25,808.83), а в 1С 28,508.83: неверная сумма в 1С</t>
        </is>
      </c>
      <c r="Q584" s="8" t="inlineStr">
        <is>
          <t>57006456</t>
        </is>
      </c>
    </row>
    <row r="585">
      <c r="A585" s="8" t="inlineStr">
        <is>
          <t>G13620</t>
        </is>
      </c>
      <c r="B585" s="8" t="inlineStr">
        <is>
          <t>ТАЛАС ВОЯЖ</t>
        </is>
      </c>
      <c r="C585" s="8" t="inlineStr">
        <is>
          <t>2460735842</t>
        </is>
      </c>
      <c r="D585" s="8" t="inlineStr">
        <is>
          <t>Сумма не сходится</t>
        </is>
      </c>
      <c r="E585" s="8" t="inlineStr">
        <is>
          <t>Бот ETM</t>
        </is>
      </c>
      <c r="F585" s="8" t="inlineStr">
        <is>
          <t>A</t>
        </is>
      </c>
      <c r="G585" s="14" t="n">
        <v>10387</v>
      </c>
      <c r="H585" s="14" t="n">
        <v>-13087</v>
      </c>
      <c r="I585" s="14" t="n">
        <v>10387</v>
      </c>
      <c r="J585" s="14" t="n">
        <v>-2700</v>
      </c>
      <c r="K585" s="21" t="n">
        <v>46146.47450231481</v>
      </c>
      <c r="L585" s="21" t="n">
        <v>46146</v>
      </c>
      <c r="M585" s="8" t="inlineStr">
        <is>
          <t>TRANSPOSITION</t>
        </is>
      </c>
      <c r="N585" s="8" t="inlineStr">
        <is>
          <t>Разработчик/поддержка бота ETM</t>
        </is>
      </c>
      <c r="O585" s="8" t="inlineStr">
        <is>
          <t>e.satarov</t>
        </is>
      </c>
      <c r="P585" s="12" t="inlineStr">
        <is>
          <t>Реестр (10,387.00) совпадает с 1С (10,387.00), а в ETM 13,087.00: бот перенёс неверную сумму</t>
        </is>
      </c>
      <c r="Q585" s="8" t="inlineStr">
        <is>
          <t>57251338</t>
        </is>
      </c>
    </row>
    <row r="586">
      <c r="A586" s="8" t="inlineStr">
        <is>
          <t>G13621</t>
        </is>
      </c>
      <c r="B586" s="8" t="inlineStr">
        <is>
          <t>ТАЛАС ВОЯЖ</t>
        </is>
      </c>
      <c r="C586" s="8" t="inlineStr">
        <is>
          <t>2460737608</t>
        </is>
      </c>
      <c r="D586" s="8" t="inlineStr">
        <is>
          <t>Сумма не сходится</t>
        </is>
      </c>
      <c r="E586" s="8" t="inlineStr">
        <is>
          <t>Бот ETM</t>
        </is>
      </c>
      <c r="F586" s="8" t="inlineStr">
        <is>
          <t>A</t>
        </is>
      </c>
      <c r="G586" s="14" t="n">
        <v>19675</v>
      </c>
      <c r="H586" s="14" t="n">
        <v>-16975</v>
      </c>
      <c r="I586" s="14" t="n">
        <v>19675</v>
      </c>
      <c r="J586" s="14" t="n">
        <v>2700</v>
      </c>
      <c r="K586" s="21" t="n">
        <v>46110.59690972222</v>
      </c>
      <c r="L586" s="21" t="n">
        <v>46110</v>
      </c>
      <c r="M586" s="8" t="inlineStr">
        <is>
          <t>TRANSPOSITION</t>
        </is>
      </c>
      <c r="N586" s="8" t="inlineStr">
        <is>
          <t>Разработчик/поддержка бота ETM</t>
        </is>
      </c>
      <c r="O586" s="8" t="inlineStr">
        <is>
          <t>d.mambetova</t>
        </is>
      </c>
      <c r="P586" s="12" t="inlineStr">
        <is>
          <t>Реестр (19,675.00) совпадает с 1С (19,675.00), а в ETM 16,975.00: бот перенёс неверную сумму</t>
        </is>
      </c>
      <c r="Q586" s="8" t="inlineStr">
        <is>
          <t>57179287</t>
        </is>
      </c>
    </row>
    <row r="587">
      <c r="A587" s="8" t="inlineStr">
        <is>
          <t>G14125</t>
        </is>
      </c>
      <c r="B587" s="8" t="inlineStr">
        <is>
          <t>Урматов Эрлан Сагынович</t>
        </is>
      </c>
      <c r="C587" s="8" t="inlineStr">
        <is>
          <t>2552670513</t>
        </is>
      </c>
      <c r="D587" s="8" t="inlineStr">
        <is>
          <t>Сумма не сходится</t>
        </is>
      </c>
      <c r="E587" s="8" t="inlineStr">
        <is>
          <t>Бот ETM</t>
        </is>
      </c>
      <c r="F587" s="8" t="inlineStr">
        <is>
          <t>A</t>
        </is>
      </c>
      <c r="G587" s="14" t="n">
        <v>24130.92</v>
      </c>
      <c r="H587" s="14" t="n">
        <v>-21430.92</v>
      </c>
      <c r="I587" s="14" t="n">
        <v>24130.925</v>
      </c>
      <c r="J587" s="14" t="n">
        <v>2700</v>
      </c>
      <c r="K587" s="21" t="n">
        <v>46089.728125</v>
      </c>
      <c r="L587" s="21" t="n">
        <v>46089</v>
      </c>
      <c r="M587" s="8" t="inlineStr">
        <is>
          <t>TRANSPOSITION</t>
        </is>
      </c>
      <c r="N587" s="8" t="inlineStr">
        <is>
          <t>Разработчик/поддержка бота ETM</t>
        </is>
      </c>
      <c r="O587" s="8" t="inlineStr">
        <is>
          <t>a.toktosunova</t>
        </is>
      </c>
      <c r="P587" s="12" t="inlineStr">
        <is>
          <t>Реестр (24,130.92) совпадает с 1С (24,130.92), а в ETM 21,430.92: бот перенёс неверную сумму</t>
        </is>
      </c>
      <c r="Q587" s="8" t="inlineStr">
        <is>
          <t>57132337</t>
        </is>
      </c>
    </row>
    <row r="588">
      <c r="A588" s="8" t="inlineStr">
        <is>
          <t>G14416</t>
        </is>
      </c>
      <c r="B588" s="8" t="inlineStr">
        <is>
          <t>ЧОЛПОН ЭЙР</t>
        </is>
      </c>
      <c r="C588" s="8" t="inlineStr">
        <is>
          <t>2476314770|2476314773|2476314776</t>
        </is>
      </c>
      <c r="D588" s="8" t="inlineStr">
        <is>
          <t>Сумма не сходится</t>
        </is>
      </c>
      <c r="E588" s="8" t="inlineStr">
        <is>
          <t>Бот ETM</t>
        </is>
      </c>
      <c r="F588" s="8" t="inlineStr">
        <is>
          <t>A</t>
        </is>
      </c>
      <c r="G588" s="14" t="n">
        <v>98538</v>
      </c>
      <c r="H588" s="14" t="n">
        <v>-95838</v>
      </c>
      <c r="I588" s="14" t="n">
        <v>98538</v>
      </c>
      <c r="J588" s="14" t="n">
        <v>2700</v>
      </c>
      <c r="K588" s="21" t="n">
        <v>46111.35385416666</v>
      </c>
      <c r="L588" s="21" t="n">
        <v>46111</v>
      </c>
      <c r="M588" s="8" t="inlineStr">
        <is>
          <t>TRANSPOSITION</t>
        </is>
      </c>
      <c r="N588" s="8" t="inlineStr">
        <is>
          <t>Разработчик/поддержка бота ETM</t>
        </is>
      </c>
      <c r="O588" s="8" t="inlineStr">
        <is>
          <t>b.isakov</t>
        </is>
      </c>
      <c r="P588" s="12" t="inlineStr">
        <is>
          <t>Реестр (98,538.00) совпадает с 1С (98,538.00), а в ETM 95,838.00: бот перенёс неверную сумму</t>
        </is>
      </c>
      <c r="Q588" s="8" t="inlineStr">
        <is>
          <t>57180106,57180121,57180080</t>
        </is>
      </c>
    </row>
    <row r="589">
      <c r="A589" s="8" t="inlineStr">
        <is>
          <t>G06287</t>
        </is>
      </c>
      <c r="B589" s="8" t="inlineStr">
        <is>
          <t>Бирлик Трип</t>
        </is>
      </c>
      <c r="C589" s="8" t="inlineStr">
        <is>
          <t>2476316080</t>
        </is>
      </c>
      <c r="D589" s="8" t="inlineStr">
        <is>
          <t>Сумма не сходится</t>
        </is>
      </c>
      <c r="E589" s="8" t="inlineStr">
        <is>
          <t>1С</t>
        </is>
      </c>
      <c r="F589" s="8" t="inlineStr">
        <is>
          <t>A</t>
        </is>
      </c>
      <c r="G589" s="14" t="n">
        <v>26607</v>
      </c>
      <c r="H589" s="14" t="n">
        <v>-23946.3</v>
      </c>
      <c r="I589" s="14" t="n">
        <v>23946.3</v>
      </c>
      <c r="J589" s="14" t="n">
        <v>2660.700000000001</v>
      </c>
      <c r="K589" s="21" t="n">
        <v>46113.35753472222</v>
      </c>
      <c r="L589" s="21" t="n">
        <v>46113</v>
      </c>
      <c r="M589" s="8" t="inlineStr"/>
      <c r="N589" s="8" t="inlineStr">
        <is>
          <t>Бухгалтер 1С</t>
        </is>
      </c>
      <c r="O589" s="8" t="inlineStr">
        <is>
          <t>e.satarov</t>
        </is>
      </c>
      <c r="P589" s="12" t="inlineStr">
        <is>
          <t>Реестр (23,946.30) совпадает с ETM (23,946.30), а в 1С 26,607.00: неверная сумма в 1С</t>
        </is>
      </c>
      <c r="Q589" s="8" t="inlineStr">
        <is>
          <t>57184654</t>
        </is>
      </c>
    </row>
    <row r="590">
      <c r="A590" s="8" t="inlineStr">
        <is>
          <t>G10358</t>
        </is>
      </c>
      <c r="B590" s="8" t="inlineStr">
        <is>
          <t>Манас Тревел</t>
        </is>
      </c>
      <c r="C590" s="8" t="inlineStr">
        <is>
          <t>2461883447|2461883448|2461883450|2461883453</t>
        </is>
      </c>
      <c r="D590" s="8" t="inlineStr">
        <is>
          <t>Сумма не сходится</t>
        </is>
      </c>
      <c r="E590" s="8" t="inlineStr">
        <is>
          <t>1С</t>
        </is>
      </c>
      <c r="F590" s="8" t="inlineStr">
        <is>
          <t>A</t>
        </is>
      </c>
      <c r="G590" s="14" t="n">
        <v>52288</v>
      </c>
      <c r="H590" s="14" t="n">
        <v>-54902.4</v>
      </c>
      <c r="I590" s="14" t="n">
        <v>54902.4</v>
      </c>
      <c r="J590" s="14" t="n">
        <v>-2614.400000000001</v>
      </c>
      <c r="K590" s="21" t="n">
        <v>46164.76268518518</v>
      </c>
      <c r="L590" s="21" t="n">
        <v>46164</v>
      </c>
      <c r="M590" s="8" t="inlineStr"/>
      <c r="N590" s="8" t="inlineStr">
        <is>
          <t>Бухгалтер 1С</t>
        </is>
      </c>
      <c r="O590" s="8" t="inlineStr">
        <is>
          <t>k.dzhumaev</t>
        </is>
      </c>
      <c r="P590" s="12" t="inlineStr">
        <is>
          <t>Реестр (54,902.40) совпадает с ETM (54,902.40), а в 1С 52,288.00: неверная сумма в 1С</t>
        </is>
      </c>
      <c r="Q590" s="8" t="inlineStr">
        <is>
          <t>57307519</t>
        </is>
      </c>
    </row>
    <row r="591">
      <c r="A591" s="8" t="inlineStr">
        <is>
          <t>G12038</t>
        </is>
      </c>
      <c r="B591" s="8" t="inlineStr">
        <is>
          <t>ОсОО Чолпон Авиакасса</t>
        </is>
      </c>
      <c r="C591" s="8" t="inlineStr">
        <is>
          <t>2461882679|2461882682</t>
        </is>
      </c>
      <c r="D591" s="8" t="inlineStr">
        <is>
          <t>Сумма не сходится</t>
        </is>
      </c>
      <c r="E591" s="8" t="inlineStr">
        <is>
          <t>Бот ETM</t>
        </is>
      </c>
      <c r="F591" s="8" t="inlineStr">
        <is>
          <t>A</t>
        </is>
      </c>
      <c r="G591" s="14" t="n">
        <v>26144</v>
      </c>
      <c r="H591" s="14" t="n">
        <v>-23529.6</v>
      </c>
      <c r="I591" s="14" t="n">
        <v>26144</v>
      </c>
      <c r="J591" s="14" t="n">
        <v>2614.400000000001</v>
      </c>
      <c r="K591" s="21" t="n">
        <v>46167.54915509259</v>
      </c>
      <c r="L591" s="21" t="n">
        <v>46167</v>
      </c>
      <c r="M591" s="8" t="inlineStr"/>
      <c r="N591" s="8" t="inlineStr">
        <is>
          <t>Разработчик/поддержка бота ETM</t>
        </is>
      </c>
      <c r="O591" s="8" t="inlineStr">
        <is>
          <t>n.abdyldaeva</t>
        </is>
      </c>
      <c r="P591" s="12" t="inlineStr">
        <is>
          <t>Реестр (26,144.00) совпадает с 1С (26,144.00), а в ETM 23,529.60: бот перенёс неверную сумму</t>
        </is>
      </c>
      <c r="Q591" s="8" t="inlineStr">
        <is>
          <t>57315349</t>
        </is>
      </c>
    </row>
    <row r="592">
      <c r="A592" s="8" t="inlineStr">
        <is>
          <t>G05665</t>
        </is>
      </c>
      <c r="B592" s="8" t="inlineStr">
        <is>
          <t>Ак-Куу Тур</t>
        </is>
      </c>
      <c r="C592" s="8" t="inlineStr">
        <is>
          <t>2559098664</t>
        </is>
      </c>
      <c r="D592" s="8" t="inlineStr">
        <is>
          <t>Сумма не сходится</t>
        </is>
      </c>
      <c r="E592" s="8" t="inlineStr">
        <is>
          <t>1С</t>
        </is>
      </c>
      <c r="F592" s="8" t="inlineStr">
        <is>
          <t>A</t>
        </is>
      </c>
      <c r="G592" s="14" t="n">
        <v>26137</v>
      </c>
      <c r="H592" s="14" t="n">
        <v>-23523.3</v>
      </c>
      <c r="I592" s="14" t="n">
        <v>23523.3</v>
      </c>
      <c r="J592" s="14" t="n">
        <v>2613.700000000001</v>
      </c>
      <c r="K592" s="21" t="n">
        <v>46027.41802083333</v>
      </c>
      <c r="L592" s="21" t="n">
        <v>46027</v>
      </c>
      <c r="M592" s="8" t="inlineStr"/>
      <c r="N592" s="8" t="inlineStr">
        <is>
          <t>Бухгалтер 1С</t>
        </is>
      </c>
      <c r="O592" s="8" t="inlineStr">
        <is>
          <t>k.dzhumaev</t>
        </is>
      </c>
      <c r="P592" s="12" t="inlineStr">
        <is>
          <t>Реестр (23,523.30) совпадает с ETM (23,523.30), а в 1С 26,137.00: неверная сумма в 1С</t>
        </is>
      </c>
      <c r="Q592" s="8" t="inlineStr">
        <is>
          <t>57007075</t>
        </is>
      </c>
    </row>
    <row r="593">
      <c r="A593" s="8" t="inlineStr">
        <is>
          <t>G08308</t>
        </is>
      </c>
      <c r="B593" s="8" t="inlineStr">
        <is>
          <t>ИП Мамбетова Ч. Э.</t>
        </is>
      </c>
      <c r="C593" s="8" t="inlineStr">
        <is>
          <t>2559098902</t>
        </is>
      </c>
      <c r="D593" s="8" t="inlineStr">
        <is>
          <t>Сумма не сходится</t>
        </is>
      </c>
      <c r="E593" s="8" t="inlineStr">
        <is>
          <t>1С</t>
        </is>
      </c>
      <c r="F593" s="8" t="inlineStr">
        <is>
          <t>A</t>
        </is>
      </c>
      <c r="G593" s="14" t="n">
        <v>51992.16</v>
      </c>
      <c r="H593" s="14" t="n">
        <v>-54591.77</v>
      </c>
      <c r="I593" s="14" t="n">
        <v>54592.1556</v>
      </c>
      <c r="J593" s="14" t="n">
        <v>-2599.609999999993</v>
      </c>
      <c r="K593" s="21" t="n">
        <v>46121.7334837963</v>
      </c>
      <c r="L593" s="21" t="n">
        <v>46121</v>
      </c>
      <c r="M593" s="8" t="inlineStr"/>
      <c r="N593" s="8" t="inlineStr">
        <is>
          <t>Бухгалтер 1С</t>
        </is>
      </c>
      <c r="O593" s="8" t="inlineStr">
        <is>
          <t>d.mambetova</t>
        </is>
      </c>
      <c r="P593" s="12" t="inlineStr">
        <is>
          <t>Реестр (54,592.16) совпадает с ETM (54,591.77), а в 1С 51,992.16: неверная сумма в 1С</t>
        </is>
      </c>
      <c r="Q593" s="8" t="inlineStr">
        <is>
          <t>57198175</t>
        </is>
      </c>
    </row>
    <row r="594">
      <c r="A594" s="8" t="inlineStr">
        <is>
          <t>G07140</t>
        </is>
      </c>
      <c r="B594" s="8" t="inlineStr">
        <is>
          <t>Жибек Эйр</t>
        </is>
      </c>
      <c r="C594" s="8" t="inlineStr">
        <is>
          <t>2416942662</t>
        </is>
      </c>
      <c r="D594" s="8" t="inlineStr">
        <is>
          <t>Сумма не сходится</t>
        </is>
      </c>
      <c r="E594" s="8" t="inlineStr">
        <is>
          <t>1С</t>
        </is>
      </c>
      <c r="F594" s="8" t="inlineStr">
        <is>
          <t>A</t>
        </is>
      </c>
      <c r="G594" s="14" t="n">
        <v>51656.23</v>
      </c>
      <c r="H594" s="14" t="n">
        <v>-54239.04</v>
      </c>
      <c r="I594" s="14" t="n">
        <v>54239.0415</v>
      </c>
      <c r="J594" s="14" t="n">
        <v>-2582.809999999998</v>
      </c>
      <c r="K594" s="21" t="n">
        <v>46079.57594907407</v>
      </c>
      <c r="L594" s="21" t="n">
        <v>46079</v>
      </c>
      <c r="M594" s="8" t="inlineStr"/>
      <c r="N594" s="8" t="inlineStr">
        <is>
          <t>Бухгалтер 1С</t>
        </is>
      </c>
      <c r="O594" s="8" t="inlineStr">
        <is>
          <t>k.dzhumaev</t>
        </is>
      </c>
      <c r="P594" s="12" t="inlineStr">
        <is>
          <t>Реестр (54,239.04) совпадает с ETM (54,239.04), а в 1С 51,656.23: неверная сумма в 1С</t>
        </is>
      </c>
      <c r="Q594" s="8" t="inlineStr">
        <is>
          <t>57110333</t>
        </is>
      </c>
    </row>
    <row r="595">
      <c r="A595" s="8" t="inlineStr">
        <is>
          <t>G04248</t>
        </is>
      </c>
      <c r="B595" s="8" t="inlineStr">
        <is>
          <t>Абдылда уулу Б.</t>
        </is>
      </c>
      <c r="C595" s="8" t="inlineStr">
        <is>
          <t>2459528784</t>
        </is>
      </c>
      <c r="D595" s="8" t="inlineStr">
        <is>
          <t>Сумма не сходится</t>
        </is>
      </c>
      <c r="E595" s="8" t="inlineStr">
        <is>
          <t>1С</t>
        </is>
      </c>
      <c r="F595" s="8" t="inlineStr">
        <is>
          <t>A</t>
        </is>
      </c>
      <c r="G595" s="14" t="n">
        <v>3773.25</v>
      </c>
      <c r="H595" s="14" t="n">
        <v>-1257.75</v>
      </c>
      <c r="I595" s="14" t="n">
        <v>1257.75</v>
      </c>
      <c r="J595" s="14" t="n">
        <v>2515.5</v>
      </c>
      <c r="K595" s="21" t="n">
        <v>46118.36121527778</v>
      </c>
      <c r="L595" s="21" t="n">
        <v>46118</v>
      </c>
      <c r="M595" s="8" t="inlineStr"/>
      <c r="N595" s="8" t="inlineStr">
        <is>
          <t>Бухгалтер 1С</t>
        </is>
      </c>
      <c r="O595" s="8" t="inlineStr">
        <is>
          <t>a.toktosunova|d.mambetova</t>
        </is>
      </c>
      <c r="P595" s="12" t="inlineStr">
        <is>
          <t>Реестр (1,257.75) совпадает с ETM (1,257.75), а в 1С 3,773.25: неверная сумма в 1С</t>
        </is>
      </c>
      <c r="Q595" s="8" t="inlineStr">
        <is>
          <t>57192570,57300507</t>
        </is>
      </c>
    </row>
    <row r="596">
      <c r="A596" s="8" t="inlineStr">
        <is>
          <t>G00916</t>
        </is>
      </c>
      <c r="B596" s="8" t="inlineStr">
        <is>
          <t>Issyk-Kul Air</t>
        </is>
      </c>
      <c r="C596" s="8" t="inlineStr">
        <is>
          <t>2460732879</t>
        </is>
      </c>
      <c r="D596" s="8" t="inlineStr">
        <is>
          <t>Сумма не сходится</t>
        </is>
      </c>
      <c r="E596" s="8" t="inlineStr">
        <is>
          <t>1С</t>
        </is>
      </c>
      <c r="F596" s="8" t="inlineStr">
        <is>
          <t>A</t>
        </is>
      </c>
      <c r="G596" s="14" t="n">
        <v>25100</v>
      </c>
      <c r="H596" s="14" t="n">
        <v>-27610</v>
      </c>
      <c r="I596" s="14" t="n">
        <v>27610</v>
      </c>
      <c r="J596" s="14" t="n">
        <v>-2510</v>
      </c>
      <c r="K596" s="21" t="n">
        <v>46185.77789351852</v>
      </c>
      <c r="L596" s="21" t="n">
        <v>46185</v>
      </c>
      <c r="M596" s="8" t="inlineStr"/>
      <c r="N596" s="8" t="inlineStr">
        <is>
          <t>Бухгалтер 1С</t>
        </is>
      </c>
      <c r="O596" s="8" t="inlineStr">
        <is>
          <t>b.isakov</t>
        </is>
      </c>
      <c r="P596" s="12" t="inlineStr">
        <is>
          <t>Реестр (27,610.00) совпадает с ETM (27,610.00), а в 1С 25,100.00: неверная сумма в 1С</t>
        </is>
      </c>
      <c r="Q596" s="8" t="inlineStr">
        <is>
          <t>57360745</t>
        </is>
      </c>
    </row>
    <row r="597">
      <c r="A597" s="8" t="inlineStr">
        <is>
          <t>G12445</t>
        </is>
      </c>
      <c r="B597" s="8" t="inlineStr">
        <is>
          <t>СОН-КУЛЬ ТУР</t>
        </is>
      </c>
      <c r="C597" s="8" t="inlineStr">
        <is>
          <t>2420848526</t>
        </is>
      </c>
      <c r="D597" s="8" t="inlineStr">
        <is>
          <t>Сумма не сходится</t>
        </is>
      </c>
      <c r="E597" s="8" t="inlineStr">
        <is>
          <t>1С</t>
        </is>
      </c>
      <c r="F597" s="8" t="inlineStr">
        <is>
          <t>A</t>
        </is>
      </c>
      <c r="G597" s="14" t="n">
        <v>25064.75</v>
      </c>
      <c r="H597" s="14" t="n">
        <v>-22558.28</v>
      </c>
      <c r="I597" s="14" t="n">
        <v>22558.27943</v>
      </c>
      <c r="J597" s="14" t="n">
        <v>2506.470000000001</v>
      </c>
      <c r="K597" s="21" t="n">
        <v>46205.51030092593</v>
      </c>
      <c r="L597" s="21" t="n">
        <v>46205</v>
      </c>
      <c r="M597" s="8" t="inlineStr"/>
      <c r="N597" s="8" t="inlineStr">
        <is>
          <t>Бухгалтер 1С</t>
        </is>
      </c>
      <c r="O597" s="8" t="inlineStr">
        <is>
          <t>k.dzhumaev</t>
        </is>
      </c>
      <c r="P597" s="12" t="inlineStr">
        <is>
          <t>Реестр (22,558.28) совпадает с ETM (22,558.28), а в 1С 25,064.75: неверная сумма в 1С</t>
        </is>
      </c>
      <c r="Q597" s="8" t="inlineStr">
        <is>
          <t>57422436</t>
        </is>
      </c>
    </row>
    <row r="598">
      <c r="A598" s="8" t="inlineStr">
        <is>
          <t>G11062</t>
        </is>
      </c>
      <c r="B598" s="8" t="inlineStr">
        <is>
          <t>ОсОО Ала-Арча Трип</t>
        </is>
      </c>
      <c r="C598" s="8" t="inlineStr">
        <is>
          <t>2559102550</t>
        </is>
      </c>
      <c r="D598" s="8" t="inlineStr">
        <is>
          <t>Сумма не сходится</t>
        </is>
      </c>
      <c r="E598" s="8" t="inlineStr">
        <is>
          <t>1С</t>
        </is>
      </c>
      <c r="F598" s="8" t="inlineStr">
        <is>
          <t>A</t>
        </is>
      </c>
      <c r="G598" s="14" t="n">
        <v>49580.5</v>
      </c>
      <c r="H598" s="14" t="n">
        <v>-47101.47</v>
      </c>
      <c r="I598" s="14" t="n">
        <v>47101.0527</v>
      </c>
      <c r="J598" s="14" t="n">
        <v>2479.029999999999</v>
      </c>
      <c r="K598" s="21" t="n">
        <v>46098.41609953704</v>
      </c>
      <c r="L598" s="21" t="n">
        <v>46098</v>
      </c>
      <c r="M598" s="8" t="inlineStr"/>
      <c r="N598" s="8" t="inlineStr">
        <is>
          <t>Бухгалтер 1С</t>
        </is>
      </c>
      <c r="O598" s="8" t="inlineStr">
        <is>
          <t>d.mambetova</t>
        </is>
      </c>
      <c r="P598" s="12" t="inlineStr">
        <is>
          <t>Реестр (47,101.05) совпадает с ETM (47,101.47), а в 1С 49,580.50: неверная сумма в 1С</t>
        </is>
      </c>
      <c r="Q598" s="8" t="inlineStr">
        <is>
          <t>57154124</t>
        </is>
      </c>
    </row>
    <row r="599">
      <c r="A599" s="8" t="inlineStr">
        <is>
          <t>G12238</t>
        </is>
      </c>
      <c r="B599" s="8" t="inlineStr">
        <is>
          <t>САЛАМ ВОЯЖ</t>
        </is>
      </c>
      <c r="C599" s="8" t="inlineStr">
        <is>
          <t>2461881508</t>
        </is>
      </c>
      <c r="D599" s="8" t="inlineStr">
        <is>
          <t>Сумма не сходится</t>
        </is>
      </c>
      <c r="E599" s="8" t="inlineStr">
        <is>
          <t>1С</t>
        </is>
      </c>
      <c r="F599" s="8" t="inlineStr">
        <is>
          <t>A</t>
        </is>
      </c>
      <c r="G599" s="14" t="n">
        <v>24733</v>
      </c>
      <c r="H599" s="14" t="n">
        <v>-27206.3</v>
      </c>
      <c r="I599" s="14" t="n">
        <v>27206.3</v>
      </c>
      <c r="J599" s="14" t="n">
        <v>-2473.299999999999</v>
      </c>
      <c r="K599" s="21" t="n">
        <v>46189.33922453703</v>
      </c>
      <c r="L599" s="21" t="n">
        <v>46189</v>
      </c>
      <c r="M599" s="8" t="inlineStr"/>
      <c r="N599" s="8" t="inlineStr">
        <is>
          <t>Бухгалтер 1С</t>
        </is>
      </c>
      <c r="O599" s="8" t="inlineStr">
        <is>
          <t>d.mambetova</t>
        </is>
      </c>
      <c r="P599" s="12" t="inlineStr">
        <is>
          <t>Реестр (27,206.30) совпадает с ETM (27,206.30), а в 1С 24,733.00: неверная сумма в 1С</t>
        </is>
      </c>
      <c r="Q599" s="8" t="inlineStr">
        <is>
          <t>57372061</t>
        </is>
      </c>
    </row>
    <row r="600">
      <c r="A600" s="8" t="inlineStr">
        <is>
          <t>G01313</t>
        </is>
      </c>
      <c r="B600" s="8" t="inlineStr">
        <is>
          <t>Karakol Express</t>
        </is>
      </c>
      <c r="C600" s="8" t="inlineStr">
        <is>
          <t>2459528897|2459528900|2459528903</t>
        </is>
      </c>
      <c r="D600" s="8" t="inlineStr">
        <is>
          <t>Сумма не сходится</t>
        </is>
      </c>
      <c r="E600" s="8" t="inlineStr">
        <is>
          <t>Бот ETM</t>
        </is>
      </c>
      <c r="F600" s="8" t="inlineStr">
        <is>
          <t>A</t>
        </is>
      </c>
      <c r="G600" s="14" t="n">
        <v>12028.5</v>
      </c>
      <c r="H600" s="14" t="n">
        <v>-9622.800000000003</v>
      </c>
      <c r="I600" s="14" t="n">
        <v>12028.5</v>
      </c>
      <c r="J600" s="14" t="n">
        <v>2405.699999999997</v>
      </c>
      <c r="K600" s="21" t="n">
        <v>46059.71670138889</v>
      </c>
      <c r="L600" s="21" t="n">
        <v>46059</v>
      </c>
      <c r="M600" s="8" t="inlineStr"/>
      <c r="N600" s="8" t="inlineStr">
        <is>
          <t>Разработчик/поддержка бота ETM</t>
        </is>
      </c>
      <c r="O600" s="8" t="inlineStr">
        <is>
          <t>g.omurbekova|r.sydykov</t>
        </is>
      </c>
      <c r="P600" s="12" t="inlineStr">
        <is>
          <t>Реестр (12,028.50) совпадает с 1С (12,028.50), а в ETM 9,622.80: бот перенёс неверную сумму</t>
        </is>
      </c>
      <c r="Q600" s="8" t="inlineStr">
        <is>
          <t>57076429,57094095</t>
        </is>
      </c>
    </row>
    <row r="601">
      <c r="A601" s="8" t="inlineStr">
        <is>
          <t>G01106</t>
        </is>
      </c>
      <c r="B601" s="8" t="inlineStr">
        <is>
          <t>Karakol Express</t>
        </is>
      </c>
      <c r="C601" s="8" t="inlineStr">
        <is>
          <t>2416943892</t>
        </is>
      </c>
      <c r="D601" s="8" t="inlineStr">
        <is>
          <t>Сумма не сходится</t>
        </is>
      </c>
      <c r="E601" s="8" t="inlineStr">
        <is>
          <t>1С</t>
        </is>
      </c>
      <c r="F601" s="8" t="inlineStr">
        <is>
          <t>A</t>
        </is>
      </c>
      <c r="G601" s="14" t="n">
        <v>47929.2</v>
      </c>
      <c r="H601" s="14" t="n">
        <v>-50325.66</v>
      </c>
      <c r="I601" s="14" t="n">
        <v>50325.2867</v>
      </c>
      <c r="J601" s="14" t="n">
        <v>-2396.460000000006</v>
      </c>
      <c r="K601" s="21" t="n">
        <v>46224.37300925926</v>
      </c>
      <c r="L601" s="21" t="n">
        <v>46224</v>
      </c>
      <c r="M601" s="8" t="inlineStr"/>
      <c r="N601" s="8" t="inlineStr">
        <is>
          <t>Бухгалтер 1С</t>
        </is>
      </c>
      <c r="O601" s="8" t="inlineStr">
        <is>
          <t>a.toktosunova</t>
        </is>
      </c>
      <c r="P601" s="12" t="inlineStr">
        <is>
          <t>Реестр (50,325.29) совпадает с ETM (50,325.66), а в 1С 47,929.20: неверная сумма в 1С</t>
        </is>
      </c>
      <c r="Q601" s="8" t="inlineStr">
        <is>
          <t>57476722</t>
        </is>
      </c>
    </row>
    <row r="602">
      <c r="A602" s="8" t="inlineStr">
        <is>
          <t>G01192</t>
        </is>
      </c>
      <c r="B602" s="8" t="inlineStr">
        <is>
          <t>Karakol Express</t>
        </is>
      </c>
      <c r="C602" s="8" t="inlineStr">
        <is>
          <t>2420844270</t>
        </is>
      </c>
      <c r="D602" s="8" t="inlineStr">
        <is>
          <t>Сумма не сходится</t>
        </is>
      </c>
      <c r="E602" s="8" t="inlineStr">
        <is>
          <t>Бот ETM</t>
        </is>
      </c>
      <c r="F602" s="8" t="inlineStr">
        <is>
          <t>A</t>
        </is>
      </c>
      <c r="G602" s="14" t="n">
        <v>23465.37</v>
      </c>
      <c r="H602" s="14" t="n">
        <v>-25811.91</v>
      </c>
      <c r="I602" s="14" t="n">
        <v>23465.3726</v>
      </c>
      <c r="J602" s="14" t="n">
        <v>-2346.540000000001</v>
      </c>
      <c r="K602" s="21" t="n">
        <v>46052.68083333333</v>
      </c>
      <c r="L602" s="21" t="n">
        <v>46052</v>
      </c>
      <c r="M602" s="8" t="inlineStr"/>
      <c r="N602" s="8" t="inlineStr">
        <is>
          <t>Разработчик/поддержка бота ETM</t>
        </is>
      </c>
      <c r="O602" s="8" t="inlineStr">
        <is>
          <t>n.abdyldaeva</t>
        </is>
      </c>
      <c r="P602" s="12" t="inlineStr">
        <is>
          <t>Реестр (23,465.37) совпадает с 1С (23,465.37), а в ETM 25,811.91: бот перенёс неверную сумму</t>
        </is>
      </c>
      <c r="Q602" s="8" t="inlineStr">
        <is>
          <t>57063655</t>
        </is>
      </c>
    </row>
    <row r="603">
      <c r="A603" s="8" t="inlineStr">
        <is>
          <t>G15219</t>
        </is>
      </c>
      <c r="B603" s="8" t="inlineStr">
        <is>
          <t>Ыйык Тур</t>
        </is>
      </c>
      <c r="C603" s="8" t="inlineStr">
        <is>
          <t>2552672761</t>
        </is>
      </c>
      <c r="D603" s="8" t="inlineStr">
        <is>
          <t>Сумма не сходится</t>
        </is>
      </c>
      <c r="E603" s="8" t="inlineStr">
        <is>
          <t>1С</t>
        </is>
      </c>
      <c r="F603" s="8" t="inlineStr">
        <is>
          <t>A</t>
        </is>
      </c>
      <c r="G603" s="14" t="n">
        <v>22487.07</v>
      </c>
      <c r="H603" s="14" t="n">
        <v>-20238.36</v>
      </c>
      <c r="I603" s="14" t="n">
        <v>20237.9649</v>
      </c>
      <c r="J603" s="14" t="n">
        <v>2248.709999999999</v>
      </c>
      <c r="K603" s="21" t="n">
        <v>46198.78398148148</v>
      </c>
      <c r="L603" s="21" t="n">
        <v>46198</v>
      </c>
      <c r="M603" s="8" t="inlineStr"/>
      <c r="N603" s="8" t="inlineStr">
        <is>
          <t>Бухгалтер 1С</t>
        </is>
      </c>
      <c r="O603" s="8" t="inlineStr">
        <is>
          <t>b.isakov</t>
        </is>
      </c>
      <c r="P603" s="12" t="inlineStr">
        <is>
          <t>Реестр (20,237.96) совпадает с ETM (20,238.36), а в 1С 22,487.07: неверная сумма в 1С</t>
        </is>
      </c>
      <c r="Q603" s="8" t="inlineStr">
        <is>
          <t>57401312</t>
        </is>
      </c>
    </row>
    <row r="604">
      <c r="A604" s="8" t="inlineStr">
        <is>
          <t>G05251</t>
        </is>
      </c>
      <c r="B604" s="8" t="inlineStr">
        <is>
          <t>Ак-Куу Авиа</t>
        </is>
      </c>
      <c r="C604" s="8" t="inlineStr">
        <is>
          <t>2476319202</t>
        </is>
      </c>
      <c r="D604" s="8" t="inlineStr">
        <is>
          <t>Сумма не сходится</t>
        </is>
      </c>
      <c r="E604" s="8" t="inlineStr">
        <is>
          <t>1С</t>
        </is>
      </c>
      <c r="F604" s="8" t="inlineStr">
        <is>
          <t>A</t>
        </is>
      </c>
      <c r="G604" s="14" t="n">
        <v>22355.73</v>
      </c>
      <c r="H604" s="14" t="n">
        <v>-24591.3</v>
      </c>
      <c r="I604" s="14" t="n">
        <v>24591.2985</v>
      </c>
      <c r="J604" s="14" t="n">
        <v>-2235.57</v>
      </c>
      <c r="K604" s="21" t="n">
        <v>46126.49334490741</v>
      </c>
      <c r="L604" s="21" t="n">
        <v>46126</v>
      </c>
      <c r="M604" s="8" t="inlineStr"/>
      <c r="N604" s="8" t="inlineStr">
        <is>
          <t>Бухгалтер 1С</t>
        </is>
      </c>
      <c r="O604" s="8" t="inlineStr">
        <is>
          <t>d.mambetova</t>
        </is>
      </c>
      <c r="P604" s="12" t="inlineStr">
        <is>
          <t>Реестр (24,591.30) совпадает с ETM (24,591.30), а в 1С 22,355.73: неверная сумма в 1С</t>
        </is>
      </c>
      <c r="Q604" s="8" t="inlineStr">
        <is>
          <t>57207841</t>
        </is>
      </c>
    </row>
    <row r="605">
      <c r="A605" s="8" t="inlineStr">
        <is>
          <t>G06003</t>
        </is>
      </c>
      <c r="B605" s="8" t="inlineStr">
        <is>
          <t>Байтур Трип</t>
        </is>
      </c>
      <c r="C605" s="8" t="inlineStr">
        <is>
          <t>2416946384|2416946386</t>
        </is>
      </c>
      <c r="D605" s="8" t="inlineStr">
        <is>
          <t>Сумма не сходится</t>
        </is>
      </c>
      <c r="E605" s="8" t="inlineStr">
        <is>
          <t>1С</t>
        </is>
      </c>
      <c r="F605" s="8" t="inlineStr">
        <is>
          <t>A</t>
        </is>
      </c>
      <c r="G605" s="14" t="n">
        <v>43508.34</v>
      </c>
      <c r="H605" s="14" t="n">
        <v>-41332.92</v>
      </c>
      <c r="I605" s="14" t="n">
        <v>41332.923</v>
      </c>
      <c r="J605" s="14" t="n">
        <v>2175.419999999998</v>
      </c>
      <c r="K605" s="21" t="n">
        <v>46043.65550925926</v>
      </c>
      <c r="L605" s="21" t="n">
        <v>46043</v>
      </c>
      <c r="M605" s="8" t="inlineStr"/>
      <c r="N605" s="8" t="inlineStr">
        <is>
          <t>Бухгалтер 1С</t>
        </is>
      </c>
      <c r="O605" s="8" t="inlineStr">
        <is>
          <t>e.satarov</t>
        </is>
      </c>
      <c r="P605" s="12" t="inlineStr">
        <is>
          <t>Реестр (41,332.92) совпадает с ETM (41,332.92), а в 1С 43,508.34: неверная сумма в 1С</t>
        </is>
      </c>
      <c r="Q605" s="8" t="inlineStr">
        <is>
          <t>57043658,57043661</t>
        </is>
      </c>
    </row>
    <row r="606">
      <c r="A606" s="8" t="inlineStr">
        <is>
          <t>G05615</t>
        </is>
      </c>
      <c r="B606" s="8" t="inlineStr">
        <is>
          <t>Ак-Куу Тур</t>
        </is>
      </c>
      <c r="C606" s="8" t="inlineStr">
        <is>
          <t>2476317838</t>
        </is>
      </c>
      <c r="D606" s="8" t="inlineStr">
        <is>
          <t>Сумма не сходится</t>
        </is>
      </c>
      <c r="E606" s="8" t="inlineStr">
        <is>
          <t>Бот ETM</t>
        </is>
      </c>
      <c r="F606" s="8" t="inlineStr">
        <is>
          <t>A</t>
        </is>
      </c>
      <c r="G606" s="14" t="n">
        <v>21583.74</v>
      </c>
      <c r="H606" s="14" t="n">
        <v>-23742.11</v>
      </c>
      <c r="I606" s="14" t="n">
        <v>21583.74</v>
      </c>
      <c r="J606" s="14" t="n">
        <v>-2158.369999999999</v>
      </c>
      <c r="K606" s="21" t="n">
        <v>46093.66152777777</v>
      </c>
      <c r="L606" s="21" t="n">
        <v>46093</v>
      </c>
      <c r="M606" s="8" t="inlineStr"/>
      <c r="N606" s="8" t="inlineStr">
        <is>
          <t>Разработчик/поддержка бота ETM</t>
        </is>
      </c>
      <c r="O606" s="8" t="inlineStr">
        <is>
          <t>d.mambetova</t>
        </is>
      </c>
      <c r="P606" s="12" t="inlineStr">
        <is>
          <t>Реестр (21,583.74) совпадает с 1С (21,583.74), а в ETM 23,742.11: бот перенёс неверную сумму</t>
        </is>
      </c>
      <c r="Q606" s="8" t="inlineStr">
        <is>
          <t>57142863</t>
        </is>
      </c>
    </row>
    <row r="607">
      <c r="A607" s="8" t="inlineStr">
        <is>
          <t>G06989</t>
        </is>
      </c>
      <c r="B607" s="8" t="inlineStr">
        <is>
          <t>Жибек Авиакасса</t>
        </is>
      </c>
      <c r="C607" s="8" t="inlineStr">
        <is>
          <t>2461885193</t>
        </is>
      </c>
      <c r="D607" s="8" t="inlineStr">
        <is>
          <t>Сумма не сходится</t>
        </is>
      </c>
      <c r="E607" s="8" t="inlineStr">
        <is>
          <t>1С</t>
        </is>
      </c>
      <c r="F607" s="8" t="inlineStr">
        <is>
          <t>A</t>
        </is>
      </c>
      <c r="G607" s="14" t="n">
        <v>42832</v>
      </c>
      <c r="H607" s="14" t="n">
        <v>-40690.4</v>
      </c>
      <c r="I607" s="14" t="n">
        <v>40690.4</v>
      </c>
      <c r="J607" s="14" t="n">
        <v>2141.599999999999</v>
      </c>
      <c r="K607" s="21" t="n">
        <v>46191.57105324074</v>
      </c>
      <c r="L607" s="21" t="n">
        <v>46191</v>
      </c>
      <c r="M607" s="8" t="inlineStr"/>
      <c r="N607" s="8" t="inlineStr">
        <is>
          <t>Бухгалтер 1С</t>
        </is>
      </c>
      <c r="O607" s="8" t="inlineStr">
        <is>
          <t>r.sydykov</t>
        </is>
      </c>
      <c r="P607" s="12" t="inlineStr">
        <is>
          <t>Реестр (40,690.40) совпадает с ETM (40,690.40), а в 1С 42,832.00: неверная сумма в 1С</t>
        </is>
      </c>
      <c r="Q607" s="8" t="inlineStr">
        <is>
          <t>57379178</t>
        </is>
      </c>
    </row>
    <row r="608">
      <c r="A608" s="8" t="inlineStr">
        <is>
          <t>G04183</t>
        </is>
      </c>
      <c r="B608" s="8" t="inlineStr">
        <is>
          <t>Абдылда уулу Б.</t>
        </is>
      </c>
      <c r="C608" s="8" t="inlineStr">
        <is>
          <t>2420844010</t>
        </is>
      </c>
      <c r="D608" s="8" t="inlineStr">
        <is>
          <t>Сумма не сходится</t>
        </is>
      </c>
      <c r="E608" s="8" t="inlineStr">
        <is>
          <t>1С</t>
        </is>
      </c>
      <c r="F608" s="8" t="inlineStr">
        <is>
          <t>A</t>
        </is>
      </c>
      <c r="G608" s="14" t="n">
        <v>20981.33</v>
      </c>
      <c r="H608" s="14" t="n">
        <v>-18883.2</v>
      </c>
      <c r="I608" s="14" t="n">
        <v>18883.200039</v>
      </c>
      <c r="J608" s="14" t="n">
        <v>2098.130000000001</v>
      </c>
      <c r="K608" s="21" t="n">
        <v>46183.64456018519</v>
      </c>
      <c r="L608" s="21" t="n">
        <v>46183</v>
      </c>
      <c r="M608" s="8" t="inlineStr"/>
      <c r="N608" s="8" t="inlineStr">
        <is>
          <t>Бухгалтер 1С</t>
        </is>
      </c>
      <c r="O608" s="8" t="inlineStr">
        <is>
          <t>r.sydykov</t>
        </is>
      </c>
      <c r="P608" s="12" t="inlineStr">
        <is>
          <t>Реестр (18,883.20) совпадает с ETM (18,883.20), а в 1С 20,981.33: неверная сумма в 1С</t>
        </is>
      </c>
      <c r="Q608" s="8" t="inlineStr">
        <is>
          <t>57356083</t>
        </is>
      </c>
    </row>
    <row r="609">
      <c r="A609" s="8" t="inlineStr">
        <is>
          <t>G12477</t>
        </is>
      </c>
      <c r="B609" s="8" t="inlineStr">
        <is>
          <t>СОН-КУЛЬ ТУР</t>
        </is>
      </c>
      <c r="C609" s="8" t="inlineStr">
        <is>
          <t>2460737583</t>
        </is>
      </c>
      <c r="D609" s="8" t="inlineStr">
        <is>
          <t>Сумма не сходится</t>
        </is>
      </c>
      <c r="E609" s="8" t="inlineStr">
        <is>
          <t>Бот ETM</t>
        </is>
      </c>
      <c r="F609" s="8" t="inlineStr">
        <is>
          <t>A</t>
        </is>
      </c>
      <c r="G609" s="14" t="n">
        <v>20687</v>
      </c>
      <c r="H609" s="14" t="n">
        <v>-18618.3</v>
      </c>
      <c r="I609" s="14" t="n">
        <v>20687</v>
      </c>
      <c r="J609" s="14" t="n">
        <v>2068.700000000001</v>
      </c>
      <c r="K609" s="21" t="n">
        <v>46108.47400462963</v>
      </c>
      <c r="L609" s="21" t="n">
        <v>46108</v>
      </c>
      <c r="M609" s="8" t="inlineStr"/>
      <c r="N609" s="8" t="inlineStr">
        <is>
          <t>Разработчик/поддержка бота ETM</t>
        </is>
      </c>
      <c r="O609" s="8" t="inlineStr">
        <is>
          <t>e.satarov</t>
        </is>
      </c>
      <c r="P609" s="12" t="inlineStr">
        <is>
          <t>Реестр (20,687.00) совпадает с 1С (20,687.00), а в ETM 18,618.30: бот перенёс неверную сумму</t>
        </is>
      </c>
      <c r="Q609" s="8" t="inlineStr">
        <is>
          <t>57176315</t>
        </is>
      </c>
    </row>
    <row r="610">
      <c r="A610" s="8" t="inlineStr">
        <is>
          <t>G03126</t>
        </is>
      </c>
      <c r="B610" s="8" t="inlineStr">
        <is>
          <t>SkyWay Travel</t>
        </is>
      </c>
      <c r="C610" s="8" t="inlineStr">
        <is>
          <t>2461884872</t>
        </is>
      </c>
      <c r="D610" s="8" t="inlineStr">
        <is>
          <t>Сумма не сходится</t>
        </is>
      </c>
      <c r="E610" s="8" t="inlineStr">
        <is>
          <t>1С</t>
        </is>
      </c>
      <c r="F610" s="8" t="inlineStr">
        <is>
          <t>A</t>
        </is>
      </c>
      <c r="G610" s="14" t="n">
        <v>20650</v>
      </c>
      <c r="H610" s="14" t="n">
        <v>-18585</v>
      </c>
      <c r="I610" s="14" t="n">
        <v>18585</v>
      </c>
      <c r="J610" s="14" t="n">
        <v>2065</v>
      </c>
      <c r="K610" s="21" t="n">
        <v>46223.62604166667</v>
      </c>
      <c r="L610" s="21" t="n">
        <v>46223</v>
      </c>
      <c r="M610" s="8" t="inlineStr"/>
      <c r="N610" s="8" t="inlineStr">
        <is>
          <t>Бухгалтер 1С</t>
        </is>
      </c>
      <c r="O610" s="8" t="inlineStr">
        <is>
          <t>d.mambetova</t>
        </is>
      </c>
      <c r="P610" s="12" t="inlineStr">
        <is>
          <t>Реестр (18,585.00) совпадает с ETM (18,585.00), а в 1С 20,650.00: неверная сумма в 1С</t>
        </is>
      </c>
      <c r="Q610" s="8" t="inlineStr">
        <is>
          <t>57474389</t>
        </is>
      </c>
    </row>
    <row r="611">
      <c r="A611" s="8" t="inlineStr">
        <is>
          <t>G04964</t>
        </is>
      </c>
      <c r="B611" s="8" t="inlineStr">
        <is>
          <t>Ак-Куу Авиа</t>
        </is>
      </c>
      <c r="C611" s="8" t="inlineStr">
        <is>
          <t>2459530528|2459530529|2459530530</t>
        </is>
      </c>
      <c r="D611" s="8" t="inlineStr">
        <is>
          <t>Сумма не сходится</t>
        </is>
      </c>
      <c r="E611" s="8" t="inlineStr">
        <is>
          <t>Бот ETM</t>
        </is>
      </c>
      <c r="F611" s="8" t="inlineStr">
        <is>
          <t>A</t>
        </is>
      </c>
      <c r="G611" s="14" t="n">
        <v>40908</v>
      </c>
      <c r="H611" s="14" t="n">
        <v>-42953.4</v>
      </c>
      <c r="I611" s="14" t="n">
        <v>40908</v>
      </c>
      <c r="J611" s="14" t="n">
        <v>-2045.400000000001</v>
      </c>
      <c r="K611" s="21" t="n">
        <v>46056.5646875</v>
      </c>
      <c r="L611" s="21" t="n">
        <v>46056</v>
      </c>
      <c r="M611" s="8" t="inlineStr"/>
      <c r="N611" s="8" t="inlineStr">
        <is>
          <t>Разработчик/поддержка бота ETM</t>
        </is>
      </c>
      <c r="O611" s="8" t="inlineStr">
        <is>
          <t>d.mambetova</t>
        </is>
      </c>
      <c r="P611" s="12" t="inlineStr">
        <is>
          <t>Реестр (40,908.00) совпадает с 1С (40,908.00), а в ETM 42,953.40: бот перенёс неверную сумму</t>
        </is>
      </c>
      <c r="Q611" s="8" t="inlineStr">
        <is>
          <t>57071670,57071598,57071631</t>
        </is>
      </c>
    </row>
    <row r="612">
      <c r="A612" s="8" t="inlineStr">
        <is>
          <t>G13980</t>
        </is>
      </c>
      <c r="B612" s="8" t="inlineStr">
        <is>
          <t>Тянь-Шань Тур</t>
        </is>
      </c>
      <c r="C612" s="8" t="inlineStr">
        <is>
          <t>2416941007|2416941009</t>
        </is>
      </c>
      <c r="D612" s="8" t="inlineStr">
        <is>
          <t>Сумма не сходится</t>
        </is>
      </c>
      <c r="E612" s="8" t="inlineStr">
        <is>
          <t>1С</t>
        </is>
      </c>
      <c r="F612" s="8" t="inlineStr">
        <is>
          <t>A</t>
        </is>
      </c>
      <c r="G612" s="14" t="n">
        <v>40839.48</v>
      </c>
      <c r="H612" s="14" t="n">
        <v>-42881.45</v>
      </c>
      <c r="I612" s="14" t="n">
        <v>42881.5536</v>
      </c>
      <c r="J612" s="14" t="n">
        <v>-2041.969999999994</v>
      </c>
      <c r="K612" s="21" t="n">
        <v>46234.4100462963</v>
      </c>
      <c r="L612" s="21" t="n">
        <v>46234</v>
      </c>
      <c r="M612" s="8" t="inlineStr"/>
      <c r="N612" s="8" t="inlineStr">
        <is>
          <t>Бухгалтер 1С</t>
        </is>
      </c>
      <c r="O612" s="8" t="inlineStr">
        <is>
          <t>b.isakov</t>
        </is>
      </c>
      <c r="P612" s="12" t="inlineStr">
        <is>
          <t>Реестр (42,881.55) совпадает с ETM (42,881.45), а в 1С 40,839.48: неверная сумма в 1С</t>
        </is>
      </c>
      <c r="Q612" s="8" t="inlineStr">
        <is>
          <t>57501274,57501261</t>
        </is>
      </c>
    </row>
    <row r="613">
      <c r="A613" s="8" t="inlineStr">
        <is>
          <t>G05789</t>
        </is>
      </c>
      <c r="B613" s="8" t="inlineStr">
        <is>
          <t>Ала-Арча Тревел</t>
        </is>
      </c>
      <c r="C613" s="8" t="inlineStr">
        <is>
          <t>2461883759|2461883760</t>
        </is>
      </c>
      <c r="D613" s="8" t="inlineStr">
        <is>
          <t>Сумма не сходится</t>
        </is>
      </c>
      <c r="E613" s="8" t="inlineStr">
        <is>
          <t>Бот ETM</t>
        </is>
      </c>
      <c r="F613" s="8" t="inlineStr">
        <is>
          <t>A</t>
        </is>
      </c>
      <c r="G613" s="14" t="n">
        <v>40314</v>
      </c>
      <c r="H613" s="14" t="n">
        <v>-42329.7</v>
      </c>
      <c r="I613" s="14" t="n">
        <v>40314</v>
      </c>
      <c r="J613" s="14" t="n">
        <v>-2015.699999999997</v>
      </c>
      <c r="K613" s="21" t="n">
        <v>46212.48097222222</v>
      </c>
      <c r="L613" s="21" t="n">
        <v>46212</v>
      </c>
      <c r="M613" s="8" t="inlineStr"/>
      <c r="N613" s="8" t="inlineStr">
        <is>
          <t>Разработчик/поддержка бота ETM</t>
        </is>
      </c>
      <c r="O613" s="8" t="inlineStr">
        <is>
          <t>g.omurbekova</t>
        </is>
      </c>
      <c r="P613" s="12" t="inlineStr">
        <is>
          <t>Реестр (40,314.00) совпадает с 1С (40,314.00), а в ETM 42,329.70: бот перенёс неверную сумму</t>
        </is>
      </c>
      <c r="Q613" s="8" t="inlineStr">
        <is>
          <t>57445002,57445008</t>
        </is>
      </c>
    </row>
    <row r="614">
      <c r="A614" s="8" t="inlineStr">
        <is>
          <t>G05391</t>
        </is>
      </c>
      <c r="B614" s="8" t="inlineStr">
        <is>
          <t>Ак-Куу Авиа</t>
        </is>
      </c>
      <c r="C614" s="8" t="inlineStr">
        <is>
          <t>2559100323</t>
        </is>
      </c>
      <c r="D614" s="8" t="inlineStr">
        <is>
          <t>Сумма не сходится</t>
        </is>
      </c>
      <c r="E614" s="8" t="inlineStr">
        <is>
          <t>1С</t>
        </is>
      </c>
      <c r="F614" s="8" t="inlineStr">
        <is>
          <t>A</t>
        </is>
      </c>
      <c r="G614" s="14" t="n">
        <v>10011.26</v>
      </c>
      <c r="H614" s="14" t="n">
        <v>-8009.01</v>
      </c>
      <c r="I614" s="14" t="n">
        <v>8009.440799999998</v>
      </c>
      <c r="J614" s="14" t="n">
        <v>2002.25</v>
      </c>
      <c r="K614" s="21" t="n">
        <v>46139.41428240741</v>
      </c>
      <c r="L614" s="21" t="n">
        <v>46139</v>
      </c>
      <c r="M614" s="8" t="inlineStr"/>
      <c r="N614" s="8" t="inlineStr">
        <is>
          <t>Бухгалтер 1С</t>
        </is>
      </c>
      <c r="O614" s="8" t="inlineStr">
        <is>
          <t>b.isakov|n.abdyldaeva</t>
        </is>
      </c>
      <c r="P614" s="12" t="inlineStr">
        <is>
          <t>Реестр (8,009.44) совпадает с ETM (8,009.01), а в 1С 10,011.26: неверная сумма в 1С</t>
        </is>
      </c>
      <c r="Q614" s="8" t="inlineStr">
        <is>
          <t>57232188,57379938</t>
        </is>
      </c>
    </row>
    <row r="615">
      <c r="A615" s="8" t="inlineStr">
        <is>
          <t>G03233</t>
        </is>
      </c>
      <c r="B615" s="8" t="inlineStr">
        <is>
          <t>SkyWay Travel</t>
        </is>
      </c>
      <c r="C615" s="8" t="inlineStr">
        <is>
          <t>2476315730</t>
        </is>
      </c>
      <c r="D615" s="8" t="inlineStr">
        <is>
          <t>Сумма не сходится</t>
        </is>
      </c>
      <c r="E615" s="8" t="inlineStr">
        <is>
          <t>Бот ETM</t>
        </is>
      </c>
      <c r="F615" s="8" t="inlineStr">
        <is>
          <t>A</t>
        </is>
      </c>
      <c r="G615" s="14" t="n">
        <v>19770.59</v>
      </c>
      <c r="H615" s="14" t="n">
        <v>-17793.53</v>
      </c>
      <c r="I615" s="14" t="n">
        <v>19770.59</v>
      </c>
      <c r="J615" s="14" t="n">
        <v>1977.060000000001</v>
      </c>
      <c r="K615" s="21" t="n">
        <v>46173.69633101852</v>
      </c>
      <c r="L615" s="21" t="n">
        <v>46173</v>
      </c>
      <c r="M615" s="8" t="inlineStr"/>
      <c r="N615" s="8" t="inlineStr">
        <is>
          <t>Разработчик/поддержка бота ETM</t>
        </is>
      </c>
      <c r="O615" s="8" t="inlineStr">
        <is>
          <t>e.satarov</t>
        </is>
      </c>
      <c r="P615" s="12" t="inlineStr">
        <is>
          <t>Реестр (19,770.59) совпадает с 1С (19,770.59), а в ETM 17,793.53: бот перенёс неверную сумму</t>
        </is>
      </c>
      <c r="Q615" s="8" t="inlineStr">
        <is>
          <t>57330834</t>
        </is>
      </c>
    </row>
    <row r="616">
      <c r="A616" s="8" t="inlineStr">
        <is>
          <t>G03506</t>
        </is>
      </c>
      <c r="B616" s="8" t="inlineStr">
        <is>
          <t>SkyWay Travel</t>
        </is>
      </c>
      <c r="C616" s="8" t="inlineStr">
        <is>
          <t>2552671071</t>
        </is>
      </c>
      <c r="D616" s="8" t="inlineStr">
        <is>
          <t>Сумма не сходится</t>
        </is>
      </c>
      <c r="E616" s="8" t="inlineStr">
        <is>
          <t>Бот ETM</t>
        </is>
      </c>
      <c r="F616" s="8" t="inlineStr">
        <is>
          <t>A</t>
        </is>
      </c>
      <c r="G616" s="14" t="n">
        <v>19651.97</v>
      </c>
      <c r="H616" s="14" t="n">
        <v>-17686.77</v>
      </c>
      <c r="I616" s="14" t="n">
        <v>19651.9725</v>
      </c>
      <c r="J616" s="14" t="n">
        <v>1965.200000000001</v>
      </c>
      <c r="K616" s="21" t="n">
        <v>46094.39299768519</v>
      </c>
      <c r="L616" s="21" t="n">
        <v>46094</v>
      </c>
      <c r="M616" s="8" t="inlineStr"/>
      <c r="N616" s="8" t="inlineStr">
        <is>
          <t>Разработчик/поддержка бота ETM</t>
        </is>
      </c>
      <c r="O616" s="8" t="inlineStr">
        <is>
          <t>g.omurbekova</t>
        </is>
      </c>
      <c r="P616" s="12" t="inlineStr">
        <is>
          <t>Реестр (19,651.97) совпадает с 1С (19,651.97), а в ETM 17,686.77: бот перенёс неверную сумму</t>
        </is>
      </c>
      <c r="Q616" s="8" t="inlineStr">
        <is>
          <t>57145672</t>
        </is>
      </c>
    </row>
    <row r="617">
      <c r="A617" s="8" t="inlineStr">
        <is>
          <t>G14431</t>
        </is>
      </c>
      <c r="B617" s="8" t="inlineStr">
        <is>
          <t>ЧОЛПОН ЭЙР</t>
        </is>
      </c>
      <c r="C617" s="8" t="inlineStr">
        <is>
          <t>2552667441</t>
        </is>
      </c>
      <c r="D617" s="8" t="inlineStr">
        <is>
          <t>Сумма не сходится</t>
        </is>
      </c>
      <c r="E617" s="8" t="inlineStr">
        <is>
          <t>Бот ETM</t>
        </is>
      </c>
      <c r="F617" s="8" t="inlineStr">
        <is>
          <t>A</t>
        </is>
      </c>
      <c r="G617" s="14" t="n">
        <v>19649.6</v>
      </c>
      <c r="H617" s="14" t="n">
        <v>-17684.64</v>
      </c>
      <c r="I617" s="14" t="n">
        <v>19649.6</v>
      </c>
      <c r="J617" s="14" t="n">
        <v>1964.959999999999</v>
      </c>
      <c r="K617" s="21" t="n">
        <v>46147.48945601852</v>
      </c>
      <c r="L617" s="21" t="n">
        <v>46147</v>
      </c>
      <c r="M617" s="8" t="inlineStr"/>
      <c r="N617" s="8" t="inlineStr">
        <is>
          <t>Разработчик/поддержка бота ETM</t>
        </is>
      </c>
      <c r="O617" s="8" t="inlineStr">
        <is>
          <t>a.toktosunova</t>
        </is>
      </c>
      <c r="P617" s="12" t="inlineStr">
        <is>
          <t>Реестр (19,649.60) совпадает с 1С (19,649.60), а в ETM 17,684.64: бот перенёс неверную сумму</t>
        </is>
      </c>
      <c r="Q617" s="8" t="inlineStr">
        <is>
          <t>57253258</t>
        </is>
      </c>
    </row>
    <row r="618">
      <c r="A618" s="8" t="inlineStr">
        <is>
          <t>G06031</t>
        </is>
      </c>
      <c r="B618" s="8" t="inlineStr">
        <is>
          <t>Байтур Трип</t>
        </is>
      </c>
      <c r="C618" s="8" t="inlineStr">
        <is>
          <t>2459527127</t>
        </is>
      </c>
      <c r="D618" s="8" t="inlineStr">
        <is>
          <t>Сумма не сходится</t>
        </is>
      </c>
      <c r="E618" s="8" t="inlineStr">
        <is>
          <t>Бот ETM</t>
        </is>
      </c>
      <c r="F618" s="8" t="inlineStr">
        <is>
          <t>A</t>
        </is>
      </c>
      <c r="G618" s="14" t="n">
        <v>19619</v>
      </c>
      <c r="H618" s="14" t="n">
        <v>-21580.9</v>
      </c>
      <c r="I618" s="14" t="n">
        <v>19619</v>
      </c>
      <c r="J618" s="14" t="n">
        <v>-1961.900000000001</v>
      </c>
      <c r="K618" s="21" t="n">
        <v>46197.61458333334</v>
      </c>
      <c r="L618" s="21" t="n">
        <v>46197</v>
      </c>
      <c r="M618" s="8" t="inlineStr"/>
      <c r="N618" s="8" t="inlineStr">
        <is>
          <t>Разработчик/поддержка бота ETM</t>
        </is>
      </c>
      <c r="O618" s="8" t="inlineStr">
        <is>
          <t>r.sydykov</t>
        </is>
      </c>
      <c r="P618" s="12" t="inlineStr">
        <is>
          <t>Реестр (19,619.00) совпадает с 1С (19,619.00), а в ETM 21,580.90: бот перенёс неверную сумму</t>
        </is>
      </c>
      <c r="Q618" s="8" t="inlineStr">
        <is>
          <t>57395095</t>
        </is>
      </c>
    </row>
    <row r="619">
      <c r="A619" s="8" t="inlineStr">
        <is>
          <t>G05064</t>
        </is>
      </c>
      <c r="B619" s="8" t="inlineStr">
        <is>
          <t>Ак-Куу Авиа</t>
        </is>
      </c>
      <c r="C619" s="8" t="inlineStr">
        <is>
          <t>2460736694</t>
        </is>
      </c>
      <c r="D619" s="8" t="inlineStr">
        <is>
          <t>Сумма не сходится</t>
        </is>
      </c>
      <c r="E619" s="8" t="inlineStr">
        <is>
          <t>1С</t>
        </is>
      </c>
      <c r="F619" s="8" t="inlineStr">
        <is>
          <t>A</t>
        </is>
      </c>
      <c r="G619" s="14" t="n">
        <v>19329</v>
      </c>
      <c r="H619" s="14" t="n">
        <v>-21261.9</v>
      </c>
      <c r="I619" s="14" t="n">
        <v>21261.9</v>
      </c>
      <c r="J619" s="14" t="n">
        <v>-1932.900000000001</v>
      </c>
      <c r="K619" s="21" t="n">
        <v>46077.79858796296</v>
      </c>
      <c r="L619" s="21" t="n">
        <v>46077</v>
      </c>
      <c r="M619" s="8" t="inlineStr"/>
      <c r="N619" s="8" t="inlineStr">
        <is>
          <t>Бухгалтер 1С</t>
        </is>
      </c>
      <c r="O619" s="8" t="inlineStr">
        <is>
          <t>d.mambetova</t>
        </is>
      </c>
      <c r="P619" s="12" t="inlineStr">
        <is>
          <t>Реестр (21,261.90) совпадает с ETM (21,261.90), а в 1С 19,329.00: неверная сумма в 1С</t>
        </is>
      </c>
      <c r="Q619" s="8" t="inlineStr">
        <is>
          <t>57106974</t>
        </is>
      </c>
    </row>
    <row r="620">
      <c r="A620" s="8" t="inlineStr">
        <is>
          <t>G03785</t>
        </is>
      </c>
      <c r="B620" s="8" t="inlineStr">
        <is>
          <t>SkyWay Travel</t>
        </is>
      </c>
      <c r="C620" s="8" t="inlineStr">
        <is>
          <t>2559103833</t>
        </is>
      </c>
      <c r="D620" s="8" t="inlineStr">
        <is>
          <t>Сумма не сходится</t>
        </is>
      </c>
      <c r="E620" s="8" t="inlineStr">
        <is>
          <t>Бот ETM</t>
        </is>
      </c>
      <c r="F620" s="8" t="inlineStr">
        <is>
          <t>A</t>
        </is>
      </c>
      <c r="G620" s="14" t="n">
        <v>0</v>
      </c>
      <c r="H620" s="14" t="n">
        <v>-1929</v>
      </c>
      <c r="I620" s="14" t="n">
        <v>0</v>
      </c>
      <c r="J620" s="14" t="n">
        <v>-1929</v>
      </c>
      <c r="K620" s="21" t="n">
        <v>46072.57439814815</v>
      </c>
      <c r="L620" s="21" t="n">
        <v>46072</v>
      </c>
      <c r="M620" s="8" t="inlineStr"/>
      <c r="N620" s="8" t="inlineStr">
        <is>
          <t>Разработчик/поддержка бота ETM</t>
        </is>
      </c>
      <c r="O620" s="8" t="inlineStr">
        <is>
          <t>n.abdyldaeva|r.sydykov</t>
        </is>
      </c>
      <c r="P620" s="12" t="inlineStr">
        <is>
          <t>Реестр (0.00) совпадает с 1С (0.00), а в ETM 1,929.00: бот перенёс неверную сумму</t>
        </is>
      </c>
      <c r="Q620" s="8" t="inlineStr">
        <is>
          <t>57099093,57163512</t>
        </is>
      </c>
    </row>
    <row r="621">
      <c r="A621" s="8" t="inlineStr">
        <is>
          <t>G00252</t>
        </is>
      </c>
      <c r="B621" s="8" t="inlineStr">
        <is>
          <t>Aylana Tour</t>
        </is>
      </c>
      <c r="C621" s="8" t="inlineStr">
        <is>
          <t>2559099354</t>
        </is>
      </c>
      <c r="D621" s="8" t="inlineStr">
        <is>
          <t>Сумма не сходится</t>
        </is>
      </c>
      <c r="E621" s="8" t="inlineStr">
        <is>
          <t>Бот ETM</t>
        </is>
      </c>
      <c r="F621" s="8" t="inlineStr">
        <is>
          <t>A</t>
        </is>
      </c>
      <c r="G621" s="14" t="n">
        <v>38076.86</v>
      </c>
      <c r="H621" s="14" t="n">
        <v>-39980.7</v>
      </c>
      <c r="I621" s="14" t="n">
        <v>38076.865</v>
      </c>
      <c r="J621" s="14" t="n">
        <v>-1903.839999999997</v>
      </c>
      <c r="K621" s="21" t="n">
        <v>46224.82733796296</v>
      </c>
      <c r="L621" s="21" t="n">
        <v>46224</v>
      </c>
      <c r="M621" s="8" t="inlineStr"/>
      <c r="N621" s="8" t="inlineStr">
        <is>
          <t>Разработчик/поддержка бота ETM</t>
        </is>
      </c>
      <c r="O621" s="8" t="inlineStr">
        <is>
          <t>a.toktosunova</t>
        </is>
      </c>
      <c r="P621" s="12" t="inlineStr">
        <is>
          <t>Реестр (38,076.86) совпадает с 1С (38,076.86), а в ETM 39,980.70: бот перенёс неверную сумму</t>
        </is>
      </c>
      <c r="Q621" s="8" t="inlineStr">
        <is>
          <t>57475939</t>
        </is>
      </c>
    </row>
    <row r="622">
      <c r="A622" s="8" t="inlineStr">
        <is>
          <t>G10435</t>
        </is>
      </c>
      <c r="B622" s="8" t="inlineStr">
        <is>
          <t>Манас Тревел</t>
        </is>
      </c>
      <c r="C622" s="8" t="inlineStr">
        <is>
          <t>2552670910</t>
        </is>
      </c>
      <c r="D622" s="8" t="inlineStr">
        <is>
          <t>Сумма не сходится</t>
        </is>
      </c>
      <c r="E622" s="8" t="inlineStr">
        <is>
          <t>1С</t>
        </is>
      </c>
      <c r="F622" s="8" t="inlineStr">
        <is>
          <t>A</t>
        </is>
      </c>
      <c r="G622" s="14" t="n">
        <v>36924.97</v>
      </c>
      <c r="H622" s="14" t="n">
        <v>-35078.72</v>
      </c>
      <c r="I622" s="14" t="n">
        <v>35078.7215</v>
      </c>
      <c r="J622" s="14" t="n">
        <v>1846.25</v>
      </c>
      <c r="K622" s="21" t="n">
        <v>46165.55542824074</v>
      </c>
      <c r="L622" s="21" t="n">
        <v>46165</v>
      </c>
      <c r="M622" s="8" t="inlineStr"/>
      <c r="N622" s="8" t="inlineStr">
        <is>
          <t>Бухгалтер 1С</t>
        </is>
      </c>
      <c r="O622" s="8" t="inlineStr">
        <is>
          <t>g.omurbekova</t>
        </is>
      </c>
      <c r="P622" s="12" t="inlineStr">
        <is>
          <t>Реестр (35,078.72) совпадает с ETM (35,078.72), а в 1С 36,924.97: неверная сумма в 1С</t>
        </is>
      </c>
      <c r="Q622" s="8" t="inlineStr">
        <is>
          <t>57310858</t>
        </is>
      </c>
    </row>
    <row r="623">
      <c r="A623" s="8" t="inlineStr">
        <is>
          <t>G09624</t>
        </is>
      </c>
      <c r="B623" s="8" t="inlineStr">
        <is>
          <t>Кадырова Айнура Жумабекевна</t>
        </is>
      </c>
      <c r="C623" s="8" t="inlineStr">
        <is>
          <t>2420848807</t>
        </is>
      </c>
      <c r="D623" s="8" t="inlineStr">
        <is>
          <t>Сумма не сходится</t>
        </is>
      </c>
      <c r="E623" s="8" t="inlineStr">
        <is>
          <t>1С</t>
        </is>
      </c>
      <c r="F623" s="8" t="inlineStr">
        <is>
          <t>A</t>
        </is>
      </c>
      <c r="G623" s="14" t="n">
        <v>9085.130000000001</v>
      </c>
      <c r="H623" s="14" t="n">
        <v>-7268.1</v>
      </c>
      <c r="I623" s="14" t="n">
        <v>7268.100282000001</v>
      </c>
      <c r="J623" s="14" t="n">
        <v>1817.030000000001</v>
      </c>
      <c r="K623" s="21" t="n">
        <v>46157.74547453703</v>
      </c>
      <c r="L623" s="21" t="n">
        <v>46157</v>
      </c>
      <c r="M623" s="8" t="inlineStr"/>
      <c r="N623" s="8" t="inlineStr">
        <is>
          <t>Бухгалтер 1С</t>
        </is>
      </c>
      <c r="O623" s="8" t="inlineStr">
        <is>
          <t>k.dzhumaev</t>
        </is>
      </c>
      <c r="P623" s="12" t="inlineStr">
        <is>
          <t>Реестр (7,268.10) совпадает с ETM (7,268.10), а в 1С 9,085.13: неверная сумма в 1С</t>
        </is>
      </c>
      <c r="Q623" s="8" t="inlineStr">
        <is>
          <t>57288189,57360582</t>
        </is>
      </c>
    </row>
    <row r="624">
      <c r="A624" s="8" t="inlineStr">
        <is>
          <t>G06759</t>
        </is>
      </c>
      <c r="B624" s="8" t="inlineStr">
        <is>
          <t>Джолдошова Салтанат Сатаревна</t>
        </is>
      </c>
      <c r="C624" s="8" t="inlineStr">
        <is>
          <t>2476320184</t>
        </is>
      </c>
      <c r="D624" s="8" t="inlineStr">
        <is>
          <t>Сумма не сходится</t>
        </is>
      </c>
      <c r="E624" s="8" t="inlineStr">
        <is>
          <t>1С</t>
        </is>
      </c>
      <c r="F624" s="8" t="inlineStr">
        <is>
          <t>A</t>
        </is>
      </c>
      <c r="G624" s="14" t="n">
        <v>18162.83</v>
      </c>
      <c r="H624" s="14" t="n">
        <v>-16346.55</v>
      </c>
      <c r="I624" s="14" t="n">
        <v>16346.547</v>
      </c>
      <c r="J624" s="14" t="n">
        <v>1816.280000000002</v>
      </c>
      <c r="K624" s="21" t="n">
        <v>46225.53458333333</v>
      </c>
      <c r="L624" s="21" t="n">
        <v>46225</v>
      </c>
      <c r="M624" s="8" t="inlineStr"/>
      <c r="N624" s="8" t="inlineStr">
        <is>
          <t>Бухгалтер 1С</t>
        </is>
      </c>
      <c r="O624" s="8" t="inlineStr">
        <is>
          <t>d.mambetova</t>
        </is>
      </c>
      <c r="P624" s="12" t="inlineStr">
        <is>
          <t>Реестр (16,346.55) совпадает с ETM (16,346.55), а в 1С 18,162.83: неверная сумма в 1С</t>
        </is>
      </c>
      <c r="Q624" s="8" t="inlineStr">
        <is>
          <t>57480307</t>
        </is>
      </c>
    </row>
    <row r="625">
      <c r="A625" s="8" t="inlineStr">
        <is>
          <t>G01214</t>
        </is>
      </c>
      <c r="B625" s="8" t="inlineStr">
        <is>
          <t>Karakol Express</t>
        </is>
      </c>
      <c r="C625" s="8" t="inlineStr">
        <is>
          <t>2420845952</t>
        </is>
      </c>
      <c r="D625" s="8" t="inlineStr">
        <is>
          <t>Сумма не сходится</t>
        </is>
      </c>
      <c r="E625" s="8" t="inlineStr">
        <is>
          <t>1С</t>
        </is>
      </c>
      <c r="F625" s="8" t="inlineStr">
        <is>
          <t>A</t>
        </is>
      </c>
      <c r="G625" s="14" t="n">
        <v>24633.14</v>
      </c>
      <c r="H625" s="14" t="n">
        <v>-26433.14</v>
      </c>
      <c r="I625" s="14" t="n">
        <v>26433.140318</v>
      </c>
      <c r="J625" s="14" t="n">
        <v>-1800</v>
      </c>
      <c r="K625" s="21" t="n">
        <v>46082.35385416666</v>
      </c>
      <c r="L625" s="21" t="n">
        <v>46082</v>
      </c>
      <c r="M625" s="8" t="inlineStr">
        <is>
          <t>TRANSPOSITION</t>
        </is>
      </c>
      <c r="N625" s="8" t="inlineStr">
        <is>
          <t>Бухгалтер 1С</t>
        </is>
      </c>
      <c r="O625" s="8" t="inlineStr">
        <is>
          <t>a.toktosunova</t>
        </is>
      </c>
      <c r="P625" s="12" t="inlineStr">
        <is>
          <t>Реестр (26,433.14) совпадает с ETM (26,433.14), а в 1С 24,633.14: неверная сумма в 1С</t>
        </is>
      </c>
      <c r="Q625" s="8" t="inlineStr">
        <is>
          <t>57116506</t>
        </is>
      </c>
    </row>
    <row r="626">
      <c r="A626" s="8" t="inlineStr">
        <is>
          <t>G01498</t>
        </is>
      </c>
      <c r="B626" s="8" t="inlineStr">
        <is>
          <t>Karakol Express</t>
        </is>
      </c>
      <c r="C626" s="8" t="inlineStr">
        <is>
          <t>2460737464</t>
        </is>
      </c>
      <c r="D626" s="8" t="inlineStr">
        <is>
          <t>Сумма не сходится</t>
        </is>
      </c>
      <c r="E626" s="8" t="inlineStr">
        <is>
          <t>Бот ETM</t>
        </is>
      </c>
      <c r="F626" s="8" t="inlineStr">
        <is>
          <t>A</t>
        </is>
      </c>
      <c r="G626" s="14" t="n">
        <v>13109</v>
      </c>
      <c r="H626" s="14" t="n">
        <v>-11309</v>
      </c>
      <c r="I626" s="14" t="n">
        <v>13109</v>
      </c>
      <c r="J626" s="14" t="n">
        <v>1800</v>
      </c>
      <c r="K626" s="21" t="n">
        <v>46102.55429398148</v>
      </c>
      <c r="L626" s="21" t="n">
        <v>46102</v>
      </c>
      <c r="M626" s="8" t="inlineStr">
        <is>
          <t>TRANSPOSITION</t>
        </is>
      </c>
      <c r="N626" s="8" t="inlineStr">
        <is>
          <t>Разработчик/поддержка бота ETM</t>
        </is>
      </c>
      <c r="O626" s="8" t="inlineStr">
        <is>
          <t>g.omurbekova</t>
        </is>
      </c>
      <c r="P626" s="12" t="inlineStr">
        <is>
          <t>Реестр (13,109.00) совпадает с 1С (13,109.00), а в ETM 11,309.00: бот перенёс неверную сумму</t>
        </is>
      </c>
      <c r="Q626" s="8" t="inlineStr">
        <is>
          <t>57162791</t>
        </is>
      </c>
    </row>
    <row r="627">
      <c r="A627" s="8" t="inlineStr">
        <is>
          <t>G03994</t>
        </is>
      </c>
      <c r="B627" s="8" t="inlineStr">
        <is>
          <t>Sunrise Tours</t>
        </is>
      </c>
      <c r="C627" s="8" t="inlineStr">
        <is>
          <t>2559102080|2559102083</t>
        </is>
      </c>
      <c r="D627" s="8" t="inlineStr">
        <is>
          <t>Сумма не сходится</t>
        </is>
      </c>
      <c r="E627" s="8" t="inlineStr">
        <is>
          <t>Бот ETM</t>
        </is>
      </c>
      <c r="F627" s="8" t="inlineStr">
        <is>
          <t>A</t>
        </is>
      </c>
      <c r="G627" s="14" t="n">
        <v>46875.3</v>
      </c>
      <c r="H627" s="14" t="n">
        <v>-48675.3</v>
      </c>
      <c r="I627" s="14" t="n">
        <v>46875.31</v>
      </c>
      <c r="J627" s="14" t="n">
        <v>-1800</v>
      </c>
      <c r="K627" s="21" t="n">
        <v>46067.45292824074</v>
      </c>
      <c r="L627" s="21" t="n">
        <v>46067</v>
      </c>
      <c r="M627" s="8" t="inlineStr">
        <is>
          <t>TRANSPOSITION</t>
        </is>
      </c>
      <c r="N627" s="8" t="inlineStr">
        <is>
          <t>Разработчик/поддержка бота ETM</t>
        </is>
      </c>
      <c r="O627" s="8" t="inlineStr">
        <is>
          <t>b.isakov</t>
        </is>
      </c>
      <c r="P627" s="12" t="inlineStr">
        <is>
          <t>Реестр (46,875.31) совпадает с 1С (46,875.30), а в ETM 48,675.30: бот перенёс неверную сумму</t>
        </is>
      </c>
      <c r="Q627" s="8" t="inlineStr">
        <is>
          <t>57090732,57090704</t>
        </is>
      </c>
    </row>
    <row r="628">
      <c r="A628" s="8" t="inlineStr">
        <is>
          <t>G04191</t>
        </is>
      </c>
      <c r="B628" s="8" t="inlineStr">
        <is>
          <t>Абдылда уулу Б.</t>
        </is>
      </c>
      <c r="C628" s="8" t="inlineStr">
        <is>
          <t>2420845271|2420845273</t>
        </is>
      </c>
      <c r="D628" s="8" t="inlineStr">
        <is>
          <t>Сумма не сходится</t>
        </is>
      </c>
      <c r="E628" s="8" t="inlineStr">
        <is>
          <t>Бот ETM</t>
        </is>
      </c>
      <c r="F628" s="8" t="inlineStr">
        <is>
          <t>A</t>
        </is>
      </c>
      <c r="G628" s="14" t="n">
        <v>56864.38</v>
      </c>
      <c r="H628" s="14" t="n">
        <v>-58664.38</v>
      </c>
      <c r="I628" s="14" t="n">
        <v>56864.3886</v>
      </c>
      <c r="J628" s="14" t="n">
        <v>-1800</v>
      </c>
      <c r="K628" s="21" t="n">
        <v>46138.56083333334</v>
      </c>
      <c r="L628" s="21" t="n">
        <v>46138</v>
      </c>
      <c r="M628" s="8" t="inlineStr">
        <is>
          <t>TRANSPOSITION</t>
        </is>
      </c>
      <c r="N628" s="8" t="inlineStr">
        <is>
          <t>Разработчик/поддержка бота ETM</t>
        </is>
      </c>
      <c r="O628" s="8" t="inlineStr">
        <is>
          <t>k.dzhumaev</t>
        </is>
      </c>
      <c r="P628" s="12" t="inlineStr">
        <is>
          <t>Реестр (56,864.39) совпадает с 1С (56,864.38), а в ETM 58,664.38: бот перенёс неверную сумму</t>
        </is>
      </c>
      <c r="Q628" s="8" t="inlineStr">
        <is>
          <t>57230441,57230432</t>
        </is>
      </c>
    </row>
    <row r="629">
      <c r="A629" s="8" t="inlineStr">
        <is>
          <t>G04718</t>
        </is>
      </c>
      <c r="B629" s="8" t="inlineStr">
        <is>
          <t>Абдыраманова Д. А.</t>
        </is>
      </c>
      <c r="C629" s="8" t="inlineStr">
        <is>
          <t>2559099562</t>
        </is>
      </c>
      <c r="D629" s="8" t="inlineStr">
        <is>
          <t>Сумма не сходится</t>
        </is>
      </c>
      <c r="E629" s="8" t="inlineStr">
        <is>
          <t>1С</t>
        </is>
      </c>
      <c r="F629" s="8" t="inlineStr">
        <is>
          <t>A</t>
        </is>
      </c>
      <c r="G629" s="14" t="n">
        <v>28628.64</v>
      </c>
      <c r="H629" s="14" t="n">
        <v>-26828.64</v>
      </c>
      <c r="I629" s="14" t="n">
        <v>26828.7468</v>
      </c>
      <c r="J629" s="14" t="n">
        <v>1800</v>
      </c>
      <c r="K629" s="21" t="n">
        <v>46033.71822916667</v>
      </c>
      <c r="L629" s="21" t="n">
        <v>46033</v>
      </c>
      <c r="M629" s="8" t="inlineStr">
        <is>
          <t>TRANSPOSITION</t>
        </is>
      </c>
      <c r="N629" s="8" t="inlineStr">
        <is>
          <t>Бухгалтер 1С</t>
        </is>
      </c>
      <c r="O629" s="8" t="inlineStr">
        <is>
          <t>k.dzhumaev</t>
        </is>
      </c>
      <c r="P629" s="12" t="inlineStr">
        <is>
          <t>Реестр (26,828.75) совпадает с ETM (26,828.64), а в 1С 28,628.64: неверная сумма в 1С</t>
        </is>
      </c>
      <c r="Q629" s="8" t="inlineStr">
        <is>
          <t>57019726</t>
        </is>
      </c>
    </row>
    <row r="630">
      <c r="A630" s="8" t="inlineStr">
        <is>
          <t>G07083</t>
        </is>
      </c>
      <c r="B630" s="8" t="inlineStr">
        <is>
          <t>Жибек Вояж</t>
        </is>
      </c>
      <c r="C630" s="8" t="inlineStr">
        <is>
          <t>2459529856</t>
        </is>
      </c>
      <c r="D630" s="8" t="inlineStr">
        <is>
          <t>Сумма не сходится</t>
        </is>
      </c>
      <c r="E630" s="8" t="inlineStr">
        <is>
          <t>1С</t>
        </is>
      </c>
      <c r="F630" s="8" t="inlineStr">
        <is>
          <t>A</t>
        </is>
      </c>
      <c r="G630" s="14" t="n">
        <v>32414</v>
      </c>
      <c r="H630" s="14" t="n">
        <v>-34214</v>
      </c>
      <c r="I630" s="14" t="n">
        <v>34214</v>
      </c>
      <c r="J630" s="14" t="n">
        <v>-1800</v>
      </c>
      <c r="K630" s="21" t="n">
        <v>46232.59918981481</v>
      </c>
      <c r="L630" s="21" t="n">
        <v>46232</v>
      </c>
      <c r="M630" s="8" t="inlineStr">
        <is>
          <t>TRANSPOSITION</t>
        </is>
      </c>
      <c r="N630" s="8" t="inlineStr">
        <is>
          <t>Бухгалтер 1С</t>
        </is>
      </c>
      <c r="O630" s="8" t="inlineStr">
        <is>
          <t>e.satarov</t>
        </is>
      </c>
      <c r="P630" s="12" t="inlineStr">
        <is>
          <t>Реестр (34,214.00) совпадает с ETM (34,214.00), а в 1С 32,414.00: неверная сумма в 1С</t>
        </is>
      </c>
      <c r="Q630" s="8" t="inlineStr">
        <is>
          <t>57497570</t>
        </is>
      </c>
    </row>
    <row r="631">
      <c r="A631" s="8" t="inlineStr">
        <is>
          <t>G07265</t>
        </is>
      </c>
      <c r="B631" s="8" t="inlineStr">
        <is>
          <t>Жибек Эйр</t>
        </is>
      </c>
      <c r="C631" s="8" t="inlineStr">
        <is>
          <t>2460735800</t>
        </is>
      </c>
      <c r="D631" s="8" t="inlineStr">
        <is>
          <t>Сумма не сходится</t>
        </is>
      </c>
      <c r="E631" s="8" t="inlineStr">
        <is>
          <t>Бот ETM</t>
        </is>
      </c>
      <c r="F631" s="8" t="inlineStr">
        <is>
          <t>A</t>
        </is>
      </c>
      <c r="G631" s="14" t="n">
        <v>24648</v>
      </c>
      <c r="H631" s="14" t="n">
        <v>-26448</v>
      </c>
      <c r="I631" s="14" t="n">
        <v>24648</v>
      </c>
      <c r="J631" s="14" t="n">
        <v>-1800</v>
      </c>
      <c r="K631" s="21" t="n">
        <v>46182.54148148148</v>
      </c>
      <c r="L631" s="21" t="n">
        <v>46182</v>
      </c>
      <c r="M631" s="8" t="inlineStr">
        <is>
          <t>TRANSPOSITION</t>
        </is>
      </c>
      <c r="N631" s="8" t="inlineStr">
        <is>
          <t>Разработчик/поддержка бота ETM</t>
        </is>
      </c>
      <c r="O631" s="8" t="inlineStr">
        <is>
          <t>g.omurbekova</t>
        </is>
      </c>
      <c r="P631" s="12" t="inlineStr">
        <is>
          <t>Реестр (24,648.00) совпадает с 1С (24,648.00), а в ETM 26,448.00: бот перенёс неверную сумму</t>
        </is>
      </c>
      <c r="Q631" s="8" t="inlineStr">
        <is>
          <t>57354563</t>
        </is>
      </c>
    </row>
    <row r="632">
      <c r="A632" s="8" t="inlineStr">
        <is>
          <t>G07653</t>
        </is>
      </c>
      <c r="B632" s="8" t="inlineStr">
        <is>
          <t>Жумабек кызы Умут</t>
        </is>
      </c>
      <c r="C632" s="8" t="inlineStr">
        <is>
          <t>2476320230</t>
        </is>
      </c>
      <c r="D632" s="8" t="inlineStr">
        <is>
          <t>Сумма не сходится</t>
        </is>
      </c>
      <c r="E632" s="8" t="inlineStr">
        <is>
          <t>Бот ETM</t>
        </is>
      </c>
      <c r="F632" s="8" t="inlineStr">
        <is>
          <t>A</t>
        </is>
      </c>
      <c r="G632" s="14" t="n">
        <v>18633.83</v>
      </c>
      <c r="H632" s="14" t="n">
        <v>-16833.83</v>
      </c>
      <c r="I632" s="14" t="n">
        <v>18633.83</v>
      </c>
      <c r="J632" s="14" t="n">
        <v>1800</v>
      </c>
      <c r="K632" s="21" t="n">
        <v>46063.45255787037</v>
      </c>
      <c r="L632" s="21" t="n">
        <v>46063</v>
      </c>
      <c r="M632" s="8" t="inlineStr">
        <is>
          <t>TRANSPOSITION</t>
        </is>
      </c>
      <c r="N632" s="8" t="inlineStr">
        <is>
          <t>Разработчик/поддержка бота ETM</t>
        </is>
      </c>
      <c r="O632" s="8" t="inlineStr">
        <is>
          <t>d.mambetova</t>
        </is>
      </c>
      <c r="P632" s="12" t="inlineStr">
        <is>
          <t>Реестр (18,633.83) совпадает с 1С (18,633.83), а в ETM 16,833.83: бот перенёс неверную сумму</t>
        </is>
      </c>
      <c r="Q632" s="8" t="inlineStr">
        <is>
          <t>57084039</t>
        </is>
      </c>
    </row>
    <row r="633">
      <c r="A633" s="8" t="inlineStr">
        <is>
          <t>G12784</t>
        </is>
      </c>
      <c r="B633" s="8" t="inlineStr">
        <is>
          <t>Салам Экспресс</t>
        </is>
      </c>
      <c r="C633" s="8" t="inlineStr">
        <is>
          <t>2460738790</t>
        </is>
      </c>
      <c r="D633" s="8" t="inlineStr">
        <is>
          <t>Сумма не сходится</t>
        </is>
      </c>
      <c r="E633" s="8" t="inlineStr">
        <is>
          <t>Бот ETM</t>
        </is>
      </c>
      <c r="F633" s="8" t="inlineStr">
        <is>
          <t>A</t>
        </is>
      </c>
      <c r="G633" s="14" t="n">
        <v>13542</v>
      </c>
      <c r="H633" s="14" t="n">
        <v>-15342</v>
      </c>
      <c r="I633" s="14" t="n">
        <v>13542</v>
      </c>
      <c r="J633" s="14" t="n">
        <v>-1800</v>
      </c>
      <c r="K633" s="21" t="n">
        <v>46168.4102662037</v>
      </c>
      <c r="L633" s="21" t="n">
        <v>46168</v>
      </c>
      <c r="M633" s="8" t="inlineStr">
        <is>
          <t>TRANSPOSITION</t>
        </is>
      </c>
      <c r="N633" s="8" t="inlineStr">
        <is>
          <t>Разработчик/поддержка бота ETM</t>
        </is>
      </c>
      <c r="O633" s="8" t="inlineStr">
        <is>
          <t>k.dzhumaev</t>
        </is>
      </c>
      <c r="P633" s="12" t="inlineStr">
        <is>
          <t>Реестр (13,542.00) совпадает с 1С (13,542.00), а в ETM 15,342.00: бот перенёс неверную сумму</t>
        </is>
      </c>
      <c r="Q633" s="8" t="inlineStr">
        <is>
          <t>57319964</t>
        </is>
      </c>
    </row>
    <row r="634">
      <c r="A634" s="8" t="inlineStr">
        <is>
          <t>G13537</t>
        </is>
      </c>
      <c r="B634" s="8" t="inlineStr">
        <is>
          <t>Сыдыков С. У.</t>
        </is>
      </c>
      <c r="C634" s="8" t="inlineStr">
        <is>
          <t>2420847721</t>
        </is>
      </c>
      <c r="D634" s="8" t="inlineStr">
        <is>
          <t>Сумма не сходится</t>
        </is>
      </c>
      <c r="E634" s="8" t="inlineStr">
        <is>
          <t>1С</t>
        </is>
      </c>
      <c r="F634" s="8" t="inlineStr">
        <is>
          <t>A</t>
        </is>
      </c>
      <c r="G634" s="14" t="n">
        <v>25784.53</v>
      </c>
      <c r="H634" s="14" t="n">
        <v>-27584.53</v>
      </c>
      <c r="I634" s="14" t="n">
        <v>27584.529882</v>
      </c>
      <c r="J634" s="14" t="n">
        <v>-1800</v>
      </c>
      <c r="K634" s="21" t="n">
        <v>46230.40172453703</v>
      </c>
      <c r="L634" s="21" t="n">
        <v>46230</v>
      </c>
      <c r="M634" s="8" t="inlineStr">
        <is>
          <t>TRANSPOSITION</t>
        </is>
      </c>
      <c r="N634" s="8" t="inlineStr">
        <is>
          <t>Бухгалтер 1С</t>
        </is>
      </c>
      <c r="O634" s="8" t="inlineStr">
        <is>
          <t>n.abdyldaeva</t>
        </is>
      </c>
      <c r="P634" s="12" t="inlineStr">
        <is>
          <t>Реестр (27,584.53) совпадает с ETM (27,584.53), а в 1С 25,784.53: неверная сумма в 1С</t>
        </is>
      </c>
      <c r="Q634" s="8" t="inlineStr">
        <is>
          <t>57493017</t>
        </is>
      </c>
    </row>
    <row r="635">
      <c r="A635" s="8" t="inlineStr">
        <is>
          <t>G14761</t>
        </is>
      </c>
      <c r="B635" s="8" t="inlineStr">
        <is>
          <t>ЫЙЫК ЭКСПРЕСС</t>
        </is>
      </c>
      <c r="C635" s="8" t="inlineStr">
        <is>
          <t>2459531947|2459531949|2459531952|2459531955</t>
        </is>
      </c>
      <c r="D635" s="8" t="inlineStr">
        <is>
          <t>Сумма не сходится</t>
        </is>
      </c>
      <c r="E635" s="8" t="inlineStr">
        <is>
          <t>1С</t>
        </is>
      </c>
      <c r="F635" s="8" t="inlineStr">
        <is>
          <t>A</t>
        </is>
      </c>
      <c r="G635" s="14" t="n">
        <v>65332</v>
      </c>
      <c r="H635" s="14" t="n">
        <v>-63532</v>
      </c>
      <c r="I635" s="14" t="n">
        <v>63532</v>
      </c>
      <c r="J635" s="14" t="n">
        <v>1800</v>
      </c>
      <c r="K635" s="21" t="n">
        <v>46124.42491898148</v>
      </c>
      <c r="L635" s="21" t="n">
        <v>46124</v>
      </c>
      <c r="M635" s="8" t="inlineStr">
        <is>
          <t>TRANSPOSITION</t>
        </is>
      </c>
      <c r="N635" s="8" t="inlineStr">
        <is>
          <t>Бухгалтер 1С</t>
        </is>
      </c>
      <c r="O635" s="8" t="inlineStr">
        <is>
          <t>d.mambetova</t>
        </is>
      </c>
      <c r="P635" s="12" t="inlineStr">
        <is>
          <t>Реестр (63,532.00) совпадает с ETM (63,532.00), а в 1С 65,332.00: неверная сумма в 1С</t>
        </is>
      </c>
      <c r="Q635" s="8" t="inlineStr">
        <is>
          <t>57204115,57204103,57204072,57204119</t>
        </is>
      </c>
    </row>
    <row r="636">
      <c r="A636" s="8" t="inlineStr">
        <is>
          <t>G08227</t>
        </is>
      </c>
      <c r="B636" s="8" t="inlineStr">
        <is>
          <t>ИП Жумабекова Б. Н.</t>
        </is>
      </c>
      <c r="C636" s="8" t="inlineStr">
        <is>
          <t>2559100550</t>
        </is>
      </c>
      <c r="D636" s="8" t="inlineStr">
        <is>
          <t>Сумма не сходится</t>
        </is>
      </c>
      <c r="E636" s="8" t="inlineStr">
        <is>
          <t>1С</t>
        </is>
      </c>
      <c r="F636" s="8" t="inlineStr">
        <is>
          <t>A</t>
        </is>
      </c>
      <c r="G636" s="14" t="n">
        <v>35567.25</v>
      </c>
      <c r="H636" s="14" t="n">
        <v>-33788.89</v>
      </c>
      <c r="I636" s="14" t="n">
        <v>33789.285</v>
      </c>
      <c r="J636" s="14" t="n">
        <v>1778.360000000001</v>
      </c>
      <c r="K636" s="21" t="n">
        <v>46119.81505787037</v>
      </c>
      <c r="L636" s="21" t="n">
        <v>46119</v>
      </c>
      <c r="M636" s="8" t="inlineStr"/>
      <c r="N636" s="8" t="inlineStr">
        <is>
          <t>Бухгалтер 1С</t>
        </is>
      </c>
      <c r="O636" s="8" t="inlineStr">
        <is>
          <t>k.dzhumaev</t>
        </is>
      </c>
      <c r="P636" s="12" t="inlineStr">
        <is>
          <t>Реестр (33,789.29) совпадает с ETM (33,788.89), а в 1С 35,567.25: неверная сумма в 1С</t>
        </is>
      </c>
      <c r="Q636" s="8" t="inlineStr">
        <is>
          <t>57194511</t>
        </is>
      </c>
    </row>
    <row r="637">
      <c r="A637" s="8" t="inlineStr">
        <is>
          <t>G03664</t>
        </is>
      </c>
      <c r="B637" s="8" t="inlineStr">
        <is>
          <t>SkyWay Travel</t>
        </is>
      </c>
      <c r="C637" s="8" t="inlineStr">
        <is>
          <t>2559100526</t>
        </is>
      </c>
      <c r="D637" s="8" t="inlineStr">
        <is>
          <t>Сумма не сходится</t>
        </is>
      </c>
      <c r="E637" s="8" t="inlineStr">
        <is>
          <t>1С</t>
        </is>
      </c>
      <c r="F637" s="8" t="inlineStr">
        <is>
          <t>A</t>
        </is>
      </c>
      <c r="G637" s="14" t="n">
        <v>34760</v>
      </c>
      <c r="H637" s="14" t="n">
        <v>-36498</v>
      </c>
      <c r="I637" s="14" t="n">
        <v>36498</v>
      </c>
      <c r="J637" s="14" t="n">
        <v>-1738</v>
      </c>
      <c r="K637" s="21" t="n">
        <v>46165.52454861111</v>
      </c>
      <c r="L637" s="21" t="n">
        <v>46165</v>
      </c>
      <c r="M637" s="8" t="inlineStr"/>
      <c r="N637" s="8" t="inlineStr">
        <is>
          <t>Бухгалтер 1С</t>
        </is>
      </c>
      <c r="O637" s="8" t="inlineStr">
        <is>
          <t>d.mambetova</t>
        </is>
      </c>
      <c r="P637" s="12" t="inlineStr">
        <is>
          <t>Реестр (36,498.00) совпадает с ETM (36,498.00), а в 1С 34,760.00: неверная сумма в 1С</t>
        </is>
      </c>
      <c r="Q637" s="8" t="inlineStr">
        <is>
          <t>57310468</t>
        </is>
      </c>
    </row>
    <row r="638">
      <c r="A638" s="8" t="inlineStr">
        <is>
          <t>G10220</t>
        </is>
      </c>
      <c r="B638" s="8" t="inlineStr">
        <is>
          <t>Манас Тревел</t>
        </is>
      </c>
      <c r="C638" s="8" t="inlineStr">
        <is>
          <t>2420843998</t>
        </is>
      </c>
      <c r="D638" s="8" t="inlineStr">
        <is>
          <t>Сумма не сходится</t>
        </is>
      </c>
      <c r="E638" s="8" t="inlineStr">
        <is>
          <t>1С</t>
        </is>
      </c>
      <c r="F638" s="8" t="inlineStr">
        <is>
          <t>A</t>
        </is>
      </c>
      <c r="G638" s="14" t="n">
        <v>16930.86</v>
      </c>
      <c r="H638" s="14" t="n">
        <v>-18623.95</v>
      </c>
      <c r="I638" s="14" t="n">
        <v>18623.949135</v>
      </c>
      <c r="J638" s="14" t="n">
        <v>-1693.09</v>
      </c>
      <c r="K638" s="21" t="n">
        <v>46207.79546296296</v>
      </c>
      <c r="L638" s="21" t="n">
        <v>46207</v>
      </c>
      <c r="M638" s="8" t="inlineStr"/>
      <c r="N638" s="8" t="inlineStr">
        <is>
          <t>Бухгалтер 1С</t>
        </is>
      </c>
      <c r="O638" s="8" t="inlineStr">
        <is>
          <t>d.mambetova</t>
        </is>
      </c>
      <c r="P638" s="12" t="inlineStr">
        <is>
          <t>Реестр (18,623.95) совпадает с ETM (18,623.95), а в 1С 16,930.86: неверная сумма в 1С</t>
        </is>
      </c>
      <c r="Q638" s="8" t="inlineStr">
        <is>
          <t>57427534</t>
        </is>
      </c>
    </row>
    <row r="639">
      <c r="A639" s="8" t="inlineStr">
        <is>
          <t>G04351</t>
        </is>
      </c>
      <c r="B639" s="8" t="inlineStr">
        <is>
          <t>Абдылда уулу Б.</t>
        </is>
      </c>
      <c r="C639" s="8" t="inlineStr">
        <is>
          <t>2461882010</t>
        </is>
      </c>
      <c r="D639" s="8" t="inlineStr">
        <is>
          <t>Сумма не сходится</t>
        </is>
      </c>
      <c r="E639" s="8" t="inlineStr">
        <is>
          <t>Бот ETM</t>
        </is>
      </c>
      <c r="F639" s="8" t="inlineStr">
        <is>
          <t>A</t>
        </is>
      </c>
      <c r="G639" s="14" t="n">
        <v>16929</v>
      </c>
      <c r="H639" s="14" t="n">
        <v>-18621.9</v>
      </c>
      <c r="I639" s="14" t="n">
        <v>16929</v>
      </c>
      <c r="J639" s="14" t="n">
        <v>-1692.900000000001</v>
      </c>
      <c r="K639" s="21" t="n">
        <v>46082.43803240741</v>
      </c>
      <c r="L639" s="21" t="n">
        <v>46082</v>
      </c>
      <c r="M639" s="8" t="inlineStr"/>
      <c r="N639" s="8" t="inlineStr">
        <is>
          <t>Разработчик/поддержка бота ETM</t>
        </is>
      </c>
      <c r="O639" s="8" t="inlineStr">
        <is>
          <t>d.mambetova</t>
        </is>
      </c>
      <c r="P639" s="12" t="inlineStr">
        <is>
          <t>Реестр (16,929.00) совпадает с 1С (16,929.00), а в ETM 18,621.90: бот перенёс неверную сумму</t>
        </is>
      </c>
      <c r="Q639" s="8" t="inlineStr">
        <is>
          <t>57116144</t>
        </is>
      </c>
    </row>
    <row r="640">
      <c r="A640" s="8" t="inlineStr">
        <is>
          <t>G00938</t>
        </is>
      </c>
      <c r="B640" s="8" t="inlineStr">
        <is>
          <t>Issyk-Kul Air</t>
        </is>
      </c>
      <c r="C640" s="8" t="inlineStr">
        <is>
          <t>2476316704</t>
        </is>
      </c>
      <c r="D640" s="8" t="inlineStr">
        <is>
          <t>Сумма не сходится</t>
        </is>
      </c>
      <c r="E640" s="8" t="inlineStr">
        <is>
          <t>1С</t>
        </is>
      </c>
      <c r="F640" s="8" t="inlineStr">
        <is>
          <t>A</t>
        </is>
      </c>
      <c r="G640" s="14" t="n">
        <v>33627.34</v>
      </c>
      <c r="H640" s="14" t="n">
        <v>-31945.97</v>
      </c>
      <c r="I640" s="14" t="n">
        <v>31945.9736</v>
      </c>
      <c r="J640" s="14" t="n">
        <v>1681.369999999995</v>
      </c>
      <c r="K640" s="21" t="n">
        <v>46077.52668981482</v>
      </c>
      <c r="L640" s="21" t="n">
        <v>46077</v>
      </c>
      <c r="M640" s="8" t="inlineStr"/>
      <c r="N640" s="8" t="inlineStr">
        <is>
          <t>Бухгалтер 1С</t>
        </is>
      </c>
      <c r="O640" s="8" t="inlineStr">
        <is>
          <t>d.mambetova</t>
        </is>
      </c>
      <c r="P640" s="12" t="inlineStr">
        <is>
          <t>Реестр (31,945.97) совпадает с ETM (31,945.97), а в 1С 33,627.34: неверная сумма в 1С</t>
        </is>
      </c>
      <c r="Q640" s="8" t="inlineStr">
        <is>
          <t>57106678</t>
        </is>
      </c>
    </row>
    <row r="641">
      <c r="A641" s="8" t="inlineStr">
        <is>
          <t>G06253</t>
        </is>
      </c>
      <c r="B641" s="8" t="inlineStr">
        <is>
          <t>Бирлик Трип</t>
        </is>
      </c>
      <c r="C641" s="8" t="inlineStr">
        <is>
          <t>2459529877</t>
        </is>
      </c>
      <c r="D641" s="8" t="inlineStr">
        <is>
          <t>Сумма не сходится</t>
        </is>
      </c>
      <c r="E641" s="8" t="inlineStr">
        <is>
          <t>1С</t>
        </is>
      </c>
      <c r="F641" s="8" t="inlineStr">
        <is>
          <t>A</t>
        </is>
      </c>
      <c r="G641" s="14" t="n">
        <v>33162</v>
      </c>
      <c r="H641" s="14" t="n">
        <v>-34820.1</v>
      </c>
      <c r="I641" s="14" t="n">
        <v>34820.1</v>
      </c>
      <c r="J641" s="14" t="n">
        <v>-1658.099999999999</v>
      </c>
      <c r="K641" s="21" t="n">
        <v>46151.78997685185</v>
      </c>
      <c r="L641" s="21" t="n">
        <v>46151</v>
      </c>
      <c r="M641" s="8" t="inlineStr"/>
      <c r="N641" s="8" t="inlineStr">
        <is>
          <t>Бухгалтер 1С</t>
        </is>
      </c>
      <c r="O641" s="8" t="inlineStr">
        <is>
          <t>e.satarov</t>
        </is>
      </c>
      <c r="P641" s="12" t="inlineStr">
        <is>
          <t>Реестр (34,820.10) совпадает с ETM (34,820.10), а в 1С 33,162.00: неверная сумма в 1С</t>
        </is>
      </c>
      <c r="Q641" s="8" t="inlineStr">
        <is>
          <t>57268223</t>
        </is>
      </c>
    </row>
    <row r="642">
      <c r="A642" s="8" t="inlineStr">
        <is>
          <t>G03221</t>
        </is>
      </c>
      <c r="B642" s="8" t="inlineStr">
        <is>
          <t>SkyWay Travel</t>
        </is>
      </c>
      <c r="C642" s="8" t="inlineStr">
        <is>
          <t>2476315247</t>
        </is>
      </c>
      <c r="D642" s="8" t="inlineStr">
        <is>
          <t>Сумма не сходится</t>
        </is>
      </c>
      <c r="E642" s="8" t="inlineStr">
        <is>
          <t>Бот ETM</t>
        </is>
      </c>
      <c r="F642" s="8" t="inlineStr">
        <is>
          <t>A</t>
        </is>
      </c>
      <c r="G642" s="14" t="n">
        <v>3286.649999999998</v>
      </c>
      <c r="H642" s="14" t="n">
        <v>-1643.329999999998</v>
      </c>
      <c r="I642" s="14" t="n">
        <v>3286.649999999998</v>
      </c>
      <c r="J642" s="14" t="n">
        <v>1643.32</v>
      </c>
      <c r="K642" s="21" t="n">
        <v>46046.56177083333</v>
      </c>
      <c r="L642" s="21" t="n">
        <v>46046</v>
      </c>
      <c r="M642" s="8" t="inlineStr"/>
      <c r="N642" s="8" t="inlineStr">
        <is>
          <t>Разработчик/поддержка бота ETM</t>
        </is>
      </c>
      <c r="O642" s="8" t="inlineStr">
        <is>
          <t>e.satarov|n.abdyldaeva</t>
        </is>
      </c>
      <c r="P642" s="12" t="inlineStr">
        <is>
          <t>Реестр (3,286.65) совпадает с 1С (3,286.65), а в ETM 1,643.33: бот перенёс неверную сумму</t>
        </is>
      </c>
      <c r="Q642" s="8" t="inlineStr">
        <is>
          <t>57049402,57057496</t>
        </is>
      </c>
    </row>
    <row r="643">
      <c r="A643" s="8" t="inlineStr">
        <is>
          <t>G11210</t>
        </is>
      </c>
      <c r="B643" s="8" t="inlineStr">
        <is>
          <t>ОсОО Алтын Эйр</t>
        </is>
      </c>
      <c r="C643" s="8" t="inlineStr">
        <is>
          <t>2459531979</t>
        </is>
      </c>
      <c r="D643" s="8" t="inlineStr">
        <is>
          <t>Сумма не сходится</t>
        </is>
      </c>
      <c r="E643" s="8" t="inlineStr">
        <is>
          <t>1С</t>
        </is>
      </c>
      <c r="F643" s="8" t="inlineStr">
        <is>
          <t>A</t>
        </is>
      </c>
      <c r="G643" s="14" t="n">
        <v>32632</v>
      </c>
      <c r="H643" s="14" t="n">
        <v>-31000.4</v>
      </c>
      <c r="I643" s="14" t="n">
        <v>31000.4</v>
      </c>
      <c r="J643" s="14" t="n">
        <v>1631.599999999999</v>
      </c>
      <c r="K643" s="21" t="n">
        <v>46038.48869212963</v>
      </c>
      <c r="L643" s="21" t="n">
        <v>46038</v>
      </c>
      <c r="M643" s="8" t="inlineStr"/>
      <c r="N643" s="8" t="inlineStr">
        <is>
          <t>Бухгалтер 1С</t>
        </is>
      </c>
      <c r="O643" s="8" t="inlineStr">
        <is>
          <t>d.mambetova</t>
        </is>
      </c>
      <c r="P643" s="12" t="inlineStr">
        <is>
          <t>Реестр (31,000.40) совпадает с ETM (31,000.40), а в 1С 32,632.00: неверная сумма в 1С</t>
        </is>
      </c>
      <c r="Q643" s="8" t="inlineStr">
        <is>
          <t>57033196</t>
        </is>
      </c>
    </row>
    <row r="644">
      <c r="A644" s="8" t="inlineStr">
        <is>
          <t>G05535</t>
        </is>
      </c>
      <c r="B644" s="8" t="inlineStr">
        <is>
          <t>Ак-Куу Тур</t>
        </is>
      </c>
      <c r="C644" s="8" t="inlineStr">
        <is>
          <t>2459531974</t>
        </is>
      </c>
      <c r="D644" s="8" t="inlineStr">
        <is>
          <t>Сумма не сходится</t>
        </is>
      </c>
      <c r="E644" s="8" t="inlineStr">
        <is>
          <t>1С</t>
        </is>
      </c>
      <c r="F644" s="8" t="inlineStr">
        <is>
          <t>A</t>
        </is>
      </c>
      <c r="G644" s="14" t="n">
        <v>16261</v>
      </c>
      <c r="H644" s="14" t="n">
        <v>-14634.9</v>
      </c>
      <c r="I644" s="14" t="n">
        <v>14634.9</v>
      </c>
      <c r="J644" s="14" t="n">
        <v>1626.1</v>
      </c>
      <c r="K644" s="21" t="n">
        <v>46105.7450462963</v>
      </c>
      <c r="L644" s="21" t="n">
        <v>46105</v>
      </c>
      <c r="M644" s="8" t="inlineStr"/>
      <c r="N644" s="8" t="inlineStr">
        <is>
          <t>Бухгалтер 1С</t>
        </is>
      </c>
      <c r="O644" s="8" t="inlineStr">
        <is>
          <t>a.toktosunova</t>
        </is>
      </c>
      <c r="P644" s="12" t="inlineStr">
        <is>
          <t>Реестр (14,634.90) совпадает с ETM (14,634.90), а в 1С 16,261.00: неверная сумма в 1С</t>
        </is>
      </c>
      <c r="Q644" s="8" t="inlineStr">
        <is>
          <t>57169584</t>
        </is>
      </c>
    </row>
    <row r="645">
      <c r="A645" s="8" t="inlineStr">
        <is>
          <t>G03182</t>
        </is>
      </c>
      <c r="B645" s="8" t="inlineStr">
        <is>
          <t>SkyWay Travel</t>
        </is>
      </c>
      <c r="C645" s="8" t="inlineStr">
        <is>
          <t>2461886731|2461886734</t>
        </is>
      </c>
      <c r="D645" s="8" t="inlineStr">
        <is>
          <t>Сумма не сходится</t>
        </is>
      </c>
      <c r="E645" s="8" t="inlineStr">
        <is>
          <t>Бот ETM</t>
        </is>
      </c>
      <c r="F645" s="8" t="inlineStr">
        <is>
          <t>A</t>
        </is>
      </c>
      <c r="G645" s="14" t="n">
        <v>31960</v>
      </c>
      <c r="H645" s="14" t="n">
        <v>-33558</v>
      </c>
      <c r="I645" s="14" t="n">
        <v>31960</v>
      </c>
      <c r="J645" s="14" t="n">
        <v>-1598</v>
      </c>
      <c r="K645" s="21" t="n">
        <v>46182.39246527778</v>
      </c>
      <c r="L645" s="21" t="n">
        <v>46182</v>
      </c>
      <c r="M645" s="8" t="inlineStr"/>
      <c r="N645" s="8" t="inlineStr">
        <is>
          <t>Разработчик/поддержка бота ETM</t>
        </is>
      </c>
      <c r="O645" s="8" t="inlineStr">
        <is>
          <t>b.isakov</t>
        </is>
      </c>
      <c r="P645" s="12" t="inlineStr">
        <is>
          <t>Реестр (31,960.00) совпадает с 1С (31,960.00), а в ETM 33,558.00: бот перенёс неверную сумму</t>
        </is>
      </c>
      <c r="Q645" s="8" t="inlineStr">
        <is>
          <t>57355436,57355454</t>
        </is>
      </c>
    </row>
    <row r="646">
      <c r="A646" s="8" t="inlineStr">
        <is>
          <t>G04342</t>
        </is>
      </c>
      <c r="B646" s="8" t="inlineStr">
        <is>
          <t>Абдылда уулу Б.</t>
        </is>
      </c>
      <c r="C646" s="8" t="inlineStr">
        <is>
          <t>2461881479</t>
        </is>
      </c>
      <c r="D646" s="8" t="inlineStr">
        <is>
          <t>Сумма не сходится</t>
        </is>
      </c>
      <c r="E646" s="8" t="inlineStr">
        <is>
          <t>Бот ETM</t>
        </is>
      </c>
      <c r="F646" s="8" t="inlineStr">
        <is>
          <t>A</t>
        </is>
      </c>
      <c r="G646" s="14" t="n">
        <v>15931</v>
      </c>
      <c r="H646" s="14" t="n">
        <v>-14337.9</v>
      </c>
      <c r="I646" s="14" t="n">
        <v>15931</v>
      </c>
      <c r="J646" s="14" t="n">
        <v>1593.1</v>
      </c>
      <c r="K646" s="21" t="n">
        <v>46183.37318287037</v>
      </c>
      <c r="L646" s="21" t="n">
        <v>46183</v>
      </c>
      <c r="M646" s="8" t="inlineStr"/>
      <c r="N646" s="8" t="inlineStr">
        <is>
          <t>Разработчик/поддержка бота ETM</t>
        </is>
      </c>
      <c r="O646" s="8" t="inlineStr">
        <is>
          <t>d.mambetova</t>
        </is>
      </c>
      <c r="P646" s="12" t="inlineStr">
        <is>
          <t>Реестр (15,931.00) совпадает с 1С (15,931.00), а в ETM 14,337.90: бот перенёс неверную сумму</t>
        </is>
      </c>
      <c r="Q646" s="8" t="inlineStr">
        <is>
          <t>57355993</t>
        </is>
      </c>
    </row>
    <row r="647">
      <c r="A647" s="8" t="inlineStr">
        <is>
          <t>G10800</t>
        </is>
      </c>
      <c r="B647" s="8" t="inlineStr">
        <is>
          <t>Ниязбеков Кубат Таалайевич</t>
        </is>
      </c>
      <c r="C647" s="8" t="inlineStr">
        <is>
          <t>2459528158</t>
        </is>
      </c>
      <c r="D647" s="8" t="inlineStr">
        <is>
          <t>Сумма не сходится</t>
        </is>
      </c>
      <c r="E647" s="8" t="inlineStr">
        <is>
          <t>1С</t>
        </is>
      </c>
      <c r="F647" s="8" t="inlineStr">
        <is>
          <t>A</t>
        </is>
      </c>
      <c r="G647" s="14" t="n">
        <v>15910</v>
      </c>
      <c r="H647" s="14" t="n">
        <v>-14319</v>
      </c>
      <c r="I647" s="14" t="n">
        <v>14319</v>
      </c>
      <c r="J647" s="14" t="n">
        <v>1591</v>
      </c>
      <c r="K647" s="21" t="n">
        <v>46105.40107638889</v>
      </c>
      <c r="L647" s="21" t="n">
        <v>46105</v>
      </c>
      <c r="M647" s="8" t="inlineStr"/>
      <c r="N647" s="8" t="inlineStr">
        <is>
          <t>Бухгалтер 1С</t>
        </is>
      </c>
      <c r="O647" s="8" t="inlineStr">
        <is>
          <t>k.dzhumaev</t>
        </is>
      </c>
      <c r="P647" s="12" t="inlineStr">
        <is>
          <t>Реестр (14,319.00) совпадает с ETM (14,319.00), а в 1С 15,910.00: неверная сумма в 1С</t>
        </is>
      </c>
      <c r="Q647" s="8" t="inlineStr">
        <is>
          <t>57168419</t>
        </is>
      </c>
    </row>
    <row r="648">
      <c r="A648" s="8" t="inlineStr">
        <is>
          <t>G04465</t>
        </is>
      </c>
      <c r="B648" s="8" t="inlineStr">
        <is>
          <t>Абдылда уулу Б.</t>
        </is>
      </c>
      <c r="C648" s="8" t="inlineStr">
        <is>
          <t>2552670432|2552670433|2552670434|2552670437</t>
        </is>
      </c>
      <c r="D648" s="8" t="inlineStr">
        <is>
          <t>Сумма не сходится</t>
        </is>
      </c>
      <c r="E648" s="8" t="inlineStr">
        <is>
          <t>Бот ETM</t>
        </is>
      </c>
      <c r="F648" s="8" t="inlineStr">
        <is>
          <t>A</t>
        </is>
      </c>
      <c r="G648" s="14" t="n">
        <v>222568.88</v>
      </c>
      <c r="H648" s="14" t="n">
        <v>-220987.48</v>
      </c>
      <c r="I648" s="14" t="n">
        <v>222568.9</v>
      </c>
      <c r="J648" s="14" t="n">
        <v>1581.399999999994</v>
      </c>
      <c r="K648" s="21" t="n">
        <v>46086.45274305555</v>
      </c>
      <c r="L648" s="21" t="n">
        <v>46085</v>
      </c>
      <c r="M648" s="8" t="inlineStr"/>
      <c r="N648" s="8" t="inlineStr">
        <is>
          <t>Разработчик/поддержка бота ETM</t>
        </is>
      </c>
      <c r="O648" s="8" t="inlineStr">
        <is>
          <t>r.sydykov</t>
        </is>
      </c>
      <c r="P648" s="12" t="inlineStr">
        <is>
          <t>Реестр (222,568.90) совпадает с 1С (222,568.88), а в ETM 220,987.48: бот перенёс неверную сумму</t>
        </is>
      </c>
      <c r="Q648" s="8" t="inlineStr">
        <is>
          <t>57122966,57123004,57123039,57122928</t>
        </is>
      </c>
    </row>
    <row r="649">
      <c r="A649" s="8" t="inlineStr">
        <is>
          <t>G06636</t>
        </is>
      </c>
      <c r="B649" s="8" t="inlineStr">
        <is>
          <t>Джолдошова Салтанат Сатаревна</t>
        </is>
      </c>
      <c r="C649" s="8" t="inlineStr">
        <is>
          <t>2460733292</t>
        </is>
      </c>
      <c r="D649" s="8" t="inlineStr">
        <is>
          <t>Сумма не сходится</t>
        </is>
      </c>
      <c r="E649" s="8" t="inlineStr">
        <is>
          <t>1С</t>
        </is>
      </c>
      <c r="F649" s="8" t="inlineStr">
        <is>
          <t>A</t>
        </is>
      </c>
      <c r="G649" s="14" t="n">
        <v>15764</v>
      </c>
      <c r="H649" s="14" t="n">
        <v>-17340.4</v>
      </c>
      <c r="I649" s="14" t="n">
        <v>17340.4</v>
      </c>
      <c r="J649" s="14" t="n">
        <v>-1576.400000000001</v>
      </c>
      <c r="K649" s="21" t="n">
        <v>46174.68641203704</v>
      </c>
      <c r="L649" s="21" t="n">
        <v>46174</v>
      </c>
      <c r="M649" s="8" t="inlineStr"/>
      <c r="N649" s="8" t="inlineStr">
        <is>
          <t>Бухгалтер 1С</t>
        </is>
      </c>
      <c r="O649" s="8" t="inlineStr">
        <is>
          <t>b.isakov</t>
        </is>
      </c>
      <c r="P649" s="12" t="inlineStr">
        <is>
          <t>Реестр (17,340.40) совпадает с ETM (17,340.40), а в 1С 15,764.00: неверная сумма в 1С</t>
        </is>
      </c>
      <c r="Q649" s="8" t="inlineStr">
        <is>
          <t>57332936</t>
        </is>
      </c>
    </row>
    <row r="650">
      <c r="A650" s="8" t="inlineStr">
        <is>
          <t>G14812</t>
        </is>
      </c>
      <c r="B650" s="8" t="inlineStr">
        <is>
          <t>ЫЙЫК ЭКСПРЕСС</t>
        </is>
      </c>
      <c r="C650" s="8" t="inlineStr">
        <is>
          <t>2552667434</t>
        </is>
      </c>
      <c r="D650" s="8" t="inlineStr">
        <is>
          <t>Сумма не сходится</t>
        </is>
      </c>
      <c r="E650" s="8" t="inlineStr">
        <is>
          <t>Бот ETM</t>
        </is>
      </c>
      <c r="F650" s="8" t="inlineStr">
        <is>
          <t>A</t>
        </is>
      </c>
      <c r="G650" s="14" t="n">
        <v>31525.6</v>
      </c>
      <c r="H650" s="14" t="n">
        <v>-33101.88</v>
      </c>
      <c r="I650" s="14" t="n">
        <v>31525.6</v>
      </c>
      <c r="J650" s="14" t="n">
        <v>-1576.279999999999</v>
      </c>
      <c r="K650" s="21" t="n">
        <v>46198.34400462963</v>
      </c>
      <c r="L650" s="21" t="n">
        <v>46198</v>
      </c>
      <c r="M650" s="8" t="inlineStr"/>
      <c r="N650" s="8" t="inlineStr">
        <is>
          <t>Разработчик/поддержка бота ETM</t>
        </is>
      </c>
      <c r="O650" s="8" t="inlineStr">
        <is>
          <t>a.toktosunova</t>
        </is>
      </c>
      <c r="P650" s="12" t="inlineStr">
        <is>
          <t>Реестр (31,525.60) совпадает с 1С (31,525.60), а в ETM 33,101.88: бот перенёс неверную сумму</t>
        </is>
      </c>
      <c r="Q650" s="8" t="inlineStr">
        <is>
          <t>57398090</t>
        </is>
      </c>
    </row>
    <row r="651">
      <c r="A651" s="8" t="inlineStr">
        <is>
          <t>G10904</t>
        </is>
      </c>
      <c r="B651" s="8" t="inlineStr">
        <is>
          <t>Ниязбекова Асель Сатаровна</t>
        </is>
      </c>
      <c r="C651" s="8" t="inlineStr">
        <is>
          <t>2559101158</t>
        </is>
      </c>
      <c r="D651" s="8" t="inlineStr">
        <is>
          <t>Сумма не сходится</t>
        </is>
      </c>
      <c r="E651" s="8" t="inlineStr">
        <is>
          <t>1С</t>
        </is>
      </c>
      <c r="F651" s="8" t="inlineStr">
        <is>
          <t>A</t>
        </is>
      </c>
      <c r="G651" s="14" t="n">
        <v>30478.76</v>
      </c>
      <c r="H651" s="14" t="n">
        <v>-32002.7</v>
      </c>
      <c r="I651" s="14" t="n">
        <v>32002.6168</v>
      </c>
      <c r="J651" s="14" t="n">
        <v>-1523.940000000002</v>
      </c>
      <c r="K651" s="21" t="n">
        <v>46088.39547453704</v>
      </c>
      <c r="L651" s="21" t="n">
        <v>46088</v>
      </c>
      <c r="M651" s="8" t="inlineStr"/>
      <c r="N651" s="8" t="inlineStr">
        <is>
          <t>Бухгалтер 1С</t>
        </is>
      </c>
      <c r="O651" s="8" t="inlineStr">
        <is>
          <t>e.satarov</t>
        </is>
      </c>
      <c r="P651" s="12" t="inlineStr">
        <is>
          <t>Реестр (32,002.62) совпадает с ETM (32,002.70), а в 1С 30,478.76: неверная сумма в 1С</t>
        </is>
      </c>
      <c r="Q651" s="8" t="inlineStr">
        <is>
          <t>57130057</t>
        </is>
      </c>
    </row>
    <row r="652">
      <c r="A652" s="8" t="inlineStr">
        <is>
          <t>G08310</t>
        </is>
      </c>
      <c r="B652" s="8" t="inlineStr">
        <is>
          <t>ИП Мамбетова Ч. Э.</t>
        </is>
      </c>
      <c r="C652" s="8" t="inlineStr">
        <is>
          <t>2559099822</t>
        </is>
      </c>
      <c r="D652" s="8" t="inlineStr">
        <is>
          <t>Сумма не сходится</t>
        </is>
      </c>
      <c r="E652" s="8" t="inlineStr">
        <is>
          <t>Бот ETM</t>
        </is>
      </c>
      <c r="F652" s="8" t="inlineStr">
        <is>
          <t>A</t>
        </is>
      </c>
      <c r="G652" s="14" t="n">
        <v>7403.060000000001</v>
      </c>
      <c r="H652" s="14" t="n">
        <v>-8883.670000000002</v>
      </c>
      <c r="I652" s="14" t="n">
        <v>7403.059999999998</v>
      </c>
      <c r="J652" s="14" t="n">
        <v>-1480.610000000001</v>
      </c>
      <c r="K652" s="21" t="n">
        <v>46174.71732638889</v>
      </c>
      <c r="L652" s="21" t="n">
        <v>46174</v>
      </c>
      <c r="M652" s="8" t="inlineStr"/>
      <c r="N652" s="8" t="inlineStr">
        <is>
          <t>Разработчик/поддержка бота ETM</t>
        </is>
      </c>
      <c r="O652" s="8" t="inlineStr">
        <is>
          <t>b.isakov|n.abdyldaeva</t>
        </is>
      </c>
      <c r="P652" s="12" t="inlineStr">
        <is>
          <t>Реестр (7,403.06) совпадает с 1С (7,403.06), а в ETM 8,883.67: бот перенёс неверную сумму</t>
        </is>
      </c>
      <c r="Q652" s="8" t="inlineStr">
        <is>
          <t>57333158,57470127</t>
        </is>
      </c>
    </row>
    <row r="653">
      <c r="A653" s="8" t="inlineStr">
        <is>
          <t>G03427</t>
        </is>
      </c>
      <c r="B653" s="8" t="inlineStr">
        <is>
          <t>SkyWay Travel</t>
        </is>
      </c>
      <c r="C653" s="8" t="inlineStr">
        <is>
          <t>2552669139</t>
        </is>
      </c>
      <c r="D653" s="8" t="inlineStr">
        <is>
          <t>Сумма не сходится</t>
        </is>
      </c>
      <c r="E653" s="8" t="inlineStr">
        <is>
          <t>Бот ETM</t>
        </is>
      </c>
      <c r="F653" s="8" t="inlineStr">
        <is>
          <t>A</t>
        </is>
      </c>
      <c r="G653" s="14" t="n">
        <v>29108.85</v>
      </c>
      <c r="H653" s="14" t="n">
        <v>-30564.29</v>
      </c>
      <c r="I653" s="14" t="n">
        <v>29108.85</v>
      </c>
      <c r="J653" s="14" t="n">
        <v>-1455.440000000002</v>
      </c>
      <c r="K653" s="21" t="n">
        <v>46222.77613425926</v>
      </c>
      <c r="L653" s="21" t="n">
        <v>46222</v>
      </c>
      <c r="M653" s="8" t="inlineStr"/>
      <c r="N653" s="8" t="inlineStr">
        <is>
          <t>Разработчик/поддержка бота ETM</t>
        </is>
      </c>
      <c r="O653" s="8" t="inlineStr">
        <is>
          <t>k.dzhumaev</t>
        </is>
      </c>
      <c r="P653" s="12" t="inlineStr">
        <is>
          <t>Реестр (29,108.85) совпадает с 1С (29,108.85), а в ETM 30,564.29: бот перенёс неверную сумму</t>
        </is>
      </c>
      <c r="Q653" s="8" t="inlineStr">
        <is>
          <t>57470942</t>
        </is>
      </c>
    </row>
    <row r="654">
      <c r="A654" s="8" t="inlineStr">
        <is>
          <t>G13695</t>
        </is>
      </c>
      <c r="B654" s="8" t="inlineStr">
        <is>
          <t>ТАЛАС ЛАЙН</t>
        </is>
      </c>
      <c r="C654" s="8" t="inlineStr">
        <is>
          <t>2459528529</t>
        </is>
      </c>
      <c r="D654" s="8" t="inlineStr">
        <is>
          <t>Сумма не сходится</t>
        </is>
      </c>
      <c r="E654" s="8" t="inlineStr">
        <is>
          <t>1С</t>
        </is>
      </c>
      <c r="F654" s="8" t="inlineStr">
        <is>
          <t>A</t>
        </is>
      </c>
      <c r="G654" s="14" t="n">
        <v>14037</v>
      </c>
      <c r="H654" s="14" t="n">
        <v>-12633.3</v>
      </c>
      <c r="I654" s="14" t="n">
        <v>12633.3</v>
      </c>
      <c r="J654" s="14" t="n">
        <v>1403.700000000001</v>
      </c>
      <c r="K654" s="21" t="n">
        <v>46213.60837962963</v>
      </c>
      <c r="L654" s="21" t="n">
        <v>46213</v>
      </c>
      <c r="M654" s="8" t="inlineStr"/>
      <c r="N654" s="8" t="inlineStr">
        <is>
          <t>Бухгалтер 1С</t>
        </is>
      </c>
      <c r="O654" s="8" t="inlineStr">
        <is>
          <t>d.mambetova</t>
        </is>
      </c>
      <c r="P654" s="12" t="inlineStr">
        <is>
          <t>Реестр (12,633.30) совпадает с ETM (12,633.30), а в 1С 14,037.00: неверная сумма в 1С</t>
        </is>
      </c>
      <c r="Q654" s="8" t="inlineStr">
        <is>
          <t>57447735</t>
        </is>
      </c>
    </row>
    <row r="655">
      <c r="A655" s="8" t="inlineStr">
        <is>
          <t>G07860</t>
        </is>
      </c>
      <c r="B655" s="8" t="inlineStr">
        <is>
          <t>ИП Асанов К. Б.</t>
        </is>
      </c>
      <c r="C655" s="8" t="inlineStr">
        <is>
          <t>2476316958</t>
        </is>
      </c>
      <c r="D655" s="8" t="inlineStr">
        <is>
          <t>Сумма не сходится</t>
        </is>
      </c>
      <c r="E655" s="8" t="inlineStr">
        <is>
          <t>Бот ETM</t>
        </is>
      </c>
      <c r="F655" s="8" t="inlineStr">
        <is>
          <t>A</t>
        </is>
      </c>
      <c r="G655" s="14" t="n">
        <v>27362.95</v>
      </c>
      <c r="H655" s="14" t="n">
        <v>-28731.1</v>
      </c>
      <c r="I655" s="14" t="n">
        <v>27362.95</v>
      </c>
      <c r="J655" s="14" t="n">
        <v>-1368.149999999998</v>
      </c>
      <c r="K655" s="21" t="n">
        <v>46211.67881944445</v>
      </c>
      <c r="L655" s="21" t="n">
        <v>46211</v>
      </c>
      <c r="M655" s="8" t="inlineStr"/>
      <c r="N655" s="8" t="inlineStr">
        <is>
          <t>Разработчик/поддержка бота ETM</t>
        </is>
      </c>
      <c r="O655" s="8" t="inlineStr">
        <is>
          <t>e.satarov</t>
        </is>
      </c>
      <c r="P655" s="12" t="inlineStr">
        <is>
          <t>Реестр (27,362.95) совпадает с 1С (27,362.95), а в ETM 28,731.10: бот перенёс неверную сумму</t>
        </is>
      </c>
      <c r="Q655" s="8" t="inlineStr">
        <is>
          <t>57440380</t>
        </is>
      </c>
    </row>
    <row r="656">
      <c r="A656" s="8" t="inlineStr">
        <is>
          <t>G02186</t>
        </is>
      </c>
      <c r="B656" s="8" t="inlineStr">
        <is>
          <t>Silk Route Air</t>
        </is>
      </c>
      <c r="C656" s="8" t="inlineStr">
        <is>
          <t>2476316546</t>
        </is>
      </c>
      <c r="D656" s="8" t="inlineStr">
        <is>
          <t>Сумма не сходится</t>
        </is>
      </c>
      <c r="E656" s="8" t="inlineStr">
        <is>
          <t>1С</t>
        </is>
      </c>
      <c r="F656" s="8" t="inlineStr">
        <is>
          <t>A</t>
        </is>
      </c>
      <c r="G656" s="14" t="n">
        <v>26911.09</v>
      </c>
      <c r="H656" s="14" t="n">
        <v>-25565.54</v>
      </c>
      <c r="I656" s="14" t="n">
        <v>25565.5402</v>
      </c>
      <c r="J656" s="14" t="n">
        <v>1345.549999999999</v>
      </c>
      <c r="K656" s="21" t="n">
        <v>46081.49090277778</v>
      </c>
      <c r="L656" s="21" t="n">
        <v>46081</v>
      </c>
      <c r="M656" s="8" t="inlineStr"/>
      <c r="N656" s="8" t="inlineStr">
        <is>
          <t>Бухгалтер 1С</t>
        </is>
      </c>
      <c r="O656" s="8" t="inlineStr">
        <is>
          <t>d.mambetova</t>
        </is>
      </c>
      <c r="P656" s="12" t="inlineStr">
        <is>
          <t>Реестр (25,565.54) совпадает с ETM (25,565.54), а в 1С 26,911.09: неверная сумма в 1С</t>
        </is>
      </c>
      <c r="Q656" s="8" t="inlineStr">
        <is>
          <t>57114678</t>
        </is>
      </c>
    </row>
    <row r="657">
      <c r="A657" s="8" t="inlineStr">
        <is>
          <t>G09957</t>
        </is>
      </c>
      <c r="B657" s="8" t="inlineStr">
        <is>
          <t>МУРАС ТРИП</t>
        </is>
      </c>
      <c r="C657" s="8" t="inlineStr">
        <is>
          <t>2460738221</t>
        </is>
      </c>
      <c r="D657" s="8" t="inlineStr">
        <is>
          <t>Сумма не сходится</t>
        </is>
      </c>
      <c r="E657" s="8" t="inlineStr">
        <is>
          <t>1С</t>
        </is>
      </c>
      <c r="F657" s="8" t="inlineStr">
        <is>
          <t>A</t>
        </is>
      </c>
      <c r="G657" s="14" t="n">
        <v>13209</v>
      </c>
      <c r="H657" s="14" t="n">
        <v>-14529.9</v>
      </c>
      <c r="I657" s="14" t="n">
        <v>14529.9</v>
      </c>
      <c r="J657" s="14" t="n">
        <v>-1320.9</v>
      </c>
      <c r="K657" s="21" t="n">
        <v>46121.47380787037</v>
      </c>
      <c r="L657" s="21" t="n">
        <v>46121</v>
      </c>
      <c r="M657" s="8" t="inlineStr"/>
      <c r="N657" s="8" t="inlineStr">
        <is>
          <t>Бухгалтер 1С</t>
        </is>
      </c>
      <c r="O657" s="8" t="inlineStr">
        <is>
          <t>k.dzhumaev</t>
        </is>
      </c>
      <c r="P657" s="12" t="inlineStr">
        <is>
          <t>Реестр (14,529.90) совпадает с ETM (14,529.90), а в 1С 13,209.00: неверная сумма в 1С</t>
        </is>
      </c>
      <c r="Q657" s="8" t="inlineStr">
        <is>
          <t>57199398</t>
        </is>
      </c>
    </row>
    <row r="658">
      <c r="A658" s="8" t="inlineStr">
        <is>
          <t>G12755</t>
        </is>
      </c>
      <c r="B658" s="8" t="inlineStr">
        <is>
          <t>Салам Экспресс</t>
        </is>
      </c>
      <c r="C658" s="8" t="inlineStr">
        <is>
          <t>2459527185</t>
        </is>
      </c>
      <c r="D658" s="8" t="inlineStr">
        <is>
          <t>Сумма не сходится</t>
        </is>
      </c>
      <c r="E658" s="8" t="inlineStr">
        <is>
          <t>Бот ETM</t>
        </is>
      </c>
      <c r="F658" s="8" t="inlineStr">
        <is>
          <t>A</t>
        </is>
      </c>
      <c r="G658" s="14" t="n">
        <v>25946</v>
      </c>
      <c r="H658" s="14" t="n">
        <v>-24648.7</v>
      </c>
      <c r="I658" s="14" t="n">
        <v>25946</v>
      </c>
      <c r="J658" s="14" t="n">
        <v>1297.299999999999</v>
      </c>
      <c r="K658" s="21" t="n">
        <v>46163.48008101852</v>
      </c>
      <c r="L658" s="21" t="n">
        <v>46163</v>
      </c>
      <c r="M658" s="8" t="inlineStr"/>
      <c r="N658" s="8" t="inlineStr">
        <is>
          <t>Разработчик/поддержка бота ETM</t>
        </is>
      </c>
      <c r="O658" s="8" t="inlineStr">
        <is>
          <t>k.dzhumaev</t>
        </is>
      </c>
      <c r="P658" s="12" t="inlineStr">
        <is>
          <t>Реестр (25,946.00) совпадает с 1С (25,946.00), а в ETM 24,648.70: бот перенёс неверную сумму</t>
        </is>
      </c>
      <c r="Q658" s="8" t="inlineStr">
        <is>
          <t>57303921</t>
        </is>
      </c>
    </row>
    <row r="659">
      <c r="A659" s="8" t="inlineStr">
        <is>
          <t>G05014</t>
        </is>
      </c>
      <c r="B659" s="8" t="inlineStr">
        <is>
          <t>Ак-Куу Авиа</t>
        </is>
      </c>
      <c r="C659" s="8" t="inlineStr">
        <is>
          <t>2460733796</t>
        </is>
      </c>
      <c r="D659" s="8" t="inlineStr">
        <is>
          <t>Сумма не сходится</t>
        </is>
      </c>
      <c r="E659" s="8" t="inlineStr">
        <is>
          <t>Бот ETM</t>
        </is>
      </c>
      <c r="F659" s="8" t="inlineStr">
        <is>
          <t>A</t>
        </is>
      </c>
      <c r="G659" s="14" t="n">
        <v>25894</v>
      </c>
      <c r="H659" s="14" t="n">
        <v>-24599.3</v>
      </c>
      <c r="I659" s="14" t="n">
        <v>25894</v>
      </c>
      <c r="J659" s="14" t="n">
        <v>1294.700000000001</v>
      </c>
      <c r="K659" s="21" t="n">
        <v>46059.37097222222</v>
      </c>
      <c r="L659" s="21" t="n">
        <v>46059</v>
      </c>
      <c r="M659" s="8" t="inlineStr"/>
      <c r="N659" s="8" t="inlineStr">
        <is>
          <t>Разработчик/поддержка бота ETM</t>
        </is>
      </c>
      <c r="O659" s="8" t="inlineStr">
        <is>
          <t>b.isakov</t>
        </is>
      </c>
      <c r="P659" s="12" t="inlineStr">
        <is>
          <t>Реестр (25,894.00) совпадает с 1С (25,894.00), а в ETM 24,599.30: бот перенёс неверную сумму</t>
        </is>
      </c>
      <c r="Q659" s="8" t="inlineStr">
        <is>
          <t>57076219</t>
        </is>
      </c>
    </row>
    <row r="660">
      <c r="A660" s="8" t="inlineStr">
        <is>
          <t>G08972</t>
        </is>
      </c>
      <c r="B660" s="8" t="inlineStr">
        <is>
          <t>ИССЫК ТРИП</t>
        </is>
      </c>
      <c r="C660" s="8" t="inlineStr">
        <is>
          <t>2420847981</t>
        </is>
      </c>
      <c r="D660" s="8" t="inlineStr">
        <is>
          <t>Сумма не сходится</t>
        </is>
      </c>
      <c r="E660" s="8" t="inlineStr">
        <is>
          <t>Бот ETM</t>
        </is>
      </c>
      <c r="F660" s="8" t="inlineStr">
        <is>
          <t>A</t>
        </is>
      </c>
      <c r="G660" s="14" t="n">
        <v>25521.37</v>
      </c>
      <c r="H660" s="14" t="n">
        <v>-24245.3</v>
      </c>
      <c r="I660" s="14" t="n">
        <v>25521.3681</v>
      </c>
      <c r="J660" s="14" t="n">
        <v>1276.07</v>
      </c>
      <c r="K660" s="21" t="n">
        <v>46213.70046296297</v>
      </c>
      <c r="L660" s="21" t="n">
        <v>46213</v>
      </c>
      <c r="M660" s="8" t="inlineStr"/>
      <c r="N660" s="8" t="inlineStr">
        <is>
          <t>Разработчик/поддержка бота ETM</t>
        </is>
      </c>
      <c r="O660" s="8" t="inlineStr">
        <is>
          <t>e.satarov</t>
        </is>
      </c>
      <c r="P660" s="12" t="inlineStr">
        <is>
          <t>Реестр (25,521.37) совпадает с 1С (25,521.37), а в ETM 24,245.30: бот перенёс неверную сумму</t>
        </is>
      </c>
      <c r="Q660" s="8" t="inlineStr">
        <is>
          <t>57448970</t>
        </is>
      </c>
    </row>
    <row r="661">
      <c r="A661" s="8" t="inlineStr">
        <is>
          <t>G05071</t>
        </is>
      </c>
      <c r="B661" s="8" t="inlineStr">
        <is>
          <t>Ак-Куу Авиа</t>
        </is>
      </c>
      <c r="C661" s="8" t="inlineStr">
        <is>
          <t>2460737598</t>
        </is>
      </c>
      <c r="D661" s="8" t="inlineStr">
        <is>
          <t>Сумма не сходится</t>
        </is>
      </c>
      <c r="E661" s="8" t="inlineStr">
        <is>
          <t>Бот ETM</t>
        </is>
      </c>
      <c r="F661" s="8" t="inlineStr">
        <is>
          <t>A</t>
        </is>
      </c>
      <c r="G661" s="14" t="n">
        <v>25246</v>
      </c>
      <c r="H661" s="14" t="n">
        <v>-23983.7</v>
      </c>
      <c r="I661" s="14" t="n">
        <v>25246</v>
      </c>
      <c r="J661" s="14" t="n">
        <v>1262.299999999999</v>
      </c>
      <c r="K661" s="21" t="n">
        <v>46226.50146990741</v>
      </c>
      <c r="L661" s="21" t="n">
        <v>46226</v>
      </c>
      <c r="M661" s="8" t="inlineStr"/>
      <c r="N661" s="8" t="inlineStr">
        <is>
          <t>Разработчик/поддержка бота ETM</t>
        </is>
      </c>
      <c r="O661" s="8" t="inlineStr">
        <is>
          <t>a.toktosunova</t>
        </is>
      </c>
      <c r="P661" s="12" t="inlineStr">
        <is>
          <t>Реестр (25,246.00) совпадает с 1С (25,246.00), а в ETM 23,983.70: бот перенёс неверную сумму</t>
        </is>
      </c>
      <c r="Q661" s="8" t="inlineStr">
        <is>
          <t>57482499</t>
        </is>
      </c>
    </row>
    <row r="662">
      <c r="A662" s="8" t="inlineStr">
        <is>
          <t>G14180</t>
        </is>
      </c>
      <c r="B662" s="8" t="inlineStr">
        <is>
          <t>Урматова Айпери Нурбековна</t>
        </is>
      </c>
      <c r="C662" s="8" t="inlineStr">
        <is>
          <t>2460738752</t>
        </is>
      </c>
      <c r="D662" s="8" t="inlineStr">
        <is>
          <t>Сумма не сходится</t>
        </is>
      </c>
      <c r="E662" s="8" t="inlineStr">
        <is>
          <t>Бот ETM</t>
        </is>
      </c>
      <c r="F662" s="8" t="inlineStr">
        <is>
          <t>A</t>
        </is>
      </c>
      <c r="G662" s="14" t="n">
        <v>12616</v>
      </c>
      <c r="H662" s="14" t="n">
        <v>-11354.4</v>
      </c>
      <c r="I662" s="14" t="n">
        <v>12616</v>
      </c>
      <c r="J662" s="14" t="n">
        <v>1261.6</v>
      </c>
      <c r="K662" s="21" t="n">
        <v>46143.6203125</v>
      </c>
      <c r="L662" s="21" t="n">
        <v>46143</v>
      </c>
      <c r="M662" s="8" t="inlineStr"/>
      <c r="N662" s="8" t="inlineStr">
        <is>
          <t>Разработчик/поддержка бота ETM</t>
        </is>
      </c>
      <c r="O662" s="8" t="inlineStr">
        <is>
          <t>r.sydykov</t>
        </is>
      </c>
      <c r="P662" s="12" t="inlineStr">
        <is>
          <t>Реестр (12,616.00) совпадает с 1С (12,616.00), а в ETM 11,354.40: бот перенёс неверную сумму</t>
        </is>
      </c>
      <c r="Q662" s="8" t="inlineStr">
        <is>
          <t>57243916</t>
        </is>
      </c>
    </row>
    <row r="663">
      <c r="A663" s="8" t="inlineStr">
        <is>
          <t>G14402</t>
        </is>
      </c>
      <c r="B663" s="8" t="inlineStr">
        <is>
          <t>ЧОЛПОН ЭЙР</t>
        </is>
      </c>
      <c r="C663" s="8" t="inlineStr">
        <is>
          <t>2460737713</t>
        </is>
      </c>
      <c r="D663" s="8" t="inlineStr">
        <is>
          <t>Сумма не сходится</t>
        </is>
      </c>
      <c r="E663" s="8" t="inlineStr">
        <is>
          <t>1С</t>
        </is>
      </c>
      <c r="F663" s="8" t="inlineStr">
        <is>
          <t>A</t>
        </is>
      </c>
      <c r="G663" s="14" t="n">
        <v>25062</v>
      </c>
      <c r="H663" s="14" t="n">
        <v>-26315.1</v>
      </c>
      <c r="I663" s="14" t="n">
        <v>26315.1</v>
      </c>
      <c r="J663" s="14" t="n">
        <v>-1253.099999999999</v>
      </c>
      <c r="K663" s="21" t="n">
        <v>46204.33817129629</v>
      </c>
      <c r="L663" s="21" t="n">
        <v>46204</v>
      </c>
      <c r="M663" s="8" t="inlineStr"/>
      <c r="N663" s="8" t="inlineStr">
        <is>
          <t>Бухгалтер 1С</t>
        </is>
      </c>
      <c r="O663" s="8" t="inlineStr">
        <is>
          <t>g.omurbekova</t>
        </is>
      </c>
      <c r="P663" s="12" t="inlineStr">
        <is>
          <t>Реестр (26,315.10) совпадает с ETM (26,315.10), а в 1С 25,062.00: неверная сумма в 1С</t>
        </is>
      </c>
      <c r="Q663" s="8" t="inlineStr">
        <is>
          <t>57418846</t>
        </is>
      </c>
    </row>
    <row r="664">
      <c r="A664" s="8" t="inlineStr">
        <is>
          <t>G09383</t>
        </is>
      </c>
      <c r="B664" s="8" t="inlineStr">
        <is>
          <t>Иссык Вояж</t>
        </is>
      </c>
      <c r="C664" s="8" t="inlineStr">
        <is>
          <t>2416945431|2416945433|2416945436|2416945439</t>
        </is>
      </c>
      <c r="D664" s="8" t="inlineStr">
        <is>
          <t>Сумма не сходится</t>
        </is>
      </c>
      <c r="E664" s="8" t="inlineStr">
        <is>
          <t>Бот ETM</t>
        </is>
      </c>
      <c r="F664" s="8" t="inlineStr">
        <is>
          <t>A</t>
        </is>
      </c>
      <c r="G664" s="14" t="n">
        <v>174062</v>
      </c>
      <c r="H664" s="14" t="n">
        <v>-175313.36</v>
      </c>
      <c r="I664" s="14" t="n">
        <v>174062</v>
      </c>
      <c r="J664" s="14" t="n">
        <v>-1251.359999999986</v>
      </c>
      <c r="K664" s="21" t="n">
        <v>46215.66131944444</v>
      </c>
      <c r="L664" s="21" t="n">
        <v>46214</v>
      </c>
      <c r="M664" s="8" t="inlineStr"/>
      <c r="N664" s="8" t="inlineStr">
        <is>
          <t>Разработчик/поддержка бота ETM</t>
        </is>
      </c>
      <c r="O664" s="8" t="inlineStr">
        <is>
          <t>r.sydykov</t>
        </is>
      </c>
      <c r="P664" s="12" t="inlineStr">
        <is>
          <t>Реестр (174,062.00) совпадает с 1С (174,062.00), а в ETM 175,313.36: бот перенёс неверную сумму</t>
        </is>
      </c>
      <c r="Q664" s="8" t="inlineStr">
        <is>
          <t>57451236</t>
        </is>
      </c>
    </row>
    <row r="665">
      <c r="A665" s="8" t="inlineStr">
        <is>
          <t>G06955</t>
        </is>
      </c>
      <c r="B665" s="8" t="inlineStr">
        <is>
          <t>Жибек Авиакасса</t>
        </is>
      </c>
      <c r="C665" s="8" t="inlineStr">
        <is>
          <t>2460735151</t>
        </is>
      </c>
      <c r="D665" s="8" t="inlineStr">
        <is>
          <t>Сумма не сходится</t>
        </is>
      </c>
      <c r="E665" s="8" t="inlineStr">
        <is>
          <t>1С</t>
        </is>
      </c>
      <c r="F665" s="8" t="inlineStr">
        <is>
          <t>A</t>
        </is>
      </c>
      <c r="G665" s="14" t="n">
        <v>12461.5</v>
      </c>
      <c r="H665" s="14" t="n">
        <v>-11215.35</v>
      </c>
      <c r="I665" s="14" t="n">
        <v>11215.35</v>
      </c>
      <c r="J665" s="14" t="n">
        <v>1246.150000000001</v>
      </c>
      <c r="K665" s="21" t="n">
        <v>46097.47270833333</v>
      </c>
      <c r="L665" s="21" t="n">
        <v>46097</v>
      </c>
      <c r="M665" s="8" t="inlineStr"/>
      <c r="N665" s="8" t="inlineStr">
        <is>
          <t>Бухгалтер 1С</t>
        </is>
      </c>
      <c r="O665" s="8" t="inlineStr">
        <is>
          <t>e.satarov|k.dzhumaev</t>
        </is>
      </c>
      <c r="P665" s="12" t="inlineStr">
        <is>
          <t>Реестр (11,215.35) совпадает с ETM (11,215.35), а в 1С 12,461.50: неверная сумма в 1С</t>
        </is>
      </c>
      <c r="Q665" s="8" t="inlineStr">
        <is>
          <t>57151628,57225881</t>
        </is>
      </c>
    </row>
    <row r="666">
      <c r="A666" s="8" t="inlineStr">
        <is>
          <t>G11816</t>
        </is>
      </c>
      <c r="B666" s="8" t="inlineStr">
        <is>
          <t>ОсОО Кок-Жайык Лайн</t>
        </is>
      </c>
      <c r="C666" s="8" t="inlineStr">
        <is>
          <t>2461881044</t>
        </is>
      </c>
      <c r="D666" s="8" t="inlineStr">
        <is>
          <t>Сумма не сходится</t>
        </is>
      </c>
      <c r="E666" s="8" t="inlineStr">
        <is>
          <t>Бот ETM</t>
        </is>
      </c>
      <c r="F666" s="8" t="inlineStr">
        <is>
          <t>A</t>
        </is>
      </c>
      <c r="G666" s="14" t="n">
        <v>24344</v>
      </c>
      <c r="H666" s="14" t="n">
        <v>-25561.2</v>
      </c>
      <c r="I666" s="14" t="n">
        <v>24344</v>
      </c>
      <c r="J666" s="14" t="n">
        <v>-1217.200000000001</v>
      </c>
      <c r="K666" s="21" t="n">
        <v>46042.58510416667</v>
      </c>
      <c r="L666" s="21" t="n">
        <v>46042</v>
      </c>
      <c r="M666" s="8" t="inlineStr"/>
      <c r="N666" s="8" t="inlineStr">
        <is>
          <t>Разработчик/поддержка бота ETM</t>
        </is>
      </c>
      <c r="O666" s="8" t="inlineStr">
        <is>
          <t>r.sydykov</t>
        </is>
      </c>
      <c r="P666" s="12" t="inlineStr">
        <is>
          <t>Реестр (24,344.00) совпадает с 1С (24,344.00), а в ETM 25,561.20: бот перенёс неверную сумму</t>
        </is>
      </c>
      <c r="Q666" s="8" t="inlineStr">
        <is>
          <t>57040038</t>
        </is>
      </c>
    </row>
    <row r="667">
      <c r="A667" s="8" t="inlineStr">
        <is>
          <t>G12336</t>
        </is>
      </c>
      <c r="B667" s="8" t="inlineStr">
        <is>
          <t>САЛАМ ЭЙР</t>
        </is>
      </c>
      <c r="C667" s="8" t="inlineStr">
        <is>
          <t>2460732889</t>
        </is>
      </c>
      <c r="D667" s="8" t="inlineStr">
        <is>
          <t>Сумма не сходится</t>
        </is>
      </c>
      <c r="E667" s="8" t="inlineStr">
        <is>
          <t>Бот ETM</t>
        </is>
      </c>
      <c r="F667" s="8" t="inlineStr">
        <is>
          <t>A</t>
        </is>
      </c>
      <c r="G667" s="14" t="n">
        <v>11118</v>
      </c>
      <c r="H667" s="14" t="n">
        <v>-10006.2</v>
      </c>
      <c r="I667" s="14" t="n">
        <v>11118</v>
      </c>
      <c r="J667" s="14" t="n">
        <v>1111.799999999999</v>
      </c>
      <c r="K667" s="21" t="n">
        <v>46142.69774305556</v>
      </c>
      <c r="L667" s="21" t="n">
        <v>46142</v>
      </c>
      <c r="M667" s="8" t="inlineStr"/>
      <c r="N667" s="8" t="inlineStr">
        <is>
          <t>Разработчик/поддержка бота ETM</t>
        </is>
      </c>
      <c r="O667" s="8" t="inlineStr">
        <is>
          <t>g.omurbekova</t>
        </is>
      </c>
      <c r="P667" s="12" t="inlineStr">
        <is>
          <t>Реестр (11,118.00) совпадает с 1С (11,118.00), а в ETM 10,006.20: бот перенёс неверную сумму</t>
        </is>
      </c>
      <c r="Q667" s="8" t="inlineStr">
        <is>
          <t>57238861</t>
        </is>
      </c>
    </row>
    <row r="668">
      <c r="A668" s="8" t="inlineStr">
        <is>
          <t>G04110</t>
        </is>
      </c>
      <c r="B668" s="8" t="inlineStr">
        <is>
          <t>Абдылда уулу Б.</t>
        </is>
      </c>
      <c r="C668" s="8" t="inlineStr">
        <is>
          <t>2416940977|2416940979|2416940982</t>
        </is>
      </c>
      <c r="D668" s="8" t="inlineStr">
        <is>
          <t>Сумма не сходится</t>
        </is>
      </c>
      <c r="E668" s="8" t="inlineStr">
        <is>
          <t>Бот ETM</t>
        </is>
      </c>
      <c r="F668" s="8" t="inlineStr">
        <is>
          <t>A</t>
        </is>
      </c>
      <c r="G668" s="14" t="n">
        <v>95320.41</v>
      </c>
      <c r="H668" s="14" t="n">
        <v>-94215.95999999999</v>
      </c>
      <c r="I668" s="14" t="n">
        <v>95320.395</v>
      </c>
      <c r="J668" s="14" t="n">
        <v>1104.450000000012</v>
      </c>
      <c r="K668" s="21" t="n">
        <v>46066.48549768519</v>
      </c>
      <c r="L668" s="21" t="n">
        <v>46064</v>
      </c>
      <c r="M668" s="8" t="inlineStr"/>
      <c r="N668" s="8" t="inlineStr">
        <is>
          <t>Разработчик/поддержка бота ETM</t>
        </is>
      </c>
      <c r="O668" s="8" t="inlineStr">
        <is>
          <t>e.satarov</t>
        </is>
      </c>
      <c r="P668" s="12" t="inlineStr">
        <is>
          <t>Реестр (95,320.40) совпадает с 1С (95,320.41), а в ETM 94,215.96: бот перенёс неверную сумму</t>
        </is>
      </c>
      <c r="Q668" s="8" t="inlineStr">
        <is>
          <t>57084428,57084373,57084410</t>
        </is>
      </c>
    </row>
    <row r="669">
      <c r="A669" s="8" t="inlineStr">
        <is>
          <t>G06854</t>
        </is>
      </c>
      <c r="B669" s="8" t="inlineStr">
        <is>
          <t>Джолдошова Салтанат Сатаревна</t>
        </is>
      </c>
      <c r="C669" s="8" t="inlineStr">
        <is>
          <t>2559103773</t>
        </is>
      </c>
      <c r="D669" s="8" t="inlineStr">
        <is>
          <t>Сумма не сходится</t>
        </is>
      </c>
      <c r="E669" s="8" t="inlineStr">
        <is>
          <t>1С</t>
        </is>
      </c>
      <c r="F669" s="8" t="inlineStr">
        <is>
          <t>A</t>
        </is>
      </c>
      <c r="G669" s="14" t="n">
        <v>22037.66</v>
      </c>
      <c r="H669" s="14" t="n">
        <v>-20935.78</v>
      </c>
      <c r="I669" s="14" t="n">
        <v>20935.6604</v>
      </c>
      <c r="J669" s="14" t="n">
        <v>1101.880000000001</v>
      </c>
      <c r="K669" s="21" t="n">
        <v>46105.76829861111</v>
      </c>
      <c r="L669" s="21" t="n">
        <v>46105</v>
      </c>
      <c r="M669" s="8" t="inlineStr"/>
      <c r="N669" s="8" t="inlineStr">
        <is>
          <t>Бухгалтер 1С</t>
        </is>
      </c>
      <c r="O669" s="8" t="inlineStr">
        <is>
          <t>d.mambetova</t>
        </is>
      </c>
      <c r="P669" s="12" t="inlineStr">
        <is>
          <t>Реестр (20,935.66) совпадает с ETM (20,935.78), а в 1С 22,037.66: неверная сумма в 1С</t>
        </is>
      </c>
      <c r="Q669" s="8" t="inlineStr">
        <is>
          <t>57169517</t>
        </is>
      </c>
    </row>
    <row r="670">
      <c r="A670" s="8" t="inlineStr">
        <is>
          <t>G00292</t>
        </is>
      </c>
      <c r="B670" s="8" t="inlineStr">
        <is>
          <t>Bishkek Fly</t>
        </is>
      </c>
      <c r="C670" s="8" t="inlineStr">
        <is>
          <t>2460735695|2460735697</t>
        </is>
      </c>
      <c r="D670" s="8" t="inlineStr">
        <is>
          <t>Сумма не сходится</t>
        </is>
      </c>
      <c r="E670" s="8" t="inlineStr">
        <is>
          <t>Бот ETM</t>
        </is>
      </c>
      <c r="F670" s="8" t="inlineStr">
        <is>
          <t>A</t>
        </is>
      </c>
      <c r="G670" s="14" t="n">
        <v>21894</v>
      </c>
      <c r="H670" s="14" t="n">
        <v>-22988.7</v>
      </c>
      <c r="I670" s="14" t="n">
        <v>21894</v>
      </c>
      <c r="J670" s="14" t="n">
        <v>-1094.700000000001</v>
      </c>
      <c r="K670" s="21" t="n">
        <v>46163.7077199074</v>
      </c>
      <c r="L670" s="21" t="n">
        <v>46163</v>
      </c>
      <c r="M670" s="8" t="inlineStr"/>
      <c r="N670" s="8" t="inlineStr">
        <is>
          <t>Разработчик/поддержка бота ETM</t>
        </is>
      </c>
      <c r="O670" s="8" t="inlineStr">
        <is>
          <t>r.sydykov</t>
        </is>
      </c>
      <c r="P670" s="12" t="inlineStr">
        <is>
          <t>Реестр (21,894.00) совпадает с 1С (21,894.00), а в ETM 22,988.70: бот перенёс неверную сумму</t>
        </is>
      </c>
      <c r="Q670" s="8" t="inlineStr">
        <is>
          <t>57304807</t>
        </is>
      </c>
    </row>
    <row r="671">
      <c r="A671" s="8" t="inlineStr">
        <is>
          <t>G11114</t>
        </is>
      </c>
      <c r="B671" s="8" t="inlineStr">
        <is>
          <t>ОсОО Ала-Тоо Эйр</t>
        </is>
      </c>
      <c r="C671" s="8" t="inlineStr">
        <is>
          <t>2461880902</t>
        </is>
      </c>
      <c r="D671" s="8" t="inlineStr">
        <is>
          <t>Сумма не сходится</t>
        </is>
      </c>
      <c r="E671" s="8" t="inlineStr">
        <is>
          <t>1С</t>
        </is>
      </c>
      <c r="F671" s="8" t="inlineStr">
        <is>
          <t>A</t>
        </is>
      </c>
      <c r="G671" s="14" t="n">
        <v>10251</v>
      </c>
      <c r="H671" s="14" t="n">
        <v>-9225.9</v>
      </c>
      <c r="I671" s="14" t="n">
        <v>9225.9</v>
      </c>
      <c r="J671" s="14" t="n">
        <v>1025.1</v>
      </c>
      <c r="K671" s="21" t="n">
        <v>46094.67454861111</v>
      </c>
      <c r="L671" s="21" t="n">
        <v>46094</v>
      </c>
      <c r="M671" s="8" t="inlineStr"/>
      <c r="N671" s="8" t="inlineStr">
        <is>
          <t>Бухгалтер 1С</t>
        </is>
      </c>
      <c r="O671" s="8" t="inlineStr">
        <is>
          <t>d.mambetova</t>
        </is>
      </c>
      <c r="P671" s="12" t="inlineStr">
        <is>
          <t>Реестр (9,225.90) совпадает с ETM (9,225.90), а в 1С 10,251.00: неверная сумма в 1С</t>
        </is>
      </c>
      <c r="Q671" s="8" t="inlineStr">
        <is>
          <t>57144593</t>
        </is>
      </c>
    </row>
    <row r="672">
      <c r="A672" s="8" t="inlineStr">
        <is>
          <t>G03901</t>
        </is>
      </c>
      <c r="B672" s="8" t="inlineStr">
        <is>
          <t>Sunrise Tours</t>
        </is>
      </c>
      <c r="C672" s="8" t="inlineStr">
        <is>
          <t>2416945602</t>
        </is>
      </c>
      <c r="D672" s="8" t="inlineStr">
        <is>
          <t>Сумма не сходится</t>
        </is>
      </c>
      <c r="E672" s="8" t="inlineStr">
        <is>
          <t>Бот ETM</t>
        </is>
      </c>
      <c r="F672" s="8" t="inlineStr">
        <is>
          <t>A</t>
        </is>
      </c>
      <c r="G672" s="14" t="n">
        <v>33283.88</v>
      </c>
      <c r="H672" s="14" t="n">
        <v>-32283.88</v>
      </c>
      <c r="I672" s="14" t="n">
        <v>33283.88</v>
      </c>
      <c r="J672" s="14" t="n">
        <v>1000.000000000004</v>
      </c>
      <c r="K672" s="21" t="n">
        <v>46139.6137962963</v>
      </c>
      <c r="L672" s="21" t="n">
        <v>46139</v>
      </c>
      <c r="M672" s="8" t="inlineStr">
        <is>
          <t>ONE_WRONG_DIGIT</t>
        </is>
      </c>
      <c r="N672" s="8" t="inlineStr">
        <is>
          <t>Разработчик/поддержка бота ETM</t>
        </is>
      </c>
      <c r="O672" s="8" t="inlineStr">
        <is>
          <t>k.dzhumaev</t>
        </is>
      </c>
      <c r="P672" s="12" t="inlineStr">
        <is>
          <t>Реестр (33,283.88) совпадает с 1С (33,283.88), а в ETM 32,283.88: бот перенёс неверную сумму</t>
        </is>
      </c>
      <c r="Q672" s="8" t="inlineStr">
        <is>
          <t>57233152</t>
        </is>
      </c>
    </row>
    <row r="673">
      <c r="A673" s="8" t="inlineStr">
        <is>
          <t>G00993</t>
        </is>
      </c>
      <c r="B673" s="8" t="inlineStr">
        <is>
          <t>Jailoo Trip</t>
        </is>
      </c>
      <c r="C673" s="8" t="inlineStr">
        <is>
          <t>2460733737</t>
        </is>
      </c>
      <c r="D673" s="8" t="inlineStr">
        <is>
          <t>Сумма не сходится</t>
        </is>
      </c>
      <c r="E673" s="8" t="inlineStr">
        <is>
          <t>1С</t>
        </is>
      </c>
      <c r="F673" s="8" t="inlineStr">
        <is>
          <t>A</t>
        </is>
      </c>
      <c r="G673" s="14" t="n">
        <v>16067</v>
      </c>
      <c r="H673" s="14" t="n">
        <v>-15067</v>
      </c>
      <c r="I673" s="14" t="n">
        <v>15067</v>
      </c>
      <c r="J673" s="14" t="n">
        <v>1000</v>
      </c>
      <c r="K673" s="21" t="n">
        <v>46026.39582175926</v>
      </c>
      <c r="L673" s="21" t="n">
        <v>46026</v>
      </c>
      <c r="M673" s="8" t="inlineStr">
        <is>
          <t>ONE_WRONG_DIGIT</t>
        </is>
      </c>
      <c r="N673" s="8" t="inlineStr">
        <is>
          <t>Бухгалтер 1С</t>
        </is>
      </c>
      <c r="O673" s="8" t="inlineStr">
        <is>
          <t>r.sydykov</t>
        </is>
      </c>
      <c r="P673" s="12" t="inlineStr">
        <is>
          <t>Реестр (15,067.00) совпадает с ETM (15,067.00), а в 1С 16,067.00: неверная сумма в 1С</t>
        </is>
      </c>
      <c r="Q673" s="8" t="inlineStr">
        <is>
          <t>57005609</t>
        </is>
      </c>
    </row>
    <row r="674">
      <c r="A674" s="8" t="inlineStr">
        <is>
          <t>G01248</t>
        </is>
      </c>
      <c r="B674" s="8" t="inlineStr">
        <is>
          <t>Karakol Express</t>
        </is>
      </c>
      <c r="C674" s="8" t="inlineStr">
        <is>
          <t>2420847733</t>
        </is>
      </c>
      <c r="D674" s="8" t="inlineStr">
        <is>
          <t>Сумма не сходится</t>
        </is>
      </c>
      <c r="E674" s="8" t="inlineStr">
        <is>
          <t>Бот ETM</t>
        </is>
      </c>
      <c r="F674" s="8" t="inlineStr">
        <is>
          <t>A</t>
        </is>
      </c>
      <c r="G674" s="14" t="n">
        <v>24947.34</v>
      </c>
      <c r="H674" s="14" t="n">
        <v>-23947.34</v>
      </c>
      <c r="I674" s="14" t="n">
        <v>24947.3388</v>
      </c>
      <c r="J674" s="14" t="n">
        <v>1000</v>
      </c>
      <c r="K674" s="21" t="n">
        <v>46199.46761574074</v>
      </c>
      <c r="L674" s="21" t="n">
        <v>46199</v>
      </c>
      <c r="M674" s="8" t="inlineStr">
        <is>
          <t>ONE_WRONG_DIGIT</t>
        </is>
      </c>
      <c r="N674" s="8" t="inlineStr">
        <is>
          <t>Разработчик/поддержка бота ETM</t>
        </is>
      </c>
      <c r="O674" s="8" t="inlineStr">
        <is>
          <t>d.mambetova</t>
        </is>
      </c>
      <c r="P674" s="12" t="inlineStr">
        <is>
          <t>Реестр (24,947.34) совпадает с 1С (24,947.34), а в ETM 23,947.34: бот перенёс неверную сумму</t>
        </is>
      </c>
      <c r="Q674" s="8" t="inlineStr">
        <is>
          <t>57404058</t>
        </is>
      </c>
    </row>
    <row r="675">
      <c r="A675" s="8" t="inlineStr">
        <is>
          <t>G01849</t>
        </is>
      </c>
      <c r="B675" s="8" t="inlineStr">
        <is>
          <t>Karakol Express</t>
        </is>
      </c>
      <c r="C675" s="8" t="inlineStr">
        <is>
          <t>2552671702</t>
        </is>
      </c>
      <c r="D675" s="8" t="inlineStr">
        <is>
          <t>Сумма не сходится</t>
        </is>
      </c>
      <c r="E675" s="8" t="inlineStr">
        <is>
          <t>1С</t>
        </is>
      </c>
      <c r="F675" s="8" t="inlineStr">
        <is>
          <t>A</t>
        </is>
      </c>
      <c r="G675" s="14" t="n">
        <v>25788.62</v>
      </c>
      <c r="H675" s="14" t="n">
        <v>-24788.62</v>
      </c>
      <c r="I675" s="14" t="n">
        <v>24788.4836</v>
      </c>
      <c r="J675" s="14" t="n">
        <v>1000</v>
      </c>
      <c r="K675" s="21" t="n">
        <v>46046.66472222222</v>
      </c>
      <c r="L675" s="21" t="n">
        <v>46046</v>
      </c>
      <c r="M675" s="8" t="inlineStr">
        <is>
          <t>ONE_WRONG_DIGIT</t>
        </is>
      </c>
      <c r="N675" s="8" t="inlineStr">
        <is>
          <t>Бухгалтер 1С</t>
        </is>
      </c>
      <c r="O675" s="8" t="inlineStr">
        <is>
          <t>d.mambetova</t>
        </is>
      </c>
      <c r="P675" s="12" t="inlineStr">
        <is>
          <t>Реестр (24,788.48) совпадает с ETM (24,788.62), а в 1С 25,788.62: неверная сумма в 1С</t>
        </is>
      </c>
      <c r="Q675" s="8" t="inlineStr">
        <is>
          <t>57050498</t>
        </is>
      </c>
    </row>
    <row r="676">
      <c r="A676" s="8" t="inlineStr">
        <is>
          <t>G04447</t>
        </is>
      </c>
      <c r="B676" s="8" t="inlineStr">
        <is>
          <t>Абдылда уулу Б.</t>
        </is>
      </c>
      <c r="C676" s="8" t="inlineStr">
        <is>
          <t>2476319591</t>
        </is>
      </c>
      <c r="D676" s="8" t="inlineStr">
        <is>
          <t>Сумма не сходится</t>
        </is>
      </c>
      <c r="E676" s="8" t="inlineStr">
        <is>
          <t>Бот ETM</t>
        </is>
      </c>
      <c r="F676" s="8" t="inlineStr">
        <is>
          <t>A</t>
        </is>
      </c>
      <c r="G676" s="14" t="n">
        <v>23142.21</v>
      </c>
      <c r="H676" s="14" t="n">
        <v>-24142.21</v>
      </c>
      <c r="I676" s="14" t="n">
        <v>23142.21</v>
      </c>
      <c r="J676" s="14" t="n">
        <v>-1000</v>
      </c>
      <c r="K676" s="21" t="n">
        <v>46151.41248842593</v>
      </c>
      <c r="L676" s="21" t="n">
        <v>46151</v>
      </c>
      <c r="M676" s="8" t="inlineStr">
        <is>
          <t>ONE_WRONG_DIGIT</t>
        </is>
      </c>
      <c r="N676" s="8" t="inlineStr">
        <is>
          <t>Разработчик/поддержка бота ETM</t>
        </is>
      </c>
      <c r="O676" s="8" t="inlineStr">
        <is>
          <t>r.sydykov</t>
        </is>
      </c>
      <c r="P676" s="12" t="inlineStr">
        <is>
          <t>Реестр (23,142.21) совпадает с 1С (23,142.21), а в ETM 24,142.21: бот перенёс неверную сумму</t>
        </is>
      </c>
      <c r="Q676" s="8" t="inlineStr">
        <is>
          <t>57268733</t>
        </is>
      </c>
    </row>
    <row r="677">
      <c r="A677" s="8" t="inlineStr">
        <is>
          <t>G04836</t>
        </is>
      </c>
      <c r="B677" s="8" t="inlineStr">
        <is>
          <t>Ак-Куу Авиа</t>
        </is>
      </c>
      <c r="C677" s="8" t="inlineStr">
        <is>
          <t>2420844401</t>
        </is>
      </c>
      <c r="D677" s="8" t="inlineStr">
        <is>
          <t>Сумма не сходится</t>
        </is>
      </c>
      <c r="E677" s="8" t="inlineStr">
        <is>
          <t>Бот ETM</t>
        </is>
      </c>
      <c r="F677" s="8" t="inlineStr">
        <is>
          <t>A</t>
        </is>
      </c>
      <c r="G677" s="14" t="n">
        <v>19402.69</v>
      </c>
      <c r="H677" s="14" t="n">
        <v>-20402.69</v>
      </c>
      <c r="I677" s="14" t="n">
        <v>19402.6922</v>
      </c>
      <c r="J677" s="14" t="n">
        <v>-1000</v>
      </c>
      <c r="K677" s="21" t="n">
        <v>46052.58847222223</v>
      </c>
      <c r="L677" s="21" t="n">
        <v>46052</v>
      </c>
      <c r="M677" s="8" t="inlineStr"/>
      <c r="N677" s="8" t="inlineStr">
        <is>
          <t>Разработчик/поддержка бота ETM</t>
        </is>
      </c>
      <c r="O677" s="8" t="inlineStr">
        <is>
          <t>e.satarov</t>
        </is>
      </c>
      <c r="P677" s="12" t="inlineStr">
        <is>
          <t>Реестр (19,402.69) совпадает с 1С (19,402.69), а в ETM 20,402.69: бот перенёс неверную сумму</t>
        </is>
      </c>
      <c r="Q677" s="8" t="inlineStr">
        <is>
          <t>57063705</t>
        </is>
      </c>
    </row>
    <row r="678">
      <c r="A678" s="8" t="inlineStr">
        <is>
          <t>G05178</t>
        </is>
      </c>
      <c r="B678" s="8" t="inlineStr">
        <is>
          <t>Ак-Куу Авиа</t>
        </is>
      </c>
      <c r="C678" s="8" t="inlineStr">
        <is>
          <t>2476314160</t>
        </is>
      </c>
      <c r="D678" s="8" t="inlineStr">
        <is>
          <t>Сумма не сходится</t>
        </is>
      </c>
      <c r="E678" s="8" t="inlineStr">
        <is>
          <t>1С</t>
        </is>
      </c>
      <c r="F678" s="8" t="inlineStr">
        <is>
          <t>A</t>
        </is>
      </c>
      <c r="G678" s="14" t="n">
        <v>16032.68</v>
      </c>
      <c r="H678" s="14" t="n">
        <v>-15032.68</v>
      </c>
      <c r="I678" s="14" t="n">
        <v>15032.6822</v>
      </c>
      <c r="J678" s="14" t="n">
        <v>1000</v>
      </c>
      <c r="K678" s="21" t="n">
        <v>46188.39846064815</v>
      </c>
      <c r="L678" s="21" t="n">
        <v>46188</v>
      </c>
      <c r="M678" s="8" t="inlineStr">
        <is>
          <t>ONE_WRONG_DIGIT</t>
        </is>
      </c>
      <c r="N678" s="8" t="inlineStr">
        <is>
          <t>Бухгалтер 1С</t>
        </is>
      </c>
      <c r="O678" s="8" t="inlineStr">
        <is>
          <t>g.omurbekova</t>
        </is>
      </c>
      <c r="P678" s="12" t="inlineStr">
        <is>
          <t>Реестр (15,032.68) совпадает с ETM (15,032.68), а в 1С 16,032.68: неверная сумма в 1С</t>
        </is>
      </c>
      <c r="Q678" s="8" t="inlineStr">
        <is>
          <t>57368599</t>
        </is>
      </c>
    </row>
    <row r="679">
      <c r="A679" s="8" t="inlineStr">
        <is>
          <t>G05290</t>
        </is>
      </c>
      <c r="B679" s="8" t="inlineStr">
        <is>
          <t>Ак-Куу Авиа</t>
        </is>
      </c>
      <c r="C679" s="8" t="inlineStr">
        <is>
          <t>2552668871</t>
        </is>
      </c>
      <c r="D679" s="8" t="inlineStr">
        <is>
          <t>Сумма не сходится</t>
        </is>
      </c>
      <c r="E679" s="8" t="inlineStr">
        <is>
          <t>1С</t>
        </is>
      </c>
      <c r="F679" s="8" t="inlineStr">
        <is>
          <t>A</t>
        </is>
      </c>
      <c r="G679" s="14" t="n">
        <v>39013.35</v>
      </c>
      <c r="H679" s="14" t="n">
        <v>-38013.35</v>
      </c>
      <c r="I679" s="14" t="n">
        <v>38013.5308</v>
      </c>
      <c r="J679" s="14" t="n">
        <v>1000</v>
      </c>
      <c r="K679" s="21" t="n">
        <v>46122.66925925926</v>
      </c>
      <c r="L679" s="21" t="n">
        <v>46122</v>
      </c>
      <c r="M679" s="8" t="inlineStr">
        <is>
          <t>ONE_WRONG_DIGIT</t>
        </is>
      </c>
      <c r="N679" s="8" t="inlineStr">
        <is>
          <t>Бухгалтер 1С</t>
        </is>
      </c>
      <c r="O679" s="8" t="inlineStr">
        <is>
          <t>k.dzhumaev</t>
        </is>
      </c>
      <c r="P679" s="12" t="inlineStr">
        <is>
          <t>Реестр (38,013.53) совпадает с ETM (38,013.35), а в 1С 39,013.35: неверная сумма в 1С</t>
        </is>
      </c>
      <c r="Q679" s="8" t="inlineStr">
        <is>
          <t>57200375</t>
        </is>
      </c>
    </row>
    <row r="680">
      <c r="A680" s="8" t="inlineStr">
        <is>
          <t>G05758</t>
        </is>
      </c>
      <c r="B680" s="8" t="inlineStr">
        <is>
          <t>Ала-Арча Тревел</t>
        </is>
      </c>
      <c r="C680" s="8" t="inlineStr">
        <is>
          <t>2420843288</t>
        </is>
      </c>
      <c r="D680" s="8" t="inlineStr">
        <is>
          <t>Сумма не сходится</t>
        </is>
      </c>
      <c r="E680" s="8" t="inlineStr">
        <is>
          <t>1С</t>
        </is>
      </c>
      <c r="F680" s="8" t="inlineStr">
        <is>
          <t>A</t>
        </is>
      </c>
      <c r="G680" s="14" t="n">
        <v>24656.53</v>
      </c>
      <c r="H680" s="14" t="n">
        <v>-25656.53</v>
      </c>
      <c r="I680" s="14" t="n">
        <v>25656.530878</v>
      </c>
      <c r="J680" s="14" t="n">
        <v>-1000</v>
      </c>
      <c r="K680" s="21" t="n">
        <v>46175.49974537037</v>
      </c>
      <c r="L680" s="21" t="n">
        <v>46175</v>
      </c>
      <c r="M680" s="8" t="inlineStr">
        <is>
          <t>ONE_WRONG_DIGIT</t>
        </is>
      </c>
      <c r="N680" s="8" t="inlineStr">
        <is>
          <t>Бухгалтер 1С</t>
        </is>
      </c>
      <c r="O680" s="8" t="inlineStr">
        <is>
          <t>k.dzhumaev</t>
        </is>
      </c>
      <c r="P680" s="12" t="inlineStr">
        <is>
          <t>Реестр (25,656.53) совпадает с ETM (25,656.53), а в 1С 24,656.53: неверная сумма в 1С</t>
        </is>
      </c>
      <c r="Q680" s="8" t="inlineStr">
        <is>
          <t>57335349</t>
        </is>
      </c>
    </row>
    <row r="681">
      <c r="A681" s="8" t="inlineStr">
        <is>
          <t>G06141</t>
        </is>
      </c>
      <c r="B681" s="8" t="inlineStr">
        <is>
          <t>Байтур Трип</t>
        </is>
      </c>
      <c r="C681" s="8" t="inlineStr">
        <is>
          <t>2559099222</t>
        </is>
      </c>
      <c r="D681" s="8" t="inlineStr">
        <is>
          <t>Сумма не сходится</t>
        </is>
      </c>
      <c r="E681" s="8" t="inlineStr">
        <is>
          <t>Бот ETM</t>
        </is>
      </c>
      <c r="F681" s="8" t="inlineStr">
        <is>
          <t>A</t>
        </is>
      </c>
      <c r="G681" s="14" t="n">
        <v>2214.110000000001</v>
      </c>
      <c r="H681" s="14" t="n">
        <v>-3214.110000000001</v>
      </c>
      <c r="I681" s="14" t="n">
        <v>2214.110000000001</v>
      </c>
      <c r="J681" s="14" t="n">
        <v>-1000</v>
      </c>
      <c r="K681" s="21" t="n">
        <v>46167.33923611111</v>
      </c>
      <c r="L681" s="21" t="n">
        <v>46167</v>
      </c>
      <c r="M681" s="8" t="inlineStr">
        <is>
          <t>ONE_WRONG_DIGIT</t>
        </is>
      </c>
      <c r="N681" s="8" t="inlineStr">
        <is>
          <t>Разработчик/поддержка бота ETM</t>
        </is>
      </c>
      <c r="O681" s="8" t="inlineStr">
        <is>
          <t>b.isakov|d.mambetova</t>
        </is>
      </c>
      <c r="P681" s="12" t="inlineStr">
        <is>
          <t>Реестр (2,214.11) совпадает с 1С (2,214.11), а в ETM 3,214.11: бот перенёс неверную сумму</t>
        </is>
      </c>
      <c r="Q681" s="8" t="inlineStr">
        <is>
          <t>57314920,57380076</t>
        </is>
      </c>
    </row>
    <row r="682">
      <c r="A682" s="8" t="inlineStr">
        <is>
          <t>G09537</t>
        </is>
      </c>
      <c r="B682" s="8" t="inlineStr">
        <is>
          <t>КУТ ЭЙР</t>
        </is>
      </c>
      <c r="C682" s="8" t="inlineStr">
        <is>
          <t>2552667873</t>
        </is>
      </c>
      <c r="D682" s="8" t="inlineStr">
        <is>
          <t>Сумма не сходится</t>
        </is>
      </c>
      <c r="E682" s="8" t="inlineStr">
        <is>
          <t>Бот ETM</t>
        </is>
      </c>
      <c r="F682" s="8" t="inlineStr">
        <is>
          <t>A</t>
        </is>
      </c>
      <c r="G682" s="14" t="n">
        <v>29854.16</v>
      </c>
      <c r="H682" s="14" t="n">
        <v>-30854.16</v>
      </c>
      <c r="I682" s="14" t="n">
        <v>29854.1625</v>
      </c>
      <c r="J682" s="14" t="n">
        <v>-1000</v>
      </c>
      <c r="K682" s="21" t="n">
        <v>46080.44695601852</v>
      </c>
      <c r="L682" s="21" t="n">
        <v>46080</v>
      </c>
      <c r="M682" s="8" t="inlineStr"/>
      <c r="N682" s="8" t="inlineStr">
        <is>
          <t>Разработчик/поддержка бота ETM</t>
        </is>
      </c>
      <c r="O682" s="8" t="inlineStr">
        <is>
          <t>b.isakov</t>
        </is>
      </c>
      <c r="P682" s="12" t="inlineStr">
        <is>
          <t>Реестр (29,854.16) совпадает с 1С (29,854.16), а в ETM 30,854.16: бот перенёс неверную сумму</t>
        </is>
      </c>
      <c r="Q682" s="8" t="inlineStr">
        <is>
          <t>57111843</t>
        </is>
      </c>
    </row>
    <row r="683">
      <c r="A683" s="8" t="inlineStr">
        <is>
          <t>G12860</t>
        </is>
      </c>
      <c r="B683" s="8" t="inlineStr">
        <is>
          <t>Сатар уулу Санжар</t>
        </is>
      </c>
      <c r="C683" s="8" t="inlineStr">
        <is>
          <t>2416940744</t>
        </is>
      </c>
      <c r="D683" s="8" t="inlineStr">
        <is>
          <t>Сумма не сходится</t>
        </is>
      </c>
      <c r="E683" s="8" t="inlineStr">
        <is>
          <t>1С</t>
        </is>
      </c>
      <c r="F683" s="8" t="inlineStr">
        <is>
          <t>A</t>
        </is>
      </c>
      <c r="G683" s="14" t="n">
        <v>24902.55</v>
      </c>
      <c r="H683" s="14" t="n">
        <v>-25902.55</v>
      </c>
      <c r="I683" s="14" t="n">
        <v>25902.6365</v>
      </c>
      <c r="J683" s="14" t="n">
        <v>-1000</v>
      </c>
      <c r="K683" s="21" t="n">
        <v>46144.55729166666</v>
      </c>
      <c r="L683" s="21" t="n">
        <v>46144</v>
      </c>
      <c r="M683" s="8" t="inlineStr">
        <is>
          <t>ONE_WRONG_DIGIT</t>
        </is>
      </c>
      <c r="N683" s="8" t="inlineStr">
        <is>
          <t>Бухгалтер 1С</t>
        </is>
      </c>
      <c r="O683" s="8" t="inlineStr">
        <is>
          <t>d.mambetova</t>
        </is>
      </c>
      <c r="P683" s="12" t="inlineStr">
        <is>
          <t>Реестр (25,902.64) совпадает с ETM (25,902.55), а в 1С 24,902.55: неверная сумма в 1С</t>
        </is>
      </c>
      <c r="Q683" s="8" t="inlineStr">
        <is>
          <t>57244157</t>
        </is>
      </c>
    </row>
    <row r="684">
      <c r="A684" s="8" t="inlineStr">
        <is>
          <t>G13779</t>
        </is>
      </c>
      <c r="B684" s="8" t="inlineStr">
        <is>
          <t>ТАЛАС ЛАЙН</t>
        </is>
      </c>
      <c r="C684" s="8" t="inlineStr">
        <is>
          <t>2552671076</t>
        </is>
      </c>
      <c r="D684" s="8" t="inlineStr">
        <is>
          <t>Сумма не сходится</t>
        </is>
      </c>
      <c r="E684" s="8" t="inlineStr">
        <is>
          <t>Бот ETM</t>
        </is>
      </c>
      <c r="F684" s="8" t="inlineStr">
        <is>
          <t>A</t>
        </is>
      </c>
      <c r="G684" s="14" t="n">
        <v>23542.78</v>
      </c>
      <c r="H684" s="14" t="n">
        <v>-22542.78</v>
      </c>
      <c r="I684" s="14" t="n">
        <v>23542.7775</v>
      </c>
      <c r="J684" s="14" t="n">
        <v>1000</v>
      </c>
      <c r="K684" s="21" t="n">
        <v>46024.57454861111</v>
      </c>
      <c r="L684" s="21" t="n">
        <v>46024</v>
      </c>
      <c r="M684" s="8" t="inlineStr">
        <is>
          <t>ONE_WRONG_DIGIT</t>
        </is>
      </c>
      <c r="N684" s="8" t="inlineStr">
        <is>
          <t>Разработчик/поддержка бота ETM</t>
        </is>
      </c>
      <c r="O684" s="8" t="inlineStr">
        <is>
          <t>k.dzhumaev</t>
        </is>
      </c>
      <c r="P684" s="12" t="inlineStr">
        <is>
          <t>Реестр (23,542.78) совпадает с 1С (23,542.78), а в ETM 22,542.78: бот перенёс неверную сумму</t>
        </is>
      </c>
      <c r="Q684" s="8" t="inlineStr">
        <is>
          <t>57003231</t>
        </is>
      </c>
    </row>
    <row r="685">
      <c r="A685" s="8" t="inlineStr">
        <is>
          <t>G09423</t>
        </is>
      </c>
      <c r="B685" s="8" t="inlineStr">
        <is>
          <t>Иссык Вояж</t>
        </is>
      </c>
      <c r="C685" s="8" t="inlineStr">
        <is>
          <t>2476318308|2476318311|2476318312</t>
        </is>
      </c>
      <c r="D685" s="8" t="inlineStr">
        <is>
          <t>Сумма не сходится</t>
        </is>
      </c>
      <c r="E685" s="8" t="inlineStr">
        <is>
          <t>Бот ETM</t>
        </is>
      </c>
      <c r="F685" s="8" t="inlineStr">
        <is>
          <t>A</t>
        </is>
      </c>
      <c r="G685" s="14" t="n">
        <v>101950.56</v>
      </c>
      <c r="H685" s="14" t="n">
        <v>-100969.38</v>
      </c>
      <c r="I685" s="14" t="n">
        <v>101950.56</v>
      </c>
      <c r="J685" s="14" t="n">
        <v>981.179999999993</v>
      </c>
      <c r="K685" s="21" t="n">
        <v>46173.55366898148</v>
      </c>
      <c r="L685" s="21" t="n">
        <v>46172</v>
      </c>
      <c r="M685" s="8" t="inlineStr"/>
      <c r="N685" s="8" t="inlineStr">
        <is>
          <t>Разработчик/поддержка бота ETM</t>
        </is>
      </c>
      <c r="O685" s="8" t="inlineStr">
        <is>
          <t>r.sydykov</t>
        </is>
      </c>
      <c r="P685" s="12" t="inlineStr">
        <is>
          <t>Реестр (101,950.56) совпадает с 1С (101,950.56), а в ETM 100,969.38: бот перенёс неверную сумму</t>
        </is>
      </c>
      <c r="Q685" s="8" t="inlineStr">
        <is>
          <t>57329479,57329466,57329489</t>
        </is>
      </c>
    </row>
    <row r="686">
      <c r="A686" s="8" t="inlineStr">
        <is>
          <t>G10561</t>
        </is>
      </c>
      <c r="B686" s="8" t="inlineStr">
        <is>
          <t>Манас Тур</t>
        </is>
      </c>
      <c r="C686" s="8" t="inlineStr">
        <is>
          <t>2460736137</t>
        </is>
      </c>
      <c r="D686" s="8" t="inlineStr">
        <is>
          <t>Сумма не сходится</t>
        </is>
      </c>
      <c r="E686" s="8" t="inlineStr">
        <is>
          <t>Бот ETM</t>
        </is>
      </c>
      <c r="F686" s="8" t="inlineStr">
        <is>
          <t>A</t>
        </is>
      </c>
      <c r="G686" s="14" t="n">
        <v>19313</v>
      </c>
      <c r="H686" s="14" t="n">
        <v>-18347.35</v>
      </c>
      <c r="I686" s="14" t="n">
        <v>19313</v>
      </c>
      <c r="J686" s="14" t="n">
        <v>965.6500000000015</v>
      </c>
      <c r="K686" s="21" t="n">
        <v>46162.72663194445</v>
      </c>
      <c r="L686" s="21" t="n">
        <v>46162</v>
      </c>
      <c r="M686" s="8" t="inlineStr"/>
      <c r="N686" s="8" t="inlineStr">
        <is>
          <t>Разработчик/поддержка бота ETM</t>
        </is>
      </c>
      <c r="O686" s="8" t="inlineStr">
        <is>
          <t>k.dzhumaev</t>
        </is>
      </c>
      <c r="P686" s="12" t="inlineStr">
        <is>
          <t>Реестр (19,313.00) совпадает с 1С (19,313.00), а в ETM 18,347.35: бот перенёс неверную сумму</t>
        </is>
      </c>
      <c r="Q686" s="8" t="inlineStr">
        <is>
          <t>57301681</t>
        </is>
      </c>
    </row>
    <row r="687">
      <c r="A687" s="8" t="inlineStr">
        <is>
          <t>G15338</t>
        </is>
      </c>
      <c r="B687" s="8" t="inlineStr">
        <is>
          <t>Эсенбек уулу Азамат</t>
        </is>
      </c>
      <c r="C687" s="8" t="inlineStr">
        <is>
          <t>2559098741</t>
        </is>
      </c>
      <c r="D687" s="8" t="inlineStr">
        <is>
          <t>Сумма не сходится</t>
        </is>
      </c>
      <c r="E687" s="8" t="inlineStr">
        <is>
          <t>1С</t>
        </is>
      </c>
      <c r="F687" s="8" t="inlineStr">
        <is>
          <t>A</t>
        </is>
      </c>
      <c r="G687" s="14" t="n">
        <v>19211.55</v>
      </c>
      <c r="H687" s="14" t="n">
        <v>-18250.97</v>
      </c>
      <c r="I687" s="14" t="n">
        <v>18251.157</v>
      </c>
      <c r="J687" s="14" t="n">
        <v>960.5799999999981</v>
      </c>
      <c r="K687" s="21" t="n">
        <v>46113.54106481482</v>
      </c>
      <c r="L687" s="21" t="n">
        <v>46113</v>
      </c>
      <c r="M687" s="8" t="inlineStr"/>
      <c r="N687" s="8" t="inlineStr">
        <is>
          <t>Бухгалтер 1С</t>
        </is>
      </c>
      <c r="O687" s="8" t="inlineStr">
        <is>
          <t>k.dzhumaev</t>
        </is>
      </c>
      <c r="P687" s="12" t="inlineStr">
        <is>
          <t>Реестр (18,251.16) совпадает с ETM (18,250.97), а в 1С 19,211.55: неверная сумма в 1С</t>
        </is>
      </c>
      <c r="Q687" s="8" t="inlineStr">
        <is>
          <t>57184336</t>
        </is>
      </c>
    </row>
    <row r="688">
      <c r="A688" s="8" t="inlineStr">
        <is>
          <t>G11826</t>
        </is>
      </c>
      <c r="B688" s="8" t="inlineStr">
        <is>
          <t>ОсОО Кок-Жайык Лайн</t>
        </is>
      </c>
      <c r="C688" s="8" t="inlineStr">
        <is>
          <t>2461885783</t>
        </is>
      </c>
      <c r="D688" s="8" t="inlineStr">
        <is>
          <t>Сумма не сходится</t>
        </is>
      </c>
      <c r="E688" s="8" t="inlineStr">
        <is>
          <t>1С</t>
        </is>
      </c>
      <c r="F688" s="8" t="inlineStr">
        <is>
          <t>A</t>
        </is>
      </c>
      <c r="G688" s="14" t="n">
        <v>19057</v>
      </c>
      <c r="H688" s="14" t="n">
        <v>-18104.15</v>
      </c>
      <c r="I688" s="14" t="n">
        <v>18104.15</v>
      </c>
      <c r="J688" s="14" t="n">
        <v>952.8499999999985</v>
      </c>
      <c r="K688" s="21" t="n">
        <v>46218.63998842592</v>
      </c>
      <c r="L688" s="21" t="n">
        <v>46218</v>
      </c>
      <c r="M688" s="8" t="inlineStr"/>
      <c r="N688" s="8" t="inlineStr">
        <is>
          <t>Бухгалтер 1С</t>
        </is>
      </c>
      <c r="O688" s="8" t="inlineStr">
        <is>
          <t>k.dzhumaev</t>
        </is>
      </c>
      <c r="P688" s="12" t="inlineStr">
        <is>
          <t>Реестр (18,104.15) совпадает с ETM (18,104.15), а в 1С 19,057.00: неверная сумма в 1С</t>
        </is>
      </c>
      <c r="Q688" s="8" t="inlineStr">
        <is>
          <t>57462333</t>
        </is>
      </c>
    </row>
    <row r="689">
      <c r="A689" s="8" t="inlineStr">
        <is>
          <t>G02675</t>
        </is>
      </c>
      <c r="B689" s="8" t="inlineStr">
        <is>
          <t>SkyWay Travel</t>
        </is>
      </c>
      <c r="C689" s="8" t="inlineStr">
        <is>
          <t>2459528969|2459528971</t>
        </is>
      </c>
      <c r="D689" s="8" t="inlineStr">
        <is>
          <t>Сумма не сходится</t>
        </is>
      </c>
      <c r="E689" s="8" t="inlineStr">
        <is>
          <t>1С</t>
        </is>
      </c>
      <c r="F689" s="8" t="inlineStr">
        <is>
          <t>A</t>
        </is>
      </c>
      <c r="G689" s="14" t="n">
        <v>5177.099999999999</v>
      </c>
      <c r="H689" s="14" t="n">
        <v>-6077.099999999999</v>
      </c>
      <c r="I689" s="14" t="n">
        <v>6077.099999999999</v>
      </c>
      <c r="J689" s="14" t="n">
        <v>-900</v>
      </c>
      <c r="K689" s="21" t="n">
        <v>46164.49236111111</v>
      </c>
      <c r="L689" s="21" t="n">
        <v>46164</v>
      </c>
      <c r="M689" s="8" t="inlineStr"/>
      <c r="N689" s="8" t="inlineStr">
        <is>
          <t>Бухгалтер 1С</t>
        </is>
      </c>
      <c r="O689" s="8" t="inlineStr">
        <is>
          <t>e.satarov</t>
        </is>
      </c>
      <c r="P689" s="12" t="inlineStr">
        <is>
          <t>Реестр (6,077.10) совпадает с ETM (6,077.10), а в 1С 5,177.10: неверная сумма в 1С</t>
        </is>
      </c>
      <c r="Q689" s="8" t="inlineStr">
        <is>
          <t>57307439,57307432,57371751</t>
        </is>
      </c>
    </row>
    <row r="690">
      <c r="A690" s="8" t="inlineStr">
        <is>
          <t>G02823</t>
        </is>
      </c>
      <c r="B690" s="8" t="inlineStr">
        <is>
          <t>SkyWay Travel</t>
        </is>
      </c>
      <c r="C690" s="8" t="inlineStr">
        <is>
          <t>2460733863</t>
        </is>
      </c>
      <c r="D690" s="8" t="inlineStr">
        <is>
          <t>Сумма не сходится</t>
        </is>
      </c>
      <c r="E690" s="8" t="inlineStr">
        <is>
          <t>1С</t>
        </is>
      </c>
      <c r="F690" s="8" t="inlineStr">
        <is>
          <t>A</t>
        </is>
      </c>
      <c r="G690" s="14" t="n">
        <v>16537</v>
      </c>
      <c r="H690" s="14" t="n">
        <v>-15637</v>
      </c>
      <c r="I690" s="14" t="n">
        <v>15637</v>
      </c>
      <c r="J690" s="14" t="n">
        <v>900</v>
      </c>
      <c r="K690" s="21" t="n">
        <v>46154.72878472223</v>
      </c>
      <c r="L690" s="21" t="n">
        <v>46154</v>
      </c>
      <c r="M690" s="8" t="inlineStr">
        <is>
          <t>TRANSPOSITION</t>
        </is>
      </c>
      <c r="N690" s="8" t="inlineStr">
        <is>
          <t>Бухгалтер 1С</t>
        </is>
      </c>
      <c r="O690" s="8" t="inlineStr">
        <is>
          <t>r.sydykov</t>
        </is>
      </c>
      <c r="P690" s="12" t="inlineStr">
        <is>
          <t>Реестр (15,637.00) совпадает с ETM (15,637.00), а в 1С 16,537.00: неверная сумма в 1С</t>
        </is>
      </c>
      <c r="Q690" s="8" t="inlineStr">
        <is>
          <t>57275173</t>
        </is>
      </c>
    </row>
    <row r="691">
      <c r="A691" s="8" t="inlineStr">
        <is>
          <t>G05793</t>
        </is>
      </c>
      <c r="B691" s="8" t="inlineStr">
        <is>
          <t>Ала-Арча Тревел</t>
        </is>
      </c>
      <c r="C691" s="8" t="inlineStr">
        <is>
          <t>2461886319|2461886321|2461886323</t>
        </is>
      </c>
      <c r="D691" s="8" t="inlineStr">
        <is>
          <t>Сумма не сходится</t>
        </is>
      </c>
      <c r="E691" s="8" t="inlineStr">
        <is>
          <t>1С</t>
        </is>
      </c>
      <c r="F691" s="8" t="inlineStr">
        <is>
          <t>A</t>
        </is>
      </c>
      <c r="G691" s="14" t="n">
        <v>15099</v>
      </c>
      <c r="H691" s="14" t="n">
        <v>-15999</v>
      </c>
      <c r="I691" s="14" t="n">
        <v>15999</v>
      </c>
      <c r="J691" s="14" t="n">
        <v>-900</v>
      </c>
      <c r="K691" s="21" t="n">
        <v>46189.3534375</v>
      </c>
      <c r="L691" s="21" t="n">
        <v>46189</v>
      </c>
      <c r="M691" s="8" t="inlineStr">
        <is>
          <t>ONE_WRONG_DIGIT</t>
        </is>
      </c>
      <c r="N691" s="8" t="inlineStr">
        <is>
          <t>Бухгалтер 1С</t>
        </is>
      </c>
      <c r="O691" s="8" t="inlineStr">
        <is>
          <t>d.mambetova|n.abdyldaeva</t>
        </is>
      </c>
      <c r="P691" s="12" t="inlineStr">
        <is>
          <t>Реестр (15,999.00) совпадает с ETM (15,999.00), а в 1С 15,099.00: неверная сумма в 1С</t>
        </is>
      </c>
      <c r="Q691" s="8" t="inlineStr">
        <is>
          <t>57374378,57374344,57374403,57477718</t>
        </is>
      </c>
    </row>
    <row r="692">
      <c r="A692" s="8" t="inlineStr">
        <is>
          <t>G13693</t>
        </is>
      </c>
      <c r="B692" s="8" t="inlineStr">
        <is>
          <t>ТАЛАС ЛАЙН</t>
        </is>
      </c>
      <c r="C692" s="8" t="inlineStr">
        <is>
          <t>2459528064</t>
        </is>
      </c>
      <c r="D692" s="8" t="inlineStr">
        <is>
          <t>Сумма не сходится</t>
        </is>
      </c>
      <c r="E692" s="8" t="inlineStr">
        <is>
          <t>1С</t>
        </is>
      </c>
      <c r="F692" s="8" t="inlineStr">
        <is>
          <t>A</t>
        </is>
      </c>
      <c r="G692" s="14" t="n">
        <v>16751</v>
      </c>
      <c r="H692" s="14" t="n">
        <v>-17651</v>
      </c>
      <c r="I692" s="14" t="n">
        <v>17651</v>
      </c>
      <c r="J692" s="14" t="n">
        <v>-900</v>
      </c>
      <c r="K692" s="21" t="n">
        <v>46155.54971064815</v>
      </c>
      <c r="L692" s="21" t="n">
        <v>46155</v>
      </c>
      <c r="M692" s="8" t="inlineStr">
        <is>
          <t>TRANSPOSITION</t>
        </is>
      </c>
      <c r="N692" s="8" t="inlineStr">
        <is>
          <t>Бухгалтер 1С</t>
        </is>
      </c>
      <c r="O692" s="8" t="inlineStr">
        <is>
          <t>k.dzhumaev</t>
        </is>
      </c>
      <c r="P692" s="12" t="inlineStr">
        <is>
          <t>Реестр (17,651.00) совпадает с ETM (17,651.00), а в 1С 16,751.00: неверная сумма в 1С</t>
        </is>
      </c>
      <c r="Q692" s="8" t="inlineStr">
        <is>
          <t>57279226</t>
        </is>
      </c>
    </row>
    <row r="693">
      <c r="A693" s="8" t="inlineStr">
        <is>
          <t>G12533</t>
        </is>
      </c>
      <c r="B693" s="8" t="inlineStr">
        <is>
          <t>Сагын кызы Б.</t>
        </is>
      </c>
      <c r="C693" s="8" t="inlineStr">
        <is>
          <t>2416946320|2416946321|2416946322</t>
        </is>
      </c>
      <c r="D693" s="8" t="inlineStr">
        <is>
          <t>Сумма не сходится</t>
        </is>
      </c>
      <c r="E693" s="8" t="inlineStr">
        <is>
          <t>Бот ETM</t>
        </is>
      </c>
      <c r="F693" s="8" t="inlineStr">
        <is>
          <t>A</t>
        </is>
      </c>
      <c r="G693" s="14" t="n">
        <v>155443.47</v>
      </c>
      <c r="H693" s="14" t="n">
        <v>-154562.97</v>
      </c>
      <c r="I693" s="14" t="n">
        <v>155443.47</v>
      </c>
      <c r="J693" s="14" t="n">
        <v>880.5</v>
      </c>
      <c r="K693" s="21" t="n">
        <v>46180.52623842593</v>
      </c>
      <c r="L693" s="21" t="n">
        <v>46178</v>
      </c>
      <c r="M693" s="8" t="inlineStr"/>
      <c r="N693" s="8" t="inlineStr">
        <is>
          <t>Разработчик/поддержка бота ETM</t>
        </is>
      </c>
      <c r="O693" s="8" t="inlineStr">
        <is>
          <t>n.abdyldaeva</t>
        </is>
      </c>
      <c r="P693" s="12" t="inlineStr">
        <is>
          <t>Реестр (155,443.47) совпадает с 1С (155,443.47), а в ETM 154,562.97: бот перенёс неверную сумму</t>
        </is>
      </c>
      <c r="Q693" s="8" t="inlineStr">
        <is>
          <t>57345177,57345170,57345214</t>
        </is>
      </c>
    </row>
    <row r="694">
      <c r="A694" s="8" t="inlineStr">
        <is>
          <t>G13213</t>
        </is>
      </c>
      <c r="B694" s="8" t="inlineStr">
        <is>
          <t>Сатар уулу Санжар</t>
        </is>
      </c>
      <c r="C694" s="8" t="inlineStr">
        <is>
          <t>2476316336|2476316337|2476316340|2476316342</t>
        </is>
      </c>
      <c r="D694" s="8" t="inlineStr">
        <is>
          <t>Сумма не сходится</t>
        </is>
      </c>
      <c r="E694" s="8" t="inlineStr">
        <is>
          <t>Бот ETM</t>
        </is>
      </c>
      <c r="F694" s="8" t="inlineStr">
        <is>
          <t>A</t>
        </is>
      </c>
      <c r="G694" s="14" t="n">
        <v>88617.08</v>
      </c>
      <c r="H694" s="14" t="n">
        <v>-87742.16</v>
      </c>
      <c r="I694" s="14" t="n">
        <v>88617.08</v>
      </c>
      <c r="J694" s="14" t="n">
        <v>874.9199999999983</v>
      </c>
      <c r="K694" s="21" t="n">
        <v>46071.35498842593</v>
      </c>
      <c r="L694" s="21" t="n">
        <v>46070</v>
      </c>
      <c r="M694" s="8" t="inlineStr"/>
      <c r="N694" s="8" t="inlineStr">
        <is>
          <t>Разработчик/поддержка бота ETM</t>
        </is>
      </c>
      <c r="O694" s="8" t="inlineStr">
        <is>
          <t>a.toktosunova</t>
        </is>
      </c>
      <c r="P694" s="12" t="inlineStr">
        <is>
          <t>Реестр (88,617.08) совпадает с 1С (88,617.08), а в ETM 87,742.16: бот перенёс неверную сумму</t>
        </is>
      </c>
      <c r="Q694" s="8" t="inlineStr">
        <is>
          <t>57094948,57094923,57094970,57094967</t>
        </is>
      </c>
    </row>
    <row r="695">
      <c r="A695" s="8" t="inlineStr">
        <is>
          <t>G08160</t>
        </is>
      </c>
      <c r="B695" s="8" t="inlineStr">
        <is>
          <t>ИП Жумабекова Б. Н.</t>
        </is>
      </c>
      <c r="C695" s="8" t="inlineStr">
        <is>
          <t>2459529978</t>
        </is>
      </c>
      <c r="D695" s="8" t="inlineStr">
        <is>
          <t>Сумма не сходится</t>
        </is>
      </c>
      <c r="E695" s="8" t="inlineStr">
        <is>
          <t>1С</t>
        </is>
      </c>
      <c r="F695" s="8" t="inlineStr">
        <is>
          <t>A</t>
        </is>
      </c>
      <c r="G695" s="14" t="n">
        <v>16736</v>
      </c>
      <c r="H695" s="14" t="n">
        <v>-15899.2</v>
      </c>
      <c r="I695" s="14" t="n">
        <v>15899.2</v>
      </c>
      <c r="J695" s="14" t="n">
        <v>836.7999999999993</v>
      </c>
      <c r="K695" s="21" t="n">
        <v>46058.80270833334</v>
      </c>
      <c r="L695" s="21" t="n">
        <v>46058</v>
      </c>
      <c r="M695" s="8" t="inlineStr"/>
      <c r="N695" s="8" t="inlineStr">
        <is>
          <t>Бухгалтер 1С</t>
        </is>
      </c>
      <c r="O695" s="8" t="inlineStr">
        <is>
          <t>k.dzhumaev</t>
        </is>
      </c>
      <c r="P695" s="12" t="inlineStr">
        <is>
          <t>Реестр (15,899.20) совпадает с ETM (15,899.20), а в 1С 16,736.00: неверная сумма в 1С</t>
        </is>
      </c>
      <c r="Q695" s="8" t="inlineStr">
        <is>
          <t>57074938</t>
        </is>
      </c>
    </row>
    <row r="696">
      <c r="A696" s="8" t="inlineStr">
        <is>
          <t>G10167</t>
        </is>
      </c>
      <c r="B696" s="8" t="inlineStr">
        <is>
          <t>Манас Вояж</t>
        </is>
      </c>
      <c r="C696" s="8" t="inlineStr">
        <is>
          <t>2559100663|2559100665|2559100668</t>
        </is>
      </c>
      <c r="D696" s="8" t="inlineStr">
        <is>
          <t>Сумма не сходится</t>
        </is>
      </c>
      <c r="E696" s="8" t="inlineStr">
        <is>
          <t>Бот ETM</t>
        </is>
      </c>
      <c r="F696" s="8" t="inlineStr">
        <is>
          <t>A</t>
        </is>
      </c>
      <c r="G696" s="14" t="n">
        <v>103426.44</v>
      </c>
      <c r="H696" s="14" t="n">
        <v>-104248.23</v>
      </c>
      <c r="I696" s="14" t="n">
        <v>103426.44</v>
      </c>
      <c r="J696" s="14" t="n">
        <v>-821.7900000000081</v>
      </c>
      <c r="K696" s="21" t="n">
        <v>46107.3506712963</v>
      </c>
      <c r="L696" s="21" t="n">
        <v>46105</v>
      </c>
      <c r="M696" s="8" t="inlineStr"/>
      <c r="N696" s="8" t="inlineStr">
        <is>
          <t>Разработчик/поддержка бота ETM</t>
        </is>
      </c>
      <c r="O696" s="8" t="inlineStr">
        <is>
          <t>e.satarov</t>
        </is>
      </c>
      <c r="P696" s="12" t="inlineStr">
        <is>
          <t>Реестр (103,426.44) совпадает с 1С (103,426.44), а в ETM 104,248.23: бот перенёс неверную сумму</t>
        </is>
      </c>
      <c r="Q696" s="8" t="inlineStr">
        <is>
          <t>57168499,57168558,57168529</t>
        </is>
      </c>
    </row>
    <row r="697">
      <c r="A697" s="8" t="inlineStr">
        <is>
          <t>G00971</t>
        </is>
      </c>
      <c r="B697" s="8" t="inlineStr">
        <is>
          <t>Jailoo Trip</t>
        </is>
      </c>
      <c r="C697" s="8" t="inlineStr">
        <is>
          <t>2420846744|2420846747|2420846750</t>
        </is>
      </c>
      <c r="D697" s="8" t="inlineStr">
        <is>
          <t>Сумма не сходится</t>
        </is>
      </c>
      <c r="E697" s="8" t="inlineStr">
        <is>
          <t>Бот ETM</t>
        </is>
      </c>
      <c r="F697" s="8" t="inlineStr">
        <is>
          <t>A</t>
        </is>
      </c>
      <c r="G697" s="14" t="n">
        <v>64339.02</v>
      </c>
      <c r="H697" s="14" t="n">
        <v>-63594.27</v>
      </c>
      <c r="I697" s="14" t="n">
        <v>64339.02900000001</v>
      </c>
      <c r="J697" s="14" t="n">
        <v>744.75</v>
      </c>
      <c r="K697" s="21" t="n">
        <v>46024.79232638889</v>
      </c>
      <c r="L697" s="21" t="n">
        <v>46023</v>
      </c>
      <c r="M697" s="8" t="inlineStr"/>
      <c r="N697" s="8" t="inlineStr">
        <is>
          <t>Разработчик/поддержка бота ETM</t>
        </is>
      </c>
      <c r="O697" s="8" t="inlineStr">
        <is>
          <t>r.sydykov</t>
        </is>
      </c>
      <c r="P697" s="12" t="inlineStr">
        <is>
          <t>Реестр (64,339.03) совпадает с 1С (64,339.02), а в ETM 63,594.27: бот перенёс неверную сумму</t>
        </is>
      </c>
      <c r="Q697" s="8" t="inlineStr">
        <is>
          <t>57001738</t>
        </is>
      </c>
    </row>
    <row r="698">
      <c r="A698" s="8" t="inlineStr">
        <is>
          <t>G11118</t>
        </is>
      </c>
      <c r="B698" s="8" t="inlineStr">
        <is>
          <t>ОсОО Ала-Тоо Эйр</t>
        </is>
      </c>
      <c r="C698" s="8" t="inlineStr">
        <is>
          <t>2461885977</t>
        </is>
      </c>
      <c r="D698" s="8" t="inlineStr">
        <is>
          <t>Сумма не сходится</t>
        </is>
      </c>
      <c r="E698" s="8" t="inlineStr">
        <is>
          <t>Бот ETM</t>
        </is>
      </c>
      <c r="F698" s="8" t="inlineStr">
        <is>
          <t>A</t>
        </is>
      </c>
      <c r="G698" s="14" t="n">
        <v>13663</v>
      </c>
      <c r="H698" s="14" t="n">
        <v>-14346.15</v>
      </c>
      <c r="I698" s="14" t="n">
        <v>13663</v>
      </c>
      <c r="J698" s="14" t="n">
        <v>-683.1499999999996</v>
      </c>
      <c r="K698" s="21" t="n">
        <v>46092.57780092592</v>
      </c>
      <c r="L698" s="21" t="n">
        <v>46092</v>
      </c>
      <c r="M698" s="8" t="inlineStr"/>
      <c r="N698" s="8" t="inlineStr">
        <is>
          <t>Разработчик/поддержка бота ETM</t>
        </is>
      </c>
      <c r="O698" s="8" t="inlineStr">
        <is>
          <t>n.abdyldaeva</t>
        </is>
      </c>
      <c r="P698" s="12" t="inlineStr">
        <is>
          <t>Реестр (13,663.00) совпадает с 1С (13,663.00), а в ETM 14,346.15: бот перенёс неверную сумму</t>
        </is>
      </c>
      <c r="Q698" s="8" t="inlineStr">
        <is>
          <t>57141181</t>
        </is>
      </c>
    </row>
    <row r="699">
      <c r="A699" s="8" t="inlineStr">
        <is>
          <t>G15353</t>
        </is>
      </c>
      <c r="B699" s="8" t="inlineStr">
        <is>
          <t>Эсенбеков Кубат Элдияревич</t>
        </is>
      </c>
      <c r="C699" s="8" t="inlineStr">
        <is>
          <t>2416944704|2416944705|2416944708|2416944711</t>
        </is>
      </c>
      <c r="D699" s="8" t="inlineStr">
        <is>
          <t>Сумма не сходится</t>
        </is>
      </c>
      <c r="E699" s="8" t="inlineStr">
        <is>
          <t>Бот ETM</t>
        </is>
      </c>
      <c r="F699" s="8" t="inlineStr">
        <is>
          <t>A</t>
        </is>
      </c>
      <c r="G699" s="14" t="n">
        <v>122552.04</v>
      </c>
      <c r="H699" s="14" t="n">
        <v>-121925.56</v>
      </c>
      <c r="I699" s="14" t="n">
        <v>122552.06</v>
      </c>
      <c r="J699" s="14" t="n">
        <v>626.4799999999959</v>
      </c>
      <c r="K699" s="21" t="n">
        <v>46078.36084490741</v>
      </c>
      <c r="L699" s="21" t="n">
        <v>46076</v>
      </c>
      <c r="M699" s="8" t="inlineStr"/>
      <c r="N699" s="8" t="inlineStr">
        <is>
          <t>Разработчик/поддержка бота ETM</t>
        </is>
      </c>
      <c r="O699" s="8" t="inlineStr">
        <is>
          <t>b.isakov</t>
        </is>
      </c>
      <c r="P699" s="12" t="inlineStr">
        <is>
          <t>Реестр (122,552.06) совпадает с 1С (122,552.04), а в ETM 121,925.56: бот перенёс неверную сумму</t>
        </is>
      </c>
      <c r="Q699" s="8" t="inlineStr">
        <is>
          <t>57105339,57105323,57105355,57105391</t>
        </is>
      </c>
    </row>
    <row r="700">
      <c r="A700" s="8" t="inlineStr">
        <is>
          <t>G08164</t>
        </is>
      </c>
      <c r="B700" s="8" t="inlineStr">
        <is>
          <t>ИП Жумабекова Б. Н.</t>
        </is>
      </c>
      <c r="C700" s="8" t="inlineStr">
        <is>
          <t>2459532175</t>
        </is>
      </c>
      <c r="D700" s="8" t="inlineStr">
        <is>
          <t>Сумма не сходится</t>
        </is>
      </c>
      <c r="E700" s="8" t="inlineStr">
        <is>
          <t>1С</t>
        </is>
      </c>
      <c r="F700" s="8" t="inlineStr">
        <is>
          <t>A</t>
        </is>
      </c>
      <c r="G700" s="14" t="n">
        <v>11624</v>
      </c>
      <c r="H700" s="14" t="n">
        <v>-11042.8</v>
      </c>
      <c r="I700" s="14" t="n">
        <v>11042.8</v>
      </c>
      <c r="J700" s="14" t="n">
        <v>581.2000000000007</v>
      </c>
      <c r="K700" s="21" t="n">
        <v>46023.82143518519</v>
      </c>
      <c r="L700" s="21" t="n">
        <v>46023</v>
      </c>
      <c r="M700" s="8" t="inlineStr"/>
      <c r="N700" s="8" t="inlineStr">
        <is>
          <t>Бухгалтер 1С</t>
        </is>
      </c>
      <c r="O700" s="8" t="inlineStr">
        <is>
          <t>d.mambetova</t>
        </is>
      </c>
      <c r="P700" s="12" t="inlineStr">
        <is>
          <t>Реестр (11,042.80) совпадает с ETM (11,042.80), а в 1С 11,624.00: неверная сумма в 1С</t>
        </is>
      </c>
      <c r="Q700" s="8" t="inlineStr">
        <is>
          <t>57002277</t>
        </is>
      </c>
    </row>
    <row r="701">
      <c r="A701" s="8" t="inlineStr">
        <is>
          <t>G11122</t>
        </is>
      </c>
      <c r="B701" s="8" t="inlineStr">
        <is>
          <t>ОсОО Ала-Тоо Эйр</t>
        </is>
      </c>
      <c r="C701" s="8" t="inlineStr">
        <is>
          <t>2476316367|2476316370|2476316372</t>
        </is>
      </c>
      <c r="D701" s="8" t="inlineStr">
        <is>
          <t>Сумма не сходится</t>
        </is>
      </c>
      <c r="E701" s="8" t="inlineStr">
        <is>
          <t>Бот ETM</t>
        </is>
      </c>
      <c r="F701" s="8" t="inlineStr">
        <is>
          <t>A</t>
        </is>
      </c>
      <c r="G701" s="14" t="n">
        <v>57768.36</v>
      </c>
      <c r="H701" s="14" t="n">
        <v>-57216.24000000001</v>
      </c>
      <c r="I701" s="14" t="n">
        <v>57768.36</v>
      </c>
      <c r="J701" s="14" t="n">
        <v>552.1199999999953</v>
      </c>
      <c r="K701" s="21" t="n">
        <v>46202.57180555556</v>
      </c>
      <c r="L701" s="21" t="n">
        <v>46201</v>
      </c>
      <c r="M701" s="8" t="inlineStr"/>
      <c r="N701" s="8" t="inlineStr">
        <is>
          <t>Разработчик/поддержка бота ETM</t>
        </is>
      </c>
      <c r="O701" s="8" t="inlineStr">
        <is>
          <t>d.mambetova</t>
        </is>
      </c>
      <c r="P701" s="12" t="inlineStr">
        <is>
          <t>Реестр (57,768.36) совпадает с 1С (57,768.36), а в ETM 57,216.24: бот перенёс неверную сумму</t>
        </is>
      </c>
      <c r="Q701" s="8" t="inlineStr">
        <is>
          <t>57408675,57408672,57408669</t>
        </is>
      </c>
    </row>
    <row r="702">
      <c r="A702" s="8" t="inlineStr">
        <is>
          <t>G11418</t>
        </is>
      </c>
      <c r="B702" s="8" t="inlineStr">
        <is>
          <t>ОсОО Иссык Тур</t>
        </is>
      </c>
      <c r="C702" s="8" t="inlineStr">
        <is>
          <t>2476315681|2476315682|2476315683</t>
        </is>
      </c>
      <c r="D702" s="8" t="inlineStr">
        <is>
          <t>Сумма не сходится</t>
        </is>
      </c>
      <c r="E702" s="8" t="inlineStr">
        <is>
          <t>Бот ETM</t>
        </is>
      </c>
      <c r="F702" s="8" t="inlineStr">
        <is>
          <t>A</t>
        </is>
      </c>
      <c r="G702" s="14" t="n">
        <v>57164.22</v>
      </c>
      <c r="H702" s="14" t="n">
        <v>-56622</v>
      </c>
      <c r="I702" s="14" t="n">
        <v>57164.22</v>
      </c>
      <c r="J702" s="14" t="n">
        <v>542.2200000000012</v>
      </c>
      <c r="K702" s="21" t="n">
        <v>46047.50304398148</v>
      </c>
      <c r="L702" s="21" t="n">
        <v>46046</v>
      </c>
      <c r="M702" s="8" t="inlineStr"/>
      <c r="N702" s="8" t="inlineStr">
        <is>
          <t>Разработчик/поддержка бота ETM</t>
        </is>
      </c>
      <c r="O702" s="8" t="inlineStr">
        <is>
          <t>k.dzhumaev</t>
        </is>
      </c>
      <c r="P702" s="12" t="inlineStr">
        <is>
          <t>Реестр (57,164.22) совпадает с 1С (57,164.22), а в ETM 56,622.00: бот перенёс неверную сумму</t>
        </is>
      </c>
      <c r="Q702" s="8" t="inlineStr">
        <is>
          <t>57049529,57049537,57049517</t>
        </is>
      </c>
    </row>
    <row r="703">
      <c r="A703" s="8" t="inlineStr">
        <is>
          <t>G05236</t>
        </is>
      </c>
      <c r="B703" s="8" t="inlineStr">
        <is>
          <t>Ак-Куу Авиа</t>
        </is>
      </c>
      <c r="C703" s="8" t="inlineStr">
        <is>
          <t>2476318421|2476318424|2476318427</t>
        </is>
      </c>
      <c r="D703" s="8" t="inlineStr">
        <is>
          <t>Сумма не сходится</t>
        </is>
      </c>
      <c r="E703" s="8" t="inlineStr">
        <is>
          <t>Бот ETM</t>
        </is>
      </c>
      <c r="F703" s="8" t="inlineStr">
        <is>
          <t>A</t>
        </is>
      </c>
      <c r="G703" s="14" t="n">
        <v>56726.88</v>
      </c>
      <c r="H703" s="14" t="n">
        <v>-57268.31999999999</v>
      </c>
      <c r="I703" s="14" t="n">
        <v>56726.88</v>
      </c>
      <c r="J703" s="14" t="n">
        <v>-541.4399999999951</v>
      </c>
      <c r="K703" s="21" t="n">
        <v>46195.50496527777</v>
      </c>
      <c r="L703" s="21" t="n">
        <v>46194</v>
      </c>
      <c r="M703" s="8" t="inlineStr"/>
      <c r="N703" s="8" t="inlineStr">
        <is>
          <t>Разработчик/поддержка бота ETM</t>
        </is>
      </c>
      <c r="O703" s="8" t="inlineStr">
        <is>
          <t>n.abdyldaeva</t>
        </is>
      </c>
      <c r="P703" s="12" t="inlineStr">
        <is>
          <t>Реестр (56,726.88) совпадает с 1С (56,726.88), а в ETM 57,268.32: бот перенёс неверную сумму</t>
        </is>
      </c>
      <c r="Q703" s="8" t="inlineStr">
        <is>
          <t>57387443,57387425,57387387</t>
        </is>
      </c>
    </row>
    <row r="704">
      <c r="A704" s="8" t="inlineStr">
        <is>
          <t>G03079</t>
        </is>
      </c>
      <c r="B704" s="8" t="inlineStr">
        <is>
          <t>SkyWay Travel</t>
        </is>
      </c>
      <c r="C704" s="8" t="inlineStr">
        <is>
          <t>2461883549</t>
        </is>
      </c>
      <c r="D704" s="8" t="inlineStr">
        <is>
          <t>Сумма не сходится</t>
        </is>
      </c>
      <c r="E704" s="8" t="inlineStr">
        <is>
          <t>1С</t>
        </is>
      </c>
      <c r="F704" s="8" t="inlineStr">
        <is>
          <t>A</t>
        </is>
      </c>
      <c r="G704" s="14" t="n">
        <v>12604</v>
      </c>
      <c r="H704" s="14" t="n">
        <v>-12064</v>
      </c>
      <c r="I704" s="14" t="n">
        <v>12064</v>
      </c>
      <c r="J704" s="14" t="n">
        <v>540</v>
      </c>
      <c r="K704" s="21" t="n">
        <v>46123.44953703704</v>
      </c>
      <c r="L704" s="21" t="n">
        <v>46123</v>
      </c>
      <c r="M704" s="8" t="inlineStr">
        <is>
          <t>TRANSPOSITION</t>
        </is>
      </c>
      <c r="N704" s="8" t="inlineStr">
        <is>
          <t>Бухгалтер 1С</t>
        </is>
      </c>
      <c r="O704" s="8" t="inlineStr">
        <is>
          <t>k.dzhumaev</t>
        </is>
      </c>
      <c r="P704" s="12" t="inlineStr">
        <is>
          <t>Реестр (12,064.00) совпадает с ETM (12,064.00), а в 1С 12,604.00: неверная сумма в 1С</t>
        </is>
      </c>
      <c r="Q704" s="8" t="inlineStr">
        <is>
          <t>57202532</t>
        </is>
      </c>
    </row>
    <row r="705">
      <c r="A705" s="8" t="inlineStr">
        <is>
          <t>G10249</t>
        </is>
      </c>
      <c r="B705" s="8" t="inlineStr">
        <is>
          <t>Манас Тревел</t>
        </is>
      </c>
      <c r="C705" s="8" t="inlineStr">
        <is>
          <t>2420847384</t>
        </is>
      </c>
      <c r="D705" s="8" t="inlineStr">
        <is>
          <t>Сумма не сходится</t>
        </is>
      </c>
      <c r="E705" s="8" t="inlineStr">
        <is>
          <t>Бот ETM</t>
        </is>
      </c>
      <c r="F705" s="8" t="inlineStr">
        <is>
          <t>A</t>
        </is>
      </c>
      <c r="G705" s="14" t="n">
        <v>20712.26</v>
      </c>
      <c r="H705" s="14" t="n">
        <v>-20172.26</v>
      </c>
      <c r="I705" s="14" t="n">
        <v>20712.2574</v>
      </c>
      <c r="J705" s="14" t="n">
        <v>540</v>
      </c>
      <c r="K705" s="21" t="n">
        <v>46041.59554398148</v>
      </c>
      <c r="L705" s="21" t="n">
        <v>46041</v>
      </c>
      <c r="M705" s="8" t="inlineStr">
        <is>
          <t>TRANSPOSITION</t>
        </is>
      </c>
      <c r="N705" s="8" t="inlineStr">
        <is>
          <t>Разработчик/поддержка бота ETM</t>
        </is>
      </c>
      <c r="O705" s="8" t="inlineStr">
        <is>
          <t>k.dzhumaev</t>
        </is>
      </c>
      <c r="P705" s="12" t="inlineStr">
        <is>
          <t>Реестр (20,712.26) совпадает с 1С (20,712.26), а в ETM 20,172.26: бот перенёс неверную сумму</t>
        </is>
      </c>
      <c r="Q705" s="8" t="inlineStr">
        <is>
          <t>57039374</t>
        </is>
      </c>
    </row>
    <row r="706">
      <c r="A706" s="8" t="inlineStr">
        <is>
          <t>G03361</t>
        </is>
      </c>
      <c r="B706" s="8" t="inlineStr">
        <is>
          <t>SkyWay Travel</t>
        </is>
      </c>
      <c r="C706" s="8" t="inlineStr">
        <is>
          <t>2476319973|2476319974|2476319976</t>
        </is>
      </c>
      <c r="D706" s="8" t="inlineStr">
        <is>
          <t>Сумма не сходится</t>
        </is>
      </c>
      <c r="E706" s="8" t="inlineStr">
        <is>
          <t>Бот ETM</t>
        </is>
      </c>
      <c r="F706" s="8" t="inlineStr">
        <is>
          <t>A</t>
        </is>
      </c>
      <c r="G706" s="14" t="n">
        <v>57418.8</v>
      </c>
      <c r="H706" s="14" t="n">
        <v>-57957.60000000001</v>
      </c>
      <c r="I706" s="14" t="n">
        <v>57418.8</v>
      </c>
      <c r="J706" s="14" t="n">
        <v>-538.8000000000029</v>
      </c>
      <c r="K706" s="21" t="n">
        <v>46172.62738425926</v>
      </c>
      <c r="L706" s="21" t="n">
        <v>46170</v>
      </c>
      <c r="M706" s="8" t="inlineStr"/>
      <c r="N706" s="8" t="inlineStr">
        <is>
          <t>Разработчик/поддержка бота ETM</t>
        </is>
      </c>
      <c r="O706" s="8" t="inlineStr">
        <is>
          <t>b.isakov</t>
        </is>
      </c>
      <c r="P706" s="12" t="inlineStr">
        <is>
          <t>Реестр (57,418.80) совпадает с 1С (57,418.80), а в ETM 57,957.60: бот перенёс неверную сумму</t>
        </is>
      </c>
      <c r="Q706" s="8" t="inlineStr">
        <is>
          <t>57324916,57324940,57324907</t>
        </is>
      </c>
    </row>
    <row r="707">
      <c r="A707" s="8" t="inlineStr">
        <is>
          <t>G07109</t>
        </is>
      </c>
      <c r="B707" s="8" t="inlineStr">
        <is>
          <t>Жибек Вояж</t>
        </is>
      </c>
      <c r="C707" s="8" t="inlineStr">
        <is>
          <t>2476316464|2476316467</t>
        </is>
      </c>
      <c r="D707" s="8" t="inlineStr">
        <is>
          <t>Сумма не сходится</t>
        </is>
      </c>
      <c r="E707" s="8" t="inlineStr">
        <is>
          <t>Бот ETM</t>
        </is>
      </c>
      <c r="F707" s="8" t="inlineStr">
        <is>
          <t>A</t>
        </is>
      </c>
      <c r="G707" s="14" t="n">
        <v>54933.12</v>
      </c>
      <c r="H707" s="14" t="n">
        <v>-54394.56</v>
      </c>
      <c r="I707" s="14" t="n">
        <v>54933.12</v>
      </c>
      <c r="J707" s="14" t="n">
        <v>538.5600000000049</v>
      </c>
      <c r="K707" s="21" t="n">
        <v>46158.36179398148</v>
      </c>
      <c r="L707" s="21" t="n">
        <v>46157</v>
      </c>
      <c r="M707" s="8" t="inlineStr"/>
      <c r="N707" s="8" t="inlineStr">
        <is>
          <t>Разработчик/поддержка бота ETM</t>
        </is>
      </c>
      <c r="O707" s="8" t="inlineStr">
        <is>
          <t>g.omurbekova</t>
        </is>
      </c>
      <c r="P707" s="12" t="inlineStr">
        <is>
          <t>Реестр (54,933.12) совпадает с 1С (54,933.12), а в ETM 54,394.56: бот перенёс неверную сумму</t>
        </is>
      </c>
      <c r="Q707" s="8" t="inlineStr">
        <is>
          <t>57286580,57286602</t>
        </is>
      </c>
    </row>
    <row r="708">
      <c r="A708" s="8" t="inlineStr">
        <is>
          <t>G14548</t>
        </is>
      </c>
      <c r="B708" s="8" t="inlineStr">
        <is>
          <t>Чынар уулу Эмир</t>
        </is>
      </c>
      <c r="C708" s="8" t="inlineStr">
        <is>
          <t>2476317747|2476317748</t>
        </is>
      </c>
      <c r="D708" s="8" t="inlineStr">
        <is>
          <t>Сумма не сходится</t>
        </is>
      </c>
      <c r="E708" s="8" t="inlineStr">
        <is>
          <t>Бот ETM</t>
        </is>
      </c>
      <c r="F708" s="8" t="inlineStr">
        <is>
          <t>A</t>
        </is>
      </c>
      <c r="G708" s="14" t="n">
        <v>54297.6</v>
      </c>
      <c r="H708" s="14" t="n">
        <v>-54835.2</v>
      </c>
      <c r="I708" s="14" t="n">
        <v>54297.6</v>
      </c>
      <c r="J708" s="14" t="n">
        <v>-537.5999999999985</v>
      </c>
      <c r="K708" s="21" t="n">
        <v>46153.65846064815</v>
      </c>
      <c r="L708" s="21" t="n">
        <v>46152</v>
      </c>
      <c r="M708" s="8" t="inlineStr"/>
      <c r="N708" s="8" t="inlineStr">
        <is>
          <t>Разработчик/поддержка бота ETM</t>
        </is>
      </c>
      <c r="O708" s="8" t="inlineStr">
        <is>
          <t>e.satarov</t>
        </is>
      </c>
      <c r="P708" s="12" t="inlineStr">
        <is>
          <t>Реестр (54,297.60) совпадает с 1С (54,297.60), а в ETM 54,835.20: бот перенёс неверную сумму</t>
        </is>
      </c>
      <c r="Q708" s="8" t="inlineStr">
        <is>
          <t>57269992</t>
        </is>
      </c>
    </row>
    <row r="709">
      <c r="A709" s="8" t="inlineStr">
        <is>
          <t>G03527</t>
        </is>
      </c>
      <c r="B709" s="8" t="inlineStr">
        <is>
          <t>SkyWay Travel</t>
        </is>
      </c>
      <c r="C709" s="8" t="inlineStr">
        <is>
          <t>2552671470|2552671473|2552671474|2552671477</t>
        </is>
      </c>
      <c r="D709" s="8" t="inlineStr">
        <is>
          <t>Сумма не сходится</t>
        </is>
      </c>
      <c r="E709" s="8" t="inlineStr">
        <is>
          <t>Бот ETM</t>
        </is>
      </c>
      <c r="F709" s="8" t="inlineStr">
        <is>
          <t>A</t>
        </is>
      </c>
      <c r="G709" s="14" t="n">
        <v>102844.76</v>
      </c>
      <c r="H709" s="14" t="n">
        <v>-103370.52</v>
      </c>
      <c r="I709" s="14" t="n">
        <v>102844.76</v>
      </c>
      <c r="J709" s="14" t="n">
        <v>-525.7600000000093</v>
      </c>
      <c r="K709" s="21" t="n">
        <v>46116.47086805556</v>
      </c>
      <c r="L709" s="21" t="n">
        <v>46115</v>
      </c>
      <c r="M709" s="8" t="inlineStr"/>
      <c r="N709" s="8" t="inlineStr">
        <is>
          <t>Разработчик/поддержка бота ETM</t>
        </is>
      </c>
      <c r="O709" s="8" t="inlineStr">
        <is>
          <t>b.isakov</t>
        </is>
      </c>
      <c r="P709" s="12" t="inlineStr">
        <is>
          <t>Реестр (102,844.76) совпадает с 1С (102,844.76), а в ETM 103,370.52: бот перенёс неверную сумму</t>
        </is>
      </c>
      <c r="Q709" s="8" t="inlineStr">
        <is>
          <t>57188727</t>
        </is>
      </c>
    </row>
    <row r="710">
      <c r="A710" s="8" t="inlineStr">
        <is>
          <t>G10026</t>
        </is>
      </c>
      <c r="B710" s="8" t="inlineStr">
        <is>
          <t>Мамбет уулу Чынгыз</t>
        </is>
      </c>
      <c r="C710" s="8" t="inlineStr">
        <is>
          <t>2420847922|2420847925</t>
        </is>
      </c>
      <c r="D710" s="8" t="inlineStr">
        <is>
          <t>Сумма не сходится</t>
        </is>
      </c>
      <c r="E710" s="8" t="inlineStr">
        <is>
          <t>Бот ETM</t>
        </is>
      </c>
      <c r="F710" s="8" t="inlineStr">
        <is>
          <t>A</t>
        </is>
      </c>
      <c r="G710" s="14" t="n">
        <v>57079.8</v>
      </c>
      <c r="H710" s="14" t="n">
        <v>-56555.06</v>
      </c>
      <c r="I710" s="14" t="n">
        <v>57079.792</v>
      </c>
      <c r="J710" s="14" t="n">
        <v>524.7400000000052</v>
      </c>
      <c r="K710" s="21" t="n">
        <v>46025.76631944445</v>
      </c>
      <c r="L710" s="21" t="n">
        <v>46023</v>
      </c>
      <c r="M710" s="8" t="inlineStr"/>
      <c r="N710" s="8" t="inlineStr">
        <is>
          <t>Разработчик/поддержка бота ETM</t>
        </is>
      </c>
      <c r="O710" s="8" t="inlineStr">
        <is>
          <t>r.sydykov</t>
        </is>
      </c>
      <c r="P710" s="12" t="inlineStr">
        <is>
          <t>Реестр (57,079.79) совпадает с 1С (57,079.80), а в ETM 56,555.06: бот перенёс неверную сумму</t>
        </is>
      </c>
      <c r="Q710" s="8" t="inlineStr">
        <is>
          <t>57001855</t>
        </is>
      </c>
    </row>
    <row r="711">
      <c r="A711" s="8" t="inlineStr">
        <is>
          <t>G13927</t>
        </is>
      </c>
      <c r="B711" s="8" t="inlineStr">
        <is>
          <t>ТЯНЬ-ШАНЬ ЭКСПРЕСС</t>
        </is>
      </c>
      <c r="C711" s="8" t="inlineStr">
        <is>
          <t>2460734823</t>
        </is>
      </c>
      <c r="D711" s="8" t="inlineStr">
        <is>
          <t>Сумма не сходится</t>
        </is>
      </c>
      <c r="E711" s="8" t="inlineStr">
        <is>
          <t>1С</t>
        </is>
      </c>
      <c r="F711" s="8" t="inlineStr">
        <is>
          <t>A</t>
        </is>
      </c>
      <c r="G711" s="14" t="n">
        <v>10118</v>
      </c>
      <c r="H711" s="14" t="n">
        <v>-10623.9</v>
      </c>
      <c r="I711" s="14" t="n">
        <v>10623.9</v>
      </c>
      <c r="J711" s="14" t="n">
        <v>-505.8999999999996</v>
      </c>
      <c r="K711" s="21" t="n">
        <v>46200.55723379629</v>
      </c>
      <c r="L711" s="21" t="n">
        <v>46200</v>
      </c>
      <c r="M711" s="8" t="inlineStr"/>
      <c r="N711" s="8" t="inlineStr">
        <is>
          <t>Бухгалтер 1С</t>
        </is>
      </c>
      <c r="O711" s="8" t="inlineStr">
        <is>
          <t>r.sydykov</t>
        </is>
      </c>
      <c r="P711" s="12" t="inlineStr">
        <is>
          <t>Реестр (10,623.90) совпадает с ETM (10,623.90), а в 1С 10,118.00: неверная сумма в 1С</t>
        </is>
      </c>
      <c r="Q711" s="8" t="inlineStr">
        <is>
          <t>57405564</t>
        </is>
      </c>
    </row>
    <row r="712">
      <c r="A712" s="8" t="inlineStr">
        <is>
          <t>G07069</t>
        </is>
      </c>
      <c r="B712" s="8" t="inlineStr">
        <is>
          <t>Жибек Вояж</t>
        </is>
      </c>
      <c r="C712" s="8" t="inlineStr">
        <is>
          <t>2416941208</t>
        </is>
      </c>
      <c r="D712" s="8" t="inlineStr">
        <is>
          <t>Сумма не сходится</t>
        </is>
      </c>
      <c r="E712" s="8" t="inlineStr">
        <is>
          <t>Бот ETM</t>
        </is>
      </c>
      <c r="F712" s="8" t="inlineStr">
        <is>
          <t>A</t>
        </is>
      </c>
      <c r="G712" s="14" t="n">
        <v>43737.3</v>
      </c>
      <c r="H712" s="14" t="n">
        <v>-43281.39</v>
      </c>
      <c r="I712" s="14" t="n">
        <v>43737.3</v>
      </c>
      <c r="J712" s="14" t="n">
        <v>455.9100000000035</v>
      </c>
      <c r="K712" s="21" t="n">
        <v>46040.79744212963</v>
      </c>
      <c r="L712" s="21" t="n">
        <v>46038</v>
      </c>
      <c r="M712" s="8" t="inlineStr"/>
      <c r="N712" s="8" t="inlineStr">
        <is>
          <t>Разработчик/поддержка бота ETM</t>
        </is>
      </c>
      <c r="O712" s="8" t="inlineStr">
        <is>
          <t>g.omurbekova</t>
        </is>
      </c>
      <c r="P712" s="12" t="inlineStr">
        <is>
          <t>Реестр (43,737.30) совпадает с 1С (43,737.30), а в ETM 43,281.39: бот перенёс неверную сумму</t>
        </is>
      </c>
      <c r="Q712" s="8" t="inlineStr">
        <is>
          <t>57031309</t>
        </is>
      </c>
    </row>
    <row r="713">
      <c r="A713" s="8" t="inlineStr">
        <is>
          <t>G09180</t>
        </is>
      </c>
      <c r="B713" s="8" t="inlineStr">
        <is>
          <t>ИССЫК ТРИП</t>
        </is>
      </c>
      <c r="C713" s="8" t="inlineStr">
        <is>
          <t>2476313952|2476313953|2476313954</t>
        </is>
      </c>
      <c r="D713" s="8" t="inlineStr">
        <is>
          <t>Сумма не сходится</t>
        </is>
      </c>
      <c r="E713" s="8" t="inlineStr">
        <is>
          <t>Бот ETM</t>
        </is>
      </c>
      <c r="F713" s="8" t="inlineStr">
        <is>
          <t>A</t>
        </is>
      </c>
      <c r="G713" s="14" t="n">
        <v>46500</v>
      </c>
      <c r="H713" s="14" t="n">
        <v>-46050</v>
      </c>
      <c r="I713" s="14" t="n">
        <v>46500</v>
      </c>
      <c r="J713" s="14" t="n">
        <v>450</v>
      </c>
      <c r="K713" s="21" t="n">
        <v>46090.73328703704</v>
      </c>
      <c r="L713" s="21" t="n">
        <v>46089</v>
      </c>
      <c r="M713" s="8" t="inlineStr">
        <is>
          <t>TRANSPOSITION</t>
        </is>
      </c>
      <c r="N713" s="8" t="inlineStr">
        <is>
          <t>Разработчик/поддержка бота ETM</t>
        </is>
      </c>
      <c r="O713" s="8" t="inlineStr">
        <is>
          <t>a.toktosunova</t>
        </is>
      </c>
      <c r="P713" s="12" t="inlineStr">
        <is>
          <t>Реестр (46,500.00) совпадает с 1С (46,500.00), а в ETM 46,050.00: бот перенёс неверную сумму</t>
        </is>
      </c>
      <c r="Q713" s="8" t="inlineStr">
        <is>
          <t>57131375</t>
        </is>
      </c>
    </row>
    <row r="714">
      <c r="A714" s="8" t="inlineStr">
        <is>
          <t>G10541</t>
        </is>
      </c>
      <c r="B714" s="8" t="inlineStr">
        <is>
          <t>Манас Тур</t>
        </is>
      </c>
      <c r="C714" s="8" t="inlineStr">
        <is>
          <t>2459529762</t>
        </is>
      </c>
      <c r="D714" s="8" t="inlineStr">
        <is>
          <t>Сумма не сходится</t>
        </is>
      </c>
      <c r="E714" s="8" t="inlineStr">
        <is>
          <t>1С</t>
        </is>
      </c>
      <c r="F714" s="8" t="inlineStr">
        <is>
          <t>A</t>
        </is>
      </c>
      <c r="G714" s="14" t="n">
        <v>2654.25</v>
      </c>
      <c r="H714" s="14" t="n">
        <v>-2204.25</v>
      </c>
      <c r="I714" s="14" t="n">
        <v>2204.25</v>
      </c>
      <c r="J714" s="14" t="n">
        <v>450</v>
      </c>
      <c r="K714" s="21" t="n">
        <v>46168.66203703704</v>
      </c>
      <c r="L714" s="21" t="n">
        <v>46168</v>
      </c>
      <c r="M714" s="8" t="inlineStr"/>
      <c r="N714" s="8" t="inlineStr">
        <is>
          <t>Бухгалтер 1С</t>
        </is>
      </c>
      <c r="O714" s="8" t="inlineStr">
        <is>
          <t>b.isakov|n.abdyldaeva</t>
        </is>
      </c>
      <c r="P714" s="12" t="inlineStr">
        <is>
          <t>Реестр (2,204.25) совпадает с ETM (2,204.25), а в 1С 2,654.25: неверная сумма в 1С</t>
        </is>
      </c>
      <c r="Q714" s="8" t="inlineStr">
        <is>
          <t>57318604,57407690</t>
        </is>
      </c>
    </row>
    <row r="715">
      <c r="A715" s="8" t="inlineStr">
        <is>
          <t>G06392</t>
        </is>
      </c>
      <c r="B715" s="8" t="inlineStr">
        <is>
          <t>Джолдош уулу Эмир</t>
        </is>
      </c>
      <c r="C715" s="8" t="inlineStr">
        <is>
          <t>2416946458|2416946461|2416946462</t>
        </is>
      </c>
      <c r="D715" s="8" t="inlineStr">
        <is>
          <t>Сумма не сходится</t>
        </is>
      </c>
      <c r="E715" s="8" t="inlineStr">
        <is>
          <t>Бот ETM</t>
        </is>
      </c>
      <c r="F715" s="8" t="inlineStr">
        <is>
          <t>A</t>
        </is>
      </c>
      <c r="G715" s="14" t="n">
        <v>85174.98</v>
      </c>
      <c r="H715" s="14" t="n">
        <v>-84731.31</v>
      </c>
      <c r="I715" s="14" t="n">
        <v>85174.995</v>
      </c>
      <c r="J715" s="14" t="n">
        <v>443.6699999999983</v>
      </c>
      <c r="K715" s="21" t="n">
        <v>46164.42726851852</v>
      </c>
      <c r="L715" s="21" t="n">
        <v>46162</v>
      </c>
      <c r="M715" s="8" t="inlineStr"/>
      <c r="N715" s="8" t="inlineStr">
        <is>
          <t>Разработчик/поддержка бота ETM</t>
        </is>
      </c>
      <c r="O715" s="8" t="inlineStr">
        <is>
          <t>g.omurbekova</t>
        </is>
      </c>
      <c r="P715" s="12" t="inlineStr">
        <is>
          <t>Реестр (85,174.99) совпадает с 1С (85,174.98), а в ETM 84,731.31: бот перенёс неверную сумму</t>
        </is>
      </c>
      <c r="Q715" s="8" t="inlineStr">
        <is>
          <t>57302938,57303007,57302973</t>
        </is>
      </c>
    </row>
    <row r="716">
      <c r="A716" s="8" t="inlineStr">
        <is>
          <t>G02132</t>
        </is>
      </c>
      <c r="B716" s="8" t="inlineStr">
        <is>
          <t>Nomad Trip</t>
        </is>
      </c>
      <c r="C716" s="8" t="inlineStr">
        <is>
          <t>2559103883</t>
        </is>
      </c>
      <c r="D716" s="8" t="inlineStr">
        <is>
          <t>Сумма не сходится</t>
        </is>
      </c>
      <c r="E716" s="8" t="inlineStr">
        <is>
          <t>Бот ETM</t>
        </is>
      </c>
      <c r="F716" s="8" t="inlineStr">
        <is>
          <t>A</t>
        </is>
      </c>
      <c r="G716" s="14" t="n">
        <v>59040.61</v>
      </c>
      <c r="H716" s="14" t="n">
        <v>-58615.97</v>
      </c>
      <c r="I716" s="14" t="n">
        <v>59040.605</v>
      </c>
      <c r="J716" s="14" t="n">
        <v>424.6399999999994</v>
      </c>
      <c r="K716" s="21" t="n">
        <v>46173.74753472222</v>
      </c>
      <c r="L716" s="21" t="n">
        <v>46171</v>
      </c>
      <c r="M716" s="8" t="inlineStr"/>
      <c r="N716" s="8" t="inlineStr">
        <is>
          <t>Разработчик/поддержка бота ETM</t>
        </is>
      </c>
      <c r="O716" s="8" t="inlineStr">
        <is>
          <t>e.satarov</t>
        </is>
      </c>
      <c r="P716" s="12" t="inlineStr">
        <is>
          <t>Реестр (59,040.61) совпадает с 1С (59,040.61), а в ETM 58,615.97: бот перенёс неверную сумму</t>
        </is>
      </c>
      <c r="Q716" s="8" t="inlineStr">
        <is>
          <t>57327104</t>
        </is>
      </c>
    </row>
    <row r="717">
      <c r="A717" s="8" t="inlineStr">
        <is>
          <t>G00328</t>
        </is>
      </c>
      <c r="B717" s="8" t="inlineStr">
        <is>
          <t>Blue Bird Travel</t>
        </is>
      </c>
      <c r="C717" s="8" t="inlineStr">
        <is>
          <t>2416944215|2416944216</t>
        </is>
      </c>
      <c r="D717" s="8" t="inlineStr">
        <is>
          <t>Сумма не сходится</t>
        </is>
      </c>
      <c r="E717" s="8" t="inlineStr">
        <is>
          <t>Бот ETM</t>
        </is>
      </c>
      <c r="F717" s="8" t="inlineStr">
        <is>
          <t>A</t>
        </is>
      </c>
      <c r="G717" s="14" t="n">
        <v>70907.39999999999</v>
      </c>
      <c r="H717" s="14" t="n">
        <v>-70510.5</v>
      </c>
      <c r="I717" s="14" t="n">
        <v>70907.40000000001</v>
      </c>
      <c r="J717" s="14" t="n">
        <v>396.8999999999942</v>
      </c>
      <c r="K717" s="21" t="n">
        <v>46063.59545138889</v>
      </c>
      <c r="L717" s="21" t="n">
        <v>46062</v>
      </c>
      <c r="M717" s="8" t="inlineStr"/>
      <c r="N717" s="8" t="inlineStr">
        <is>
          <t>Разработчик/поддержка бота ETM</t>
        </is>
      </c>
      <c r="O717" s="8" t="inlineStr">
        <is>
          <t>k.dzhumaev</t>
        </is>
      </c>
      <c r="P717" s="12" t="inlineStr">
        <is>
          <t>Реестр (70,907.40) совпадает с 1С (70,907.40), а в ETM 70,510.50: бот перенёс неверную сумму</t>
        </is>
      </c>
      <c r="Q717" s="8" t="inlineStr">
        <is>
          <t>57081077,57081056</t>
        </is>
      </c>
    </row>
    <row r="718">
      <c r="A718" s="8" t="inlineStr">
        <is>
          <t>G04899</t>
        </is>
      </c>
      <c r="B718" s="8" t="inlineStr">
        <is>
          <t>Ак-Куу Авиа</t>
        </is>
      </c>
      <c r="C718" s="8" t="inlineStr">
        <is>
          <t>2420848263|2420848266</t>
        </is>
      </c>
      <c r="D718" s="8" t="inlineStr">
        <is>
          <t>Сумма не сходится</t>
        </is>
      </c>
      <c r="E718" s="8" t="inlineStr">
        <is>
          <t>Бот ETM</t>
        </is>
      </c>
      <c r="F718" s="8" t="inlineStr">
        <is>
          <t>A</t>
        </is>
      </c>
      <c r="G718" s="14" t="n">
        <v>44693.18</v>
      </c>
      <c r="H718" s="14" t="n">
        <v>-44317.44</v>
      </c>
      <c r="I718" s="14" t="n">
        <v>44693.1848</v>
      </c>
      <c r="J718" s="14" t="n">
        <v>375.739999999998</v>
      </c>
      <c r="K718" s="21" t="n">
        <v>46180.63961805555</v>
      </c>
      <c r="L718" s="21" t="n">
        <v>46179</v>
      </c>
      <c r="M718" s="8" t="inlineStr"/>
      <c r="N718" s="8" t="inlineStr">
        <is>
          <t>Разработчик/поддержка бота ETM</t>
        </is>
      </c>
      <c r="O718" s="8" t="inlineStr">
        <is>
          <t>n.abdyldaeva</t>
        </is>
      </c>
      <c r="P718" s="12" t="inlineStr">
        <is>
          <t>Реестр (44,693.18) совпадает с 1С (44,693.18), а в ETM 44,317.44: бот перенёс неверную сумму</t>
        </is>
      </c>
      <c r="Q718" s="8" t="inlineStr">
        <is>
          <t>57347631,57347591</t>
        </is>
      </c>
    </row>
    <row r="719">
      <c r="A719" s="8" t="inlineStr">
        <is>
          <t>G11566</t>
        </is>
      </c>
      <c r="B719" s="8" t="inlineStr">
        <is>
          <t>ОсОО Кара-Кол Трип</t>
        </is>
      </c>
      <c r="C719" s="8" t="inlineStr">
        <is>
          <t>2476317129|2476317130</t>
        </is>
      </c>
      <c r="D719" s="8" t="inlineStr">
        <is>
          <t>Сумма не сходится</t>
        </is>
      </c>
      <c r="E719" s="8" t="inlineStr">
        <is>
          <t>Бот ETM</t>
        </is>
      </c>
      <c r="F719" s="8" t="inlineStr">
        <is>
          <t>A</t>
        </is>
      </c>
      <c r="G719" s="14" t="n">
        <v>40556</v>
      </c>
      <c r="H719" s="14" t="n">
        <v>-40180.44</v>
      </c>
      <c r="I719" s="14" t="n">
        <v>40556</v>
      </c>
      <c r="J719" s="14" t="n">
        <v>375.5599999999977</v>
      </c>
      <c r="K719" s="21" t="n">
        <v>46231.44427083333</v>
      </c>
      <c r="L719" s="21" t="n">
        <v>46230</v>
      </c>
      <c r="M719" s="8" t="inlineStr"/>
      <c r="N719" s="8" t="inlineStr">
        <is>
          <t>Разработчик/поддержка бота ETM</t>
        </is>
      </c>
      <c r="O719" s="8" t="inlineStr">
        <is>
          <t>n.abdyldaeva</t>
        </is>
      </c>
      <c r="P719" s="12" t="inlineStr">
        <is>
          <t>Реестр (40,556.00) совпадает с 1С (40,556.00), а в ETM 40,180.44: бот перенёс неверную сумму</t>
        </is>
      </c>
      <c r="Q719" s="8" t="inlineStr">
        <is>
          <t>57492271,57492275</t>
        </is>
      </c>
    </row>
    <row r="720">
      <c r="A720" s="8" t="inlineStr">
        <is>
          <t>G14195</t>
        </is>
      </c>
      <c r="B720" s="8" t="inlineStr">
        <is>
          <t>Урматова Айпери Нурбековна</t>
        </is>
      </c>
      <c r="C720" s="8" t="inlineStr">
        <is>
          <t>2476315338|2476315339</t>
        </is>
      </c>
      <c r="D720" s="8" t="inlineStr">
        <is>
          <t>Сумма не сходится</t>
        </is>
      </c>
      <c r="E720" s="8" t="inlineStr">
        <is>
          <t>Бот ETM</t>
        </is>
      </c>
      <c r="F720" s="8" t="inlineStr">
        <is>
          <t>A</t>
        </is>
      </c>
      <c r="G720" s="14" t="n">
        <v>21659.44</v>
      </c>
      <c r="H720" s="14" t="n">
        <v>-21289.04</v>
      </c>
      <c r="I720" s="14" t="n">
        <v>21659.44</v>
      </c>
      <c r="J720" s="14" t="n">
        <v>370.4000000000015</v>
      </c>
      <c r="K720" s="21" t="n">
        <v>46207.4012037037</v>
      </c>
      <c r="L720" s="21" t="n">
        <v>46205</v>
      </c>
      <c r="M720" s="8" t="inlineStr"/>
      <c r="N720" s="8" t="inlineStr">
        <is>
          <t>Разработчик/поддержка бота ETM</t>
        </is>
      </c>
      <c r="O720" s="8" t="inlineStr">
        <is>
          <t>g.omurbekova|r.sydykov</t>
        </is>
      </c>
      <c r="P720" s="12" t="inlineStr">
        <is>
          <t>Реестр (21,659.44) совпадает с 1С (21,659.44), а в ETM 21,289.04: бот перенёс неверную сумму</t>
        </is>
      </c>
      <c r="Q720" s="8" t="inlineStr">
        <is>
          <t>57420206,57420229,57495783</t>
        </is>
      </c>
    </row>
    <row r="721">
      <c r="A721" s="8" t="inlineStr">
        <is>
          <t>G08206</t>
        </is>
      </c>
      <c r="B721" s="8" t="inlineStr">
        <is>
          <t>ИП Жумабекова Б. Н.</t>
        </is>
      </c>
      <c r="C721" s="8" t="inlineStr">
        <is>
          <t>2476317042|2476317043</t>
        </is>
      </c>
      <c r="D721" s="8" t="inlineStr">
        <is>
          <t>Сумма не сходится</t>
        </is>
      </c>
      <c r="E721" s="8" t="inlineStr">
        <is>
          <t>Бот ETM</t>
        </is>
      </c>
      <c r="F721" s="8" t="inlineStr">
        <is>
          <t>A</t>
        </is>
      </c>
      <c r="G721" s="14" t="n">
        <v>36458.98</v>
      </c>
      <c r="H721" s="14" t="n">
        <v>-36819.96</v>
      </c>
      <c r="I721" s="14" t="n">
        <v>36458.98</v>
      </c>
      <c r="J721" s="14" t="n">
        <v>-360.9799999999959</v>
      </c>
      <c r="K721" s="21" t="n">
        <v>46035.55797453703</v>
      </c>
      <c r="L721" s="21" t="n">
        <v>46034</v>
      </c>
      <c r="M721" s="8" t="inlineStr"/>
      <c r="N721" s="8" t="inlineStr">
        <is>
          <t>Разработчик/поддержка бота ETM</t>
        </is>
      </c>
      <c r="O721" s="8" t="inlineStr">
        <is>
          <t>n.abdyldaeva</t>
        </is>
      </c>
      <c r="P721" s="12" t="inlineStr">
        <is>
          <t>Реестр (36,458.98) совпадает с 1С (36,458.98), а в ETM 36,819.96: бот перенёс неверную сумму</t>
        </is>
      </c>
      <c r="Q721" s="8" t="inlineStr">
        <is>
          <t>57022820</t>
        </is>
      </c>
    </row>
    <row r="722">
      <c r="A722" s="8" t="inlineStr">
        <is>
          <t>G09573</t>
        </is>
      </c>
      <c r="B722" s="8" t="inlineStr">
        <is>
          <t>Кадырова Айнура Жумабекевна</t>
        </is>
      </c>
      <c r="C722" s="8" t="inlineStr">
        <is>
          <t>2416942286|2416942289</t>
        </is>
      </c>
      <c r="D722" s="8" t="inlineStr">
        <is>
          <t>Сумма не сходится</t>
        </is>
      </c>
      <c r="E722" s="8" t="inlineStr">
        <is>
          <t>Бот ETM</t>
        </is>
      </c>
      <c r="F722" s="8" t="inlineStr">
        <is>
          <t>A</t>
        </is>
      </c>
      <c r="G722" s="14" t="n">
        <v>70847.39999999999</v>
      </c>
      <c r="H722" s="14" t="n">
        <v>-70492.75999999999</v>
      </c>
      <c r="I722" s="14" t="n">
        <v>70847.40000000001</v>
      </c>
      <c r="J722" s="14" t="n">
        <v>354.6399999999994</v>
      </c>
      <c r="K722" s="21" t="n">
        <v>46058.5430787037</v>
      </c>
      <c r="L722" s="21" t="n">
        <v>46056</v>
      </c>
      <c r="M722" s="8" t="inlineStr"/>
      <c r="N722" s="8" t="inlineStr">
        <is>
          <t>Разработчик/поддержка бота ETM</t>
        </is>
      </c>
      <c r="O722" s="8" t="inlineStr">
        <is>
          <t>a.toktosunova</t>
        </is>
      </c>
      <c r="P722" s="12" t="inlineStr">
        <is>
          <t>Реестр (70,847.40) совпадает с 1С (70,847.40), а в ETM 70,492.76: бот перенёс неверную сумму</t>
        </is>
      </c>
      <c r="Q722" s="8" t="inlineStr">
        <is>
          <t>57070856,57070878</t>
        </is>
      </c>
    </row>
    <row r="723">
      <c r="A723" s="8" t="inlineStr">
        <is>
          <t>G05286</t>
        </is>
      </c>
      <c r="B723" s="8" t="inlineStr">
        <is>
          <t>Ак-Куу Авиа</t>
        </is>
      </c>
      <c r="C723" s="8" t="inlineStr">
        <is>
          <t>2552668708|2552668710</t>
        </is>
      </c>
      <c r="D723" s="8" t="inlineStr">
        <is>
          <t>Сумма не сходится</t>
        </is>
      </c>
      <c r="E723" s="8" t="inlineStr">
        <is>
          <t>Бот ETM</t>
        </is>
      </c>
      <c r="F723" s="8" t="inlineStr">
        <is>
          <t>A</t>
        </is>
      </c>
      <c r="G723" s="14" t="n">
        <v>38362.8</v>
      </c>
      <c r="H723" s="14" t="n">
        <v>-38693.4</v>
      </c>
      <c r="I723" s="14" t="n">
        <v>38362.8</v>
      </c>
      <c r="J723" s="14" t="n">
        <v>-330.5999999999985</v>
      </c>
      <c r="K723" s="21" t="n">
        <v>46197.57766203704</v>
      </c>
      <c r="L723" s="21" t="n">
        <v>46196</v>
      </c>
      <c r="M723" s="8" t="inlineStr"/>
      <c r="N723" s="8" t="inlineStr">
        <is>
          <t>Разработчик/поддержка бота ETM</t>
        </is>
      </c>
      <c r="O723" s="8" t="inlineStr">
        <is>
          <t>d.mambetova</t>
        </is>
      </c>
      <c r="P723" s="12" t="inlineStr">
        <is>
          <t>Реестр (38,362.80) совпадает с 1С (38,362.80), а в ETM 38,693.40: бот перенёс неверную сумму</t>
        </is>
      </c>
      <c r="Q723" s="8" t="inlineStr">
        <is>
          <t>57392262,57392254</t>
        </is>
      </c>
    </row>
    <row r="724">
      <c r="A724" s="8" t="inlineStr">
        <is>
          <t>G04435</t>
        </is>
      </c>
      <c r="B724" s="8" t="inlineStr">
        <is>
          <t>Абдылда уулу Б.</t>
        </is>
      </c>
      <c r="C724" s="8" t="inlineStr">
        <is>
          <t>2476317847</t>
        </is>
      </c>
      <c r="D724" s="8" t="inlineStr">
        <is>
          <t>Сумма не сходится</t>
        </is>
      </c>
      <c r="E724" s="8" t="inlineStr">
        <is>
          <t>Бот ETM</t>
        </is>
      </c>
      <c r="F724" s="8" t="inlineStr">
        <is>
          <t>A</t>
        </is>
      </c>
      <c r="G724" s="14" t="n">
        <v>32827.02</v>
      </c>
      <c r="H724" s="14" t="n">
        <v>-33152.04</v>
      </c>
      <c r="I724" s="14" t="n">
        <v>32827.02</v>
      </c>
      <c r="J724" s="14" t="n">
        <v>-325.0200000000041</v>
      </c>
      <c r="K724" s="21" t="n">
        <v>46186.644375</v>
      </c>
      <c r="L724" s="21" t="n">
        <v>46184</v>
      </c>
      <c r="M724" s="8" t="inlineStr"/>
      <c r="N724" s="8" t="inlineStr">
        <is>
          <t>Разработчик/поддержка бота ETM</t>
        </is>
      </c>
      <c r="O724" s="8" t="inlineStr">
        <is>
          <t>r.sydykov</t>
        </is>
      </c>
      <c r="P724" s="12" t="inlineStr">
        <is>
          <t>Реестр (32,827.02) совпадает с 1С (32,827.02), а в ETM 33,152.04: бот перенёс неверную сумму</t>
        </is>
      </c>
      <c r="Q724" s="8" t="inlineStr">
        <is>
          <t>57359498</t>
        </is>
      </c>
    </row>
    <row r="725">
      <c r="A725" s="8" t="inlineStr">
        <is>
          <t>G10400</t>
        </is>
      </c>
      <c r="B725" s="8" t="inlineStr">
        <is>
          <t>Манас Тревел</t>
        </is>
      </c>
      <c r="C725" s="8" t="inlineStr">
        <is>
          <t>2476317384</t>
        </is>
      </c>
      <c r="D725" s="8" t="inlineStr">
        <is>
          <t>Сумма не сходится</t>
        </is>
      </c>
      <c r="E725" s="8" t="inlineStr">
        <is>
          <t>Бот ETM</t>
        </is>
      </c>
      <c r="F725" s="8" t="inlineStr">
        <is>
          <t>A</t>
        </is>
      </c>
      <c r="G725" s="14" t="n">
        <v>33564.32</v>
      </c>
      <c r="H725" s="14" t="n">
        <v>-33240.16</v>
      </c>
      <c r="I725" s="14" t="n">
        <v>33564.32</v>
      </c>
      <c r="J725" s="14" t="n">
        <v>324.1599999999962</v>
      </c>
      <c r="K725" s="21" t="n">
        <v>46215.54125</v>
      </c>
      <c r="L725" s="21" t="n">
        <v>46213</v>
      </c>
      <c r="M725" s="8" t="inlineStr"/>
      <c r="N725" s="8" t="inlineStr">
        <is>
          <t>Разработчик/поддержка бота ETM</t>
        </is>
      </c>
      <c r="O725" s="8" t="inlineStr">
        <is>
          <t>g.omurbekova</t>
        </is>
      </c>
      <c r="P725" s="12" t="inlineStr">
        <is>
          <t>Реестр (33,564.32) совпадает с 1С (33,564.32), а в ETM 33,240.16: бот перенёс неверную сумму</t>
        </is>
      </c>
      <c r="Q725" s="8" t="inlineStr">
        <is>
          <t>57448244</t>
        </is>
      </c>
    </row>
    <row r="726">
      <c r="A726" s="8" t="inlineStr">
        <is>
          <t>G08197</t>
        </is>
      </c>
      <c r="B726" s="8" t="inlineStr">
        <is>
          <t>ИП Жумабекова Б. Н.</t>
        </is>
      </c>
      <c r="C726" s="8" t="inlineStr">
        <is>
          <t>2476314817</t>
        </is>
      </c>
      <c r="D726" s="8" t="inlineStr">
        <is>
          <t>Сумма не сходится</t>
        </is>
      </c>
      <c r="E726" s="8" t="inlineStr">
        <is>
          <t>Бот ETM</t>
        </is>
      </c>
      <c r="F726" s="8" t="inlineStr">
        <is>
          <t>A</t>
        </is>
      </c>
      <c r="G726" s="14" t="n">
        <v>33763.82</v>
      </c>
      <c r="H726" s="14" t="n">
        <v>-34083.63</v>
      </c>
      <c r="I726" s="14" t="n">
        <v>33763.82</v>
      </c>
      <c r="J726" s="14" t="n">
        <v>-319.8099999999977</v>
      </c>
      <c r="K726" s="21" t="n">
        <v>46196.55347222222</v>
      </c>
      <c r="L726" s="21" t="n">
        <v>46194</v>
      </c>
      <c r="M726" s="8" t="inlineStr"/>
      <c r="N726" s="8" t="inlineStr">
        <is>
          <t>Разработчик/поддержка бота ETM</t>
        </is>
      </c>
      <c r="O726" s="8" t="inlineStr">
        <is>
          <t>r.sydykov</t>
        </is>
      </c>
      <c r="P726" s="12" t="inlineStr">
        <is>
          <t>Реестр (33,763.82) совпадает с 1С (33,763.82), а в ETM 34,083.63: бот перенёс неверную сумму</t>
        </is>
      </c>
      <c r="Q726" s="8" t="inlineStr">
        <is>
          <t>57385757</t>
        </is>
      </c>
    </row>
    <row r="727">
      <c r="A727" s="8" t="inlineStr">
        <is>
          <t>G04857</t>
        </is>
      </c>
      <c r="B727" s="8" t="inlineStr">
        <is>
          <t>Ак-Куу Авиа</t>
        </is>
      </c>
      <c r="C727" s="8" t="inlineStr">
        <is>
          <t>2420846018|2420846020</t>
        </is>
      </c>
      <c r="D727" s="8" t="inlineStr">
        <is>
          <t>Сумма не сходится</t>
        </is>
      </c>
      <c r="E727" s="8" t="inlineStr">
        <is>
          <t>Бот ETM</t>
        </is>
      </c>
      <c r="F727" s="8" t="inlineStr">
        <is>
          <t>A</t>
        </is>
      </c>
      <c r="G727" s="14" t="n">
        <v>37544</v>
      </c>
      <c r="H727" s="14" t="n">
        <v>-37851</v>
      </c>
      <c r="I727" s="14" t="n">
        <v>37543.9912</v>
      </c>
      <c r="J727" s="14" t="n">
        <v>-307</v>
      </c>
      <c r="K727" s="21" t="n">
        <v>46160.77274305555</v>
      </c>
      <c r="L727" s="21" t="n">
        <v>46159</v>
      </c>
      <c r="M727" s="8" t="inlineStr"/>
      <c r="N727" s="8" t="inlineStr">
        <is>
          <t>Разработчик/поддержка бота ETM</t>
        </is>
      </c>
      <c r="O727" s="8" t="inlineStr">
        <is>
          <t>d.mambetova</t>
        </is>
      </c>
      <c r="P727" s="12" t="inlineStr">
        <is>
          <t>Реестр (37,543.99) совпадает с 1С (37,544.00), а в ETM 37,851.00: бот перенёс неверную сумму</t>
        </is>
      </c>
      <c r="Q727" s="8" t="inlineStr">
        <is>
          <t>57293342</t>
        </is>
      </c>
    </row>
    <row r="728">
      <c r="A728" s="8" t="inlineStr">
        <is>
          <t>G10585</t>
        </is>
      </c>
      <c r="B728" s="8" t="inlineStr">
        <is>
          <t>Манас Тур</t>
        </is>
      </c>
      <c r="C728" s="8" t="inlineStr">
        <is>
          <t>2476316396|2476316397</t>
        </is>
      </c>
      <c r="D728" s="8" t="inlineStr">
        <is>
          <t>Сумма не сходится</t>
        </is>
      </c>
      <c r="E728" s="8" t="inlineStr">
        <is>
          <t>Бот ETM</t>
        </is>
      </c>
      <c r="F728" s="8" t="inlineStr">
        <is>
          <t>A</t>
        </is>
      </c>
      <c r="G728" s="14" t="n">
        <v>31948.42</v>
      </c>
      <c r="H728" s="14" t="n">
        <v>-32254.84</v>
      </c>
      <c r="I728" s="14" t="n">
        <v>31948.42</v>
      </c>
      <c r="J728" s="14" t="n">
        <v>-306.4200000000019</v>
      </c>
      <c r="K728" s="21" t="n">
        <v>46035.76761574074</v>
      </c>
      <c r="L728" s="21" t="n">
        <v>46034</v>
      </c>
      <c r="M728" s="8" t="inlineStr"/>
      <c r="N728" s="8" t="inlineStr">
        <is>
          <t>Разработчик/поддержка бота ETM</t>
        </is>
      </c>
      <c r="O728" s="8" t="inlineStr">
        <is>
          <t>b.isakov</t>
        </is>
      </c>
      <c r="P728" s="12" t="inlineStr">
        <is>
          <t>Реестр (31,948.42) совпадает с 1С (31,948.42), а в ETM 32,254.84: бот перенёс неверную сумму</t>
        </is>
      </c>
      <c r="Q728" s="8" t="inlineStr">
        <is>
          <t>57022354,57022383</t>
        </is>
      </c>
    </row>
    <row r="729">
      <c r="A729" s="8" t="inlineStr">
        <is>
          <t>G09771</t>
        </is>
      </c>
      <c r="B729" s="8" t="inlineStr">
        <is>
          <t>Кадырова Айнура Жумабекевна</t>
        </is>
      </c>
      <c r="C729" s="8" t="inlineStr">
        <is>
          <t>2552668810</t>
        </is>
      </c>
      <c r="D729" s="8" t="inlineStr">
        <is>
          <t>Сумма не сходится</t>
        </is>
      </c>
      <c r="E729" s="8" t="inlineStr">
        <is>
          <t>Бот ETM</t>
        </is>
      </c>
      <c r="F729" s="8" t="inlineStr">
        <is>
          <t>A</t>
        </is>
      </c>
      <c r="G729" s="14" t="n">
        <v>29420.43</v>
      </c>
      <c r="H729" s="14" t="n">
        <v>-29689.52</v>
      </c>
      <c r="I729" s="14" t="n">
        <v>29420.425</v>
      </c>
      <c r="J729" s="14" t="n">
        <v>-269.0900000000001</v>
      </c>
      <c r="K729" s="21" t="n">
        <v>46057.47831018519</v>
      </c>
      <c r="L729" s="21" t="n">
        <v>46055</v>
      </c>
      <c r="M729" s="8" t="inlineStr"/>
      <c r="N729" s="8" t="inlineStr">
        <is>
          <t>Разработчик/поддержка бота ETM</t>
        </is>
      </c>
      <c r="O729" s="8" t="inlineStr">
        <is>
          <t>e.satarov</t>
        </is>
      </c>
      <c r="P729" s="12" t="inlineStr">
        <is>
          <t>Реестр (29,420.43) совпадает с 1С (29,420.43), а в ETM 29,689.52: бот перенёс неверную сумму</t>
        </is>
      </c>
      <c r="Q729" s="8" t="inlineStr">
        <is>
          <t>57068582</t>
        </is>
      </c>
    </row>
    <row r="730">
      <c r="A730" s="8" t="inlineStr">
        <is>
          <t>G15155</t>
        </is>
      </c>
      <c r="B730" s="8" t="inlineStr">
        <is>
          <t>Ыйык Тур</t>
        </is>
      </c>
      <c r="C730" s="8" t="inlineStr">
        <is>
          <t>2476317236</t>
        </is>
      </c>
      <c r="D730" s="8" t="inlineStr">
        <is>
          <t>Сумма не сходится</t>
        </is>
      </c>
      <c r="E730" s="8" t="inlineStr">
        <is>
          <t>Бот ETM</t>
        </is>
      </c>
      <c r="F730" s="8" t="inlineStr">
        <is>
          <t>A</t>
        </is>
      </c>
      <c r="G730" s="14" t="n">
        <v>27600.62</v>
      </c>
      <c r="H730" s="14" t="n">
        <v>-27335</v>
      </c>
      <c r="I730" s="14" t="n">
        <v>27600.62</v>
      </c>
      <c r="J730" s="14" t="n">
        <v>265.619999999999</v>
      </c>
      <c r="K730" s="21" t="n">
        <v>46042.52637731482</v>
      </c>
      <c r="L730" s="21" t="n">
        <v>46040</v>
      </c>
      <c r="M730" s="8" t="inlineStr"/>
      <c r="N730" s="8" t="inlineStr">
        <is>
          <t>Разработчик/поддержка бота ETM</t>
        </is>
      </c>
      <c r="O730" s="8" t="inlineStr">
        <is>
          <t>a.toktosunova</t>
        </is>
      </c>
      <c r="P730" s="12" t="inlineStr">
        <is>
          <t>Реестр (27,600.62) совпадает с 1С (27,600.62), а в ETM 27,335.00: бот перенёс неверную сумму</t>
        </is>
      </c>
      <c r="Q730" s="8" t="inlineStr">
        <is>
          <t>57036947</t>
        </is>
      </c>
    </row>
    <row r="731">
      <c r="A731" s="8" t="inlineStr">
        <is>
          <t>G01660</t>
        </is>
      </c>
      <c r="B731" s="8" t="inlineStr">
        <is>
          <t>Karakol Express</t>
        </is>
      </c>
      <c r="C731" s="8" t="inlineStr">
        <is>
          <t>2476315865</t>
        </is>
      </c>
      <c r="D731" s="8" t="inlineStr">
        <is>
          <t>Сумма не сходится</t>
        </is>
      </c>
      <c r="E731" s="8" t="inlineStr">
        <is>
          <t>Бот ETM</t>
        </is>
      </c>
      <c r="F731" s="8" t="inlineStr">
        <is>
          <t>A</t>
        </is>
      </c>
      <c r="G731" s="14" t="n">
        <v>28003.83</v>
      </c>
      <c r="H731" s="14" t="n">
        <v>-27740.76</v>
      </c>
      <c r="I731" s="14" t="n">
        <v>28003.83</v>
      </c>
      <c r="J731" s="14" t="n">
        <v>263.0700000000033</v>
      </c>
      <c r="K731" s="21" t="n">
        <v>46200.82938657407</v>
      </c>
      <c r="L731" s="21" t="n">
        <v>46199</v>
      </c>
      <c r="M731" s="8" t="inlineStr"/>
      <c r="N731" s="8" t="inlineStr">
        <is>
          <t>Разработчик/поддержка бота ETM</t>
        </is>
      </c>
      <c r="O731" s="8" t="inlineStr">
        <is>
          <t>d.mambetova</t>
        </is>
      </c>
      <c r="P731" s="12" t="inlineStr">
        <is>
          <t>Реестр (28,003.83) совпадает с 1С (28,003.83), а в ETM 27,740.76: бот перенёс неверную сумму</t>
        </is>
      </c>
      <c r="Q731" s="8" t="inlineStr">
        <is>
          <t>57402318</t>
        </is>
      </c>
    </row>
    <row r="732">
      <c r="A732" s="8" t="inlineStr">
        <is>
          <t>G07814</t>
        </is>
      </c>
      <c r="B732" s="8" t="inlineStr">
        <is>
          <t>ИП Асанов К. Б.</t>
        </is>
      </c>
      <c r="C732" s="8" t="inlineStr">
        <is>
          <t>2416944376|2416944377</t>
        </is>
      </c>
      <c r="D732" s="8" t="inlineStr">
        <is>
          <t>Сумма не сходится</t>
        </is>
      </c>
      <c r="E732" s="8" t="inlineStr">
        <is>
          <t>Бот ETM</t>
        </is>
      </c>
      <c r="F732" s="8" t="inlineStr">
        <is>
          <t>A</t>
        </is>
      </c>
      <c r="G732" s="14" t="n">
        <v>34977.89</v>
      </c>
      <c r="H732" s="14" t="n">
        <v>-35212.13</v>
      </c>
      <c r="I732" s="14" t="n">
        <v>34977.89</v>
      </c>
      <c r="J732" s="14" t="n">
        <v>-234.2400000000052</v>
      </c>
      <c r="K732" s="21" t="n">
        <v>46091.35815972222</v>
      </c>
      <c r="L732" s="21" t="n">
        <v>46090</v>
      </c>
      <c r="M732" s="8" t="inlineStr"/>
      <c r="N732" s="8" t="inlineStr">
        <is>
          <t>Разработчик/поддержка бота ETM</t>
        </is>
      </c>
      <c r="O732" s="8" t="inlineStr">
        <is>
          <t>n.abdyldaeva</t>
        </is>
      </c>
      <c r="P732" s="12" t="inlineStr">
        <is>
          <t>Реестр (34,977.89) совпадает с 1С (34,977.89), а в ETM 35,212.13: бот перенёс неверную сумму</t>
        </is>
      </c>
      <c r="Q732" s="8" t="inlineStr">
        <is>
          <t>57135063,57135094,57210071</t>
        </is>
      </c>
    </row>
    <row r="733">
      <c r="A733" s="8" t="inlineStr">
        <is>
          <t>G03965</t>
        </is>
      </c>
      <c r="B733" s="8" t="inlineStr">
        <is>
          <t>Sunrise Tours</t>
        </is>
      </c>
      <c r="C733" s="8" t="inlineStr">
        <is>
          <t>2476315794</t>
        </is>
      </c>
      <c r="D733" s="8" t="inlineStr">
        <is>
          <t>Сумма не сходится</t>
        </is>
      </c>
      <c r="E733" s="8" t="inlineStr">
        <is>
          <t>Бот ETM</t>
        </is>
      </c>
      <c r="F733" s="8" t="inlineStr">
        <is>
          <t>A</t>
        </is>
      </c>
      <c r="G733" s="14" t="n">
        <v>22645.26</v>
      </c>
      <c r="H733" s="14" t="n">
        <v>-22424.39</v>
      </c>
      <c r="I733" s="14" t="n">
        <v>22645.26</v>
      </c>
      <c r="J733" s="14" t="n">
        <v>220.869999999999</v>
      </c>
      <c r="K733" s="21" t="n">
        <v>46086.55493055555</v>
      </c>
      <c r="L733" s="21" t="n">
        <v>46085</v>
      </c>
      <c r="M733" s="8" t="inlineStr"/>
      <c r="N733" s="8" t="inlineStr">
        <is>
          <t>Разработчик/поддержка бота ETM</t>
        </is>
      </c>
      <c r="O733" s="8" t="inlineStr">
        <is>
          <t>r.sydykov</t>
        </is>
      </c>
      <c r="P733" s="12" t="inlineStr">
        <is>
          <t>Реестр (22,645.26) совпадает с 1С (22,645.26), а в ETM 22,424.39: бот перенёс неверную сумму</t>
        </is>
      </c>
      <c r="Q733" s="8" t="inlineStr">
        <is>
          <t>57122477</t>
        </is>
      </c>
    </row>
    <row r="734">
      <c r="A734" s="8" t="inlineStr">
        <is>
          <t>G13756</t>
        </is>
      </c>
      <c r="B734" s="8" t="inlineStr">
        <is>
          <t>ТАЛАС ЛАЙН</t>
        </is>
      </c>
      <c r="C734" s="8" t="inlineStr">
        <is>
          <t>2476316383</t>
        </is>
      </c>
      <c r="D734" s="8" t="inlineStr">
        <is>
          <t>Сумма не сходится</t>
        </is>
      </c>
      <c r="E734" s="8" t="inlineStr">
        <is>
          <t>Бот ETM</t>
        </is>
      </c>
      <c r="F734" s="8" t="inlineStr">
        <is>
          <t>A</t>
        </is>
      </c>
      <c r="G734" s="14" t="n">
        <v>22167.48</v>
      </c>
      <c r="H734" s="14" t="n">
        <v>-22386.96</v>
      </c>
      <c r="I734" s="14" t="n">
        <v>22167.48</v>
      </c>
      <c r="J734" s="14" t="n">
        <v>-219.4799999999996</v>
      </c>
      <c r="K734" s="21" t="n">
        <v>46185.69113425926</v>
      </c>
      <c r="L734" s="21" t="n">
        <v>46184</v>
      </c>
      <c r="M734" s="8" t="inlineStr"/>
      <c r="N734" s="8" t="inlineStr">
        <is>
          <t>Разработчик/поддержка бота ETM</t>
        </is>
      </c>
      <c r="O734" s="8" t="inlineStr">
        <is>
          <t>d.mambetova</t>
        </is>
      </c>
      <c r="P734" s="12" t="inlineStr">
        <is>
          <t>Реестр (22,167.48) совпадает с 1С (22,167.48), а в ETM 22,386.96: бот перенёс неверную сумму</t>
        </is>
      </c>
      <c r="Q734" s="8" t="inlineStr">
        <is>
          <t>57359223</t>
        </is>
      </c>
    </row>
    <row r="735">
      <c r="A735" s="8" t="inlineStr">
        <is>
          <t>G15170</t>
        </is>
      </c>
      <c r="B735" s="8" t="inlineStr">
        <is>
          <t>Ыйык Тур</t>
        </is>
      </c>
      <c r="C735" s="8" t="inlineStr">
        <is>
          <t>2476319474</t>
        </is>
      </c>
      <c r="D735" s="8" t="inlineStr">
        <is>
          <t>Сумма не сходится</t>
        </is>
      </c>
      <c r="E735" s="8" t="inlineStr">
        <is>
          <t>Бот ETM</t>
        </is>
      </c>
      <c r="F735" s="8" t="inlineStr">
        <is>
          <t>A</t>
        </is>
      </c>
      <c r="G735" s="14" t="n">
        <v>22226.27</v>
      </c>
      <c r="H735" s="14" t="n">
        <v>-22443.74</v>
      </c>
      <c r="I735" s="14" t="n">
        <v>22226.27</v>
      </c>
      <c r="J735" s="14" t="n">
        <v>-217.4700000000012</v>
      </c>
      <c r="K735" s="21" t="n">
        <v>46153.81008101852</v>
      </c>
      <c r="L735" s="21" t="n">
        <v>46152</v>
      </c>
      <c r="M735" s="8" t="inlineStr"/>
      <c r="N735" s="8" t="inlineStr">
        <is>
          <t>Разработчик/поддержка бота ETM</t>
        </is>
      </c>
      <c r="O735" s="8" t="inlineStr">
        <is>
          <t>n.abdyldaeva</t>
        </is>
      </c>
      <c r="P735" s="12" t="inlineStr">
        <is>
          <t>Реестр (22,226.27) совпадает с 1С (22,226.27), а в ETM 22,443.74: бот перенёс неверную сумму</t>
        </is>
      </c>
      <c r="Q735" s="8" t="inlineStr">
        <is>
          <t>57270650</t>
        </is>
      </c>
    </row>
    <row r="736">
      <c r="A736" s="8" t="inlineStr">
        <is>
          <t>G11080</t>
        </is>
      </c>
      <c r="B736" s="8" t="inlineStr">
        <is>
          <t>ОсОО Ала-Тоо Эйр</t>
        </is>
      </c>
      <c r="C736" s="8" t="inlineStr">
        <is>
          <t>2420843348|2420843350</t>
        </is>
      </c>
      <c r="D736" s="8" t="inlineStr">
        <is>
          <t>Сумма не сходится</t>
        </is>
      </c>
      <c r="E736" s="8" t="inlineStr">
        <is>
          <t>Бот ETM</t>
        </is>
      </c>
      <c r="F736" s="8" t="inlineStr">
        <is>
          <t>A</t>
        </is>
      </c>
      <c r="G736" s="14" t="n">
        <v>41776.12</v>
      </c>
      <c r="H736" s="14" t="n">
        <v>-41992.9</v>
      </c>
      <c r="I736" s="14" t="n">
        <v>41776.1152</v>
      </c>
      <c r="J736" s="14" t="n">
        <v>-216.7799999999988</v>
      </c>
      <c r="K736" s="21" t="n">
        <v>46065.33425925926</v>
      </c>
      <c r="L736" s="21" t="n">
        <v>46064</v>
      </c>
      <c r="M736" s="8" t="inlineStr"/>
      <c r="N736" s="8" t="inlineStr">
        <is>
          <t>Разработчик/поддержка бота ETM</t>
        </is>
      </c>
      <c r="O736" s="8" t="inlineStr">
        <is>
          <t>e.satarov</t>
        </is>
      </c>
      <c r="P736" s="12" t="inlineStr">
        <is>
          <t>Реестр (41,776.12) совпадает с 1С (41,776.12), а в ETM 41,992.90: бот перенёс неверную сумму</t>
        </is>
      </c>
      <c r="Q736" s="8" t="inlineStr">
        <is>
          <t>57084481,57084451</t>
        </is>
      </c>
    </row>
    <row r="737">
      <c r="A737" s="8" t="inlineStr">
        <is>
          <t>G03241</t>
        </is>
      </c>
      <c r="B737" s="8" t="inlineStr">
        <is>
          <t>SkyWay Travel</t>
        </is>
      </c>
      <c r="C737" s="8" t="inlineStr">
        <is>
          <t>2476315975</t>
        </is>
      </c>
      <c r="D737" s="8" t="inlineStr">
        <is>
          <t>Сумма не сходится</t>
        </is>
      </c>
      <c r="E737" s="8" t="inlineStr">
        <is>
          <t>Бот ETM</t>
        </is>
      </c>
      <c r="F737" s="8" t="inlineStr">
        <is>
          <t>A</t>
        </is>
      </c>
      <c r="G737" s="14" t="n">
        <v>22645.61</v>
      </c>
      <c r="H737" s="14" t="n">
        <v>-22859.74</v>
      </c>
      <c r="I737" s="14" t="n">
        <v>22645.61</v>
      </c>
      <c r="J737" s="14" t="n">
        <v>-214.130000000001</v>
      </c>
      <c r="K737" s="21" t="n">
        <v>46088.72325231481</v>
      </c>
      <c r="L737" s="21" t="n">
        <v>46086</v>
      </c>
      <c r="M737" s="8" t="inlineStr"/>
      <c r="N737" s="8" t="inlineStr">
        <is>
          <t>Разработчик/поддержка бота ETM</t>
        </is>
      </c>
      <c r="O737" s="8" t="inlineStr">
        <is>
          <t>r.sydykov</t>
        </is>
      </c>
      <c r="P737" s="12" t="inlineStr">
        <is>
          <t>Реестр (22,645.61) совпадает с 1С (22,645.61), а в ETM 22,859.74: бот перенёс неверную сумму</t>
        </is>
      </c>
      <c r="Q737" s="8" t="inlineStr">
        <is>
          <t>57125112</t>
        </is>
      </c>
    </row>
    <row r="738">
      <c r="A738" s="8" t="inlineStr">
        <is>
          <t>G11931</t>
        </is>
      </c>
      <c r="B738" s="8" t="inlineStr">
        <is>
          <t>ОсОО Тянь-Шань Вояж</t>
        </is>
      </c>
      <c r="C738" s="8" t="inlineStr">
        <is>
          <t>2476320072</t>
        </is>
      </c>
      <c r="D738" s="8" t="inlineStr">
        <is>
          <t>Сумма не сходится</t>
        </is>
      </c>
      <c r="E738" s="8" t="inlineStr">
        <is>
          <t>Бот ETM</t>
        </is>
      </c>
      <c r="F738" s="8" t="inlineStr">
        <is>
          <t>A</t>
        </is>
      </c>
      <c r="G738" s="14" t="n">
        <v>21965.21</v>
      </c>
      <c r="H738" s="14" t="n">
        <v>-22179</v>
      </c>
      <c r="I738" s="14" t="n">
        <v>21965.21</v>
      </c>
      <c r="J738" s="14" t="n">
        <v>-213.7900000000009</v>
      </c>
      <c r="K738" s="21" t="n">
        <v>46145.79526620371</v>
      </c>
      <c r="L738" s="21" t="n">
        <v>46144</v>
      </c>
      <c r="M738" s="8" t="inlineStr"/>
      <c r="N738" s="8" t="inlineStr">
        <is>
          <t>Разработчик/поддержка бота ETM</t>
        </is>
      </c>
      <c r="O738" s="8" t="inlineStr">
        <is>
          <t>a.toktosunova</t>
        </is>
      </c>
      <c r="P738" s="12" t="inlineStr">
        <is>
          <t>Реестр (21,965.21) совпадает с 1С (21,965.21), а в ETM 22,179.00: бот перенёс неверную сумму</t>
        </is>
      </c>
      <c r="Q738" s="8" t="inlineStr">
        <is>
          <t>57246990</t>
        </is>
      </c>
    </row>
    <row r="739">
      <c r="A739" s="8" t="inlineStr">
        <is>
          <t>G02286</t>
        </is>
      </c>
      <c r="B739" s="8" t="inlineStr">
        <is>
          <t>SkyWay Travel</t>
        </is>
      </c>
      <c r="C739" s="8" t="inlineStr">
        <is>
          <t>2416942947</t>
        </is>
      </c>
      <c r="D739" s="8" t="inlineStr">
        <is>
          <t>Сумма не сходится</t>
        </is>
      </c>
      <c r="E739" s="8" t="inlineStr">
        <is>
          <t>Бот ETM</t>
        </is>
      </c>
      <c r="F739" s="8" t="inlineStr">
        <is>
          <t>A</t>
        </is>
      </c>
      <c r="G739" s="14" t="n">
        <v>5152.48</v>
      </c>
      <c r="H739" s="14" t="n">
        <v>-4963.23</v>
      </c>
      <c r="I739" s="14" t="n">
        <v>5152.48</v>
      </c>
      <c r="J739" s="14" t="n">
        <v>189.25</v>
      </c>
      <c r="K739" s="21" t="n">
        <v>46202.44092592593</v>
      </c>
      <c r="L739" s="21" t="n">
        <v>46201</v>
      </c>
      <c r="M739" s="8" t="inlineStr"/>
      <c r="N739" s="8" t="inlineStr">
        <is>
          <t>Разработчик/поддержка бота ETM</t>
        </is>
      </c>
      <c r="O739" s="8" t="inlineStr">
        <is>
          <t>b.isakov|d.mambetova</t>
        </is>
      </c>
      <c r="P739" s="12" t="inlineStr">
        <is>
          <t>Реестр (5,152.48) совпадает с 1С (5,152.48), а в ETM 4,963.23: бот перенёс неверную сумму</t>
        </is>
      </c>
      <c r="Q739" s="8" t="inlineStr">
        <is>
          <t>57408629,57467993</t>
        </is>
      </c>
    </row>
    <row r="740">
      <c r="A740" s="8" t="inlineStr">
        <is>
          <t>G08882</t>
        </is>
      </c>
      <c r="B740" s="8" t="inlineStr">
        <is>
          <t>ИССЫК ТРИП</t>
        </is>
      </c>
      <c r="C740" s="8" t="inlineStr">
        <is>
          <t>2416943768</t>
        </is>
      </c>
      <c r="D740" s="8" t="inlineStr">
        <is>
          <t>Сумма не сходится</t>
        </is>
      </c>
      <c r="E740" s="8" t="inlineStr">
        <is>
          <t>Бот ETM</t>
        </is>
      </c>
      <c r="F740" s="8" t="inlineStr">
        <is>
          <t>A</t>
        </is>
      </c>
      <c r="G740" s="14" t="n">
        <v>22577.58</v>
      </c>
      <c r="H740" s="14" t="n">
        <v>-22389.99</v>
      </c>
      <c r="I740" s="14" t="n">
        <v>22577.58</v>
      </c>
      <c r="J740" s="14" t="n">
        <v>187.5900000000001</v>
      </c>
      <c r="K740" s="21" t="n">
        <v>46125.73381944445</v>
      </c>
      <c r="L740" s="21" t="n">
        <v>46123</v>
      </c>
      <c r="M740" s="8" t="inlineStr"/>
      <c r="N740" s="8" t="inlineStr">
        <is>
          <t>Разработчик/поддержка бота ETM</t>
        </is>
      </c>
      <c r="O740" s="8" t="inlineStr">
        <is>
          <t>e.satarov</t>
        </is>
      </c>
      <c r="P740" s="12" t="inlineStr">
        <is>
          <t>Реестр (22,577.58) совпадает с 1С (22,577.58), а в ETM 22,389.99: бот перенёс неверную сумму</t>
        </is>
      </c>
      <c r="Q740" s="8" t="inlineStr">
        <is>
          <t>57202533</t>
        </is>
      </c>
    </row>
    <row r="741">
      <c r="A741" s="8" t="inlineStr">
        <is>
          <t>G03539</t>
        </is>
      </c>
      <c r="B741" s="8" t="inlineStr">
        <is>
          <t>SkyWay Travel</t>
        </is>
      </c>
      <c r="C741" s="8" t="inlineStr">
        <is>
          <t>2552671961</t>
        </is>
      </c>
      <c r="D741" s="8" t="inlineStr">
        <is>
          <t>Сумма не сходится</t>
        </is>
      </c>
      <c r="E741" s="8" t="inlineStr">
        <is>
          <t>Бот ETM</t>
        </is>
      </c>
      <c r="F741" s="8" t="inlineStr">
        <is>
          <t>A</t>
        </is>
      </c>
      <c r="G741" s="14" t="n">
        <v>31784.05</v>
      </c>
      <c r="H741" s="14" t="n">
        <v>-31968.99</v>
      </c>
      <c r="I741" s="14" t="n">
        <v>31784.055</v>
      </c>
      <c r="J741" s="14" t="n">
        <v>-184.9400000000023</v>
      </c>
      <c r="K741" s="21" t="n">
        <v>46210.824375</v>
      </c>
      <c r="L741" s="21" t="n">
        <v>46208</v>
      </c>
      <c r="M741" s="8" t="inlineStr"/>
      <c r="N741" s="8" t="inlineStr">
        <is>
          <t>Разработчик/поддержка бота ETM</t>
        </is>
      </c>
      <c r="O741" s="8" t="inlineStr">
        <is>
          <t>a.toktosunova</t>
        </is>
      </c>
      <c r="P741" s="12" t="inlineStr">
        <is>
          <t>Реестр (31,784.05) совпадает с 1С (31,784.05), а в ETM 31,968.99: бот перенёс неверную сумму</t>
        </is>
      </c>
      <c r="Q741" s="8" t="inlineStr">
        <is>
          <t>57432641</t>
        </is>
      </c>
    </row>
    <row r="742">
      <c r="A742" s="8" t="inlineStr">
        <is>
          <t>G11490</t>
        </is>
      </c>
      <c r="B742" s="8" t="inlineStr">
        <is>
          <t>ОсОО Кара-Кол Трип</t>
        </is>
      </c>
      <c r="C742" s="8" t="inlineStr">
        <is>
          <t>2420843242</t>
        </is>
      </c>
      <c r="D742" s="8" t="inlineStr">
        <is>
          <t>Сумма не сходится</t>
        </is>
      </c>
      <c r="E742" s="8" t="inlineStr">
        <is>
          <t>Бот ETM</t>
        </is>
      </c>
      <c r="F742" s="8" t="inlineStr">
        <is>
          <t>A</t>
        </is>
      </c>
      <c r="G742" s="14" t="n">
        <v>30524.83</v>
      </c>
      <c r="H742" s="14" t="n">
        <v>-30343.07</v>
      </c>
      <c r="I742" s="14" t="n">
        <v>30524.8348</v>
      </c>
      <c r="J742" s="14" t="n">
        <v>181.760000000002</v>
      </c>
      <c r="K742" s="21" t="n">
        <v>46232.39086805555</v>
      </c>
      <c r="L742" s="21" t="n">
        <v>46230</v>
      </c>
      <c r="M742" s="8" t="inlineStr"/>
      <c r="N742" s="8" t="inlineStr">
        <is>
          <t>Разработчик/поддержка бота ETM</t>
        </is>
      </c>
      <c r="O742" s="8" t="inlineStr">
        <is>
          <t>g.omurbekova</t>
        </is>
      </c>
      <c r="P742" s="12" t="inlineStr">
        <is>
          <t>Реестр (30,524.83) совпадает с 1С (30,524.83), а в ETM 30,343.07: бот перенёс неверную сумму</t>
        </is>
      </c>
      <c r="Q742" s="8" t="inlineStr">
        <is>
          <t>57491170</t>
        </is>
      </c>
    </row>
    <row r="743">
      <c r="A743" s="8" t="inlineStr">
        <is>
          <t>G14324</t>
        </is>
      </c>
      <c r="B743" s="8" t="inlineStr">
        <is>
          <t>ЧОЛПОН ТУР</t>
        </is>
      </c>
      <c r="C743" s="8" t="inlineStr">
        <is>
          <t>2476318859</t>
        </is>
      </c>
      <c r="D743" s="8" t="inlineStr">
        <is>
          <t>Сумма не сходится</t>
        </is>
      </c>
      <c r="E743" s="8" t="inlineStr">
        <is>
          <t>Бот ETM</t>
        </is>
      </c>
      <c r="F743" s="8" t="inlineStr">
        <is>
          <t>A</t>
        </is>
      </c>
      <c r="G743" s="14" t="n">
        <v>18919.5</v>
      </c>
      <c r="H743" s="14" t="n">
        <v>-19098.51</v>
      </c>
      <c r="I743" s="14" t="n">
        <v>18919.5</v>
      </c>
      <c r="J743" s="14" t="n">
        <v>-179.0099999999984</v>
      </c>
      <c r="K743" s="21" t="n">
        <v>46166.60763888889</v>
      </c>
      <c r="L743" s="21" t="n">
        <v>46164</v>
      </c>
      <c r="M743" s="8" t="inlineStr">
        <is>
          <t>TRANSPOSITION</t>
        </is>
      </c>
      <c r="N743" s="8" t="inlineStr">
        <is>
          <t>Разработчик/поддержка бота ETM</t>
        </is>
      </c>
      <c r="O743" s="8" t="inlineStr">
        <is>
          <t>a.toktosunova</t>
        </is>
      </c>
      <c r="P743" s="12" t="inlineStr">
        <is>
          <t>Реестр (18,919.50) совпадает с 1С (18,919.50), а в ETM 19,098.51: бот перенёс неверную сумму</t>
        </is>
      </c>
      <c r="Q743" s="8" t="inlineStr">
        <is>
          <t>57308615</t>
        </is>
      </c>
    </row>
    <row r="744">
      <c r="A744" s="8" t="inlineStr">
        <is>
          <t>G04789</t>
        </is>
      </c>
      <c r="B744" s="8" t="inlineStr">
        <is>
          <t>Ак-Куу Авиа</t>
        </is>
      </c>
      <c r="C744" s="8" t="inlineStr">
        <is>
          <t>2416945113</t>
        </is>
      </c>
      <c r="D744" s="8" t="inlineStr">
        <is>
          <t>Сумма не сходится</t>
        </is>
      </c>
      <c r="E744" s="8" t="inlineStr">
        <is>
          <t>Бот ETM</t>
        </is>
      </c>
      <c r="F744" s="8" t="inlineStr">
        <is>
          <t>A</t>
        </is>
      </c>
      <c r="G744" s="14" t="n">
        <v>29596.84</v>
      </c>
      <c r="H744" s="14" t="n">
        <v>-29432.34</v>
      </c>
      <c r="I744" s="14" t="n">
        <v>29596.84</v>
      </c>
      <c r="J744" s="14" t="n">
        <v>164.5</v>
      </c>
      <c r="K744" s="21" t="n">
        <v>46202.73921296297</v>
      </c>
      <c r="L744" s="21" t="n">
        <v>46201</v>
      </c>
      <c r="M744" s="8" t="inlineStr"/>
      <c r="N744" s="8" t="inlineStr">
        <is>
          <t>Разработчик/поддержка бота ETM</t>
        </is>
      </c>
      <c r="O744" s="8" t="inlineStr">
        <is>
          <t>g.omurbekova</t>
        </is>
      </c>
      <c r="P744" s="12" t="inlineStr">
        <is>
          <t>Реестр (29,596.84) совпадает с 1С (29,596.84), а в ETM 29,432.34: бот перенёс неверную сумму</t>
        </is>
      </c>
      <c r="Q744" s="8" t="inlineStr">
        <is>
          <t>57409751</t>
        </is>
      </c>
    </row>
    <row r="745">
      <c r="A745" s="8" t="inlineStr">
        <is>
          <t>G01205</t>
        </is>
      </c>
      <c r="B745" s="8" t="inlineStr">
        <is>
          <t>Karakol Express</t>
        </is>
      </c>
      <c r="C745" s="8" t="inlineStr">
        <is>
          <t>2420845381</t>
        </is>
      </c>
      <c r="D745" s="8" t="inlineStr">
        <is>
          <t>Сумма не сходится</t>
        </is>
      </c>
      <c r="E745" s="8" t="inlineStr">
        <is>
          <t>Бот ETM</t>
        </is>
      </c>
      <c r="F745" s="8" t="inlineStr">
        <is>
          <t>A</t>
        </is>
      </c>
      <c r="G745" s="14" t="n">
        <v>25771.23</v>
      </c>
      <c r="H745" s="14" t="n">
        <v>-25614.09</v>
      </c>
      <c r="I745" s="14" t="n">
        <v>25771.2288</v>
      </c>
      <c r="J745" s="14" t="n">
        <v>157.1399999999994</v>
      </c>
      <c r="K745" s="21" t="n">
        <v>46131.44873842593</v>
      </c>
      <c r="L745" s="21" t="n">
        <v>46129</v>
      </c>
      <c r="M745" s="8" t="inlineStr"/>
      <c r="N745" s="8" t="inlineStr">
        <is>
          <t>Разработчик/поддержка бота ETM</t>
        </is>
      </c>
      <c r="O745" s="8" t="inlineStr">
        <is>
          <t>g.omurbekova</t>
        </is>
      </c>
      <c r="P745" s="12" t="inlineStr">
        <is>
          <t>Реестр (25,771.23) совпадает с 1С (25,771.23), а в ETM 25,614.09: бот перенёс неверную сумму</t>
        </is>
      </c>
      <c r="Q745" s="8" t="inlineStr">
        <is>
          <t>57212625</t>
        </is>
      </c>
    </row>
    <row r="746">
      <c r="A746" s="8" t="inlineStr">
        <is>
          <t>G05904</t>
        </is>
      </c>
      <c r="B746" s="8" t="inlineStr">
        <is>
          <t>Асанова Каныкей Эсенбекевна</t>
        </is>
      </c>
      <c r="C746" s="8" t="inlineStr">
        <is>
          <t>2476317110</t>
        </is>
      </c>
      <c r="D746" s="8" t="inlineStr">
        <is>
          <t>Сумма не сходится</t>
        </is>
      </c>
      <c r="E746" s="8" t="inlineStr">
        <is>
          <t>Бот ETM</t>
        </is>
      </c>
      <c r="F746" s="8" t="inlineStr">
        <is>
          <t>A</t>
        </is>
      </c>
      <c r="G746" s="14" t="n">
        <v>16399.88</v>
      </c>
      <c r="H746" s="14" t="n">
        <v>-16552.82</v>
      </c>
      <c r="I746" s="14" t="n">
        <v>16399.88</v>
      </c>
      <c r="J746" s="14" t="n">
        <v>-152.9399999999987</v>
      </c>
      <c r="K746" s="21" t="n">
        <v>46203.79913194444</v>
      </c>
      <c r="L746" s="21" t="n">
        <v>46202</v>
      </c>
      <c r="M746" s="8" t="inlineStr"/>
      <c r="N746" s="8" t="inlineStr">
        <is>
          <t>Разработчик/поддержка бота ETM</t>
        </is>
      </c>
      <c r="O746" s="8" t="inlineStr">
        <is>
          <t>a.toktosunova</t>
        </is>
      </c>
      <c r="P746" s="12" t="inlineStr">
        <is>
          <t>Реестр (16,399.88) совпадает с 1С (16,399.88), а в ETM 16,552.82: бот перенёс неверную сумму</t>
        </is>
      </c>
      <c r="Q746" s="8" t="inlineStr">
        <is>
          <t>57411800</t>
        </is>
      </c>
    </row>
    <row r="747">
      <c r="A747" s="8" t="inlineStr">
        <is>
          <t>G12695</t>
        </is>
      </c>
      <c r="B747" s="8" t="inlineStr">
        <is>
          <t>Салам Авиакасса</t>
        </is>
      </c>
      <c r="C747" s="8" t="inlineStr">
        <is>
          <t>2552670330</t>
        </is>
      </c>
      <c r="D747" s="8" t="inlineStr">
        <is>
          <t>Сумма не сходится</t>
        </is>
      </c>
      <c r="E747" s="8" t="inlineStr">
        <is>
          <t>Бот ETM</t>
        </is>
      </c>
      <c r="F747" s="8" t="inlineStr">
        <is>
          <t>A</t>
        </is>
      </c>
      <c r="G747" s="14" t="n">
        <v>20026.18</v>
      </c>
      <c r="H747" s="14" t="n">
        <v>-20179.09</v>
      </c>
      <c r="I747" s="14" t="n">
        <v>20026.1825</v>
      </c>
      <c r="J747" s="14" t="n">
        <v>-152.9100000000035</v>
      </c>
      <c r="K747" s="21" t="n">
        <v>46073.34013888889</v>
      </c>
      <c r="L747" s="21" t="n">
        <v>46072</v>
      </c>
      <c r="M747" s="8" t="inlineStr"/>
      <c r="N747" s="8" t="inlineStr">
        <is>
          <t>Разработчик/поддержка бота ETM</t>
        </is>
      </c>
      <c r="O747" s="8" t="inlineStr">
        <is>
          <t>e.satarov|n.abdyldaeva</t>
        </is>
      </c>
      <c r="P747" s="12" t="inlineStr">
        <is>
          <t>Реестр (20,026.18) совпадает с 1С (20,026.18), а в ETM 20,179.09: бот перенёс неверную сумму</t>
        </is>
      </c>
      <c r="Q747" s="8" t="inlineStr">
        <is>
          <t>57098424,57195840</t>
        </is>
      </c>
    </row>
    <row r="748">
      <c r="A748" s="8" t="inlineStr">
        <is>
          <t>G10028</t>
        </is>
      </c>
      <c r="B748" s="8" t="inlineStr">
        <is>
          <t>Мамбет уулу Чынгыз</t>
        </is>
      </c>
      <c r="C748" s="8" t="inlineStr">
        <is>
          <t>2420848716|2420848718</t>
        </is>
      </c>
      <c r="D748" s="8" t="inlineStr">
        <is>
          <t>Сумма не сходится</t>
        </is>
      </c>
      <c r="E748" s="8" t="inlineStr">
        <is>
          <t>Бот ETM</t>
        </is>
      </c>
      <c r="F748" s="8" t="inlineStr">
        <is>
          <t>A</t>
        </is>
      </c>
      <c r="G748" s="14" t="n">
        <v>7562.009999999995</v>
      </c>
      <c r="H748" s="14" t="n">
        <v>-7714.349999999999</v>
      </c>
      <c r="I748" s="14" t="n">
        <v>7562.009999999995</v>
      </c>
      <c r="J748" s="14" t="n">
        <v>-152.3400000000038</v>
      </c>
      <c r="K748" s="21" t="n">
        <v>46166.57181712963</v>
      </c>
      <c r="L748" s="21" t="n">
        <v>46165</v>
      </c>
      <c r="M748" s="8" t="inlineStr"/>
      <c r="N748" s="8" t="inlineStr">
        <is>
          <t>Разработчик/поддержка бота ETM</t>
        </is>
      </c>
      <c r="O748" s="8" t="inlineStr">
        <is>
          <t>b.isakov|k.dzhumaev</t>
        </is>
      </c>
      <c r="P748" s="12" t="inlineStr">
        <is>
          <t>Реестр (7,562.01) совпадает с 1С (7,562.01), а в ETM 7,714.35: бот перенёс неверную сумму</t>
        </is>
      </c>
      <c r="Q748" s="8" t="inlineStr">
        <is>
          <t>57311503,57449621</t>
        </is>
      </c>
    </row>
    <row r="749">
      <c r="A749" s="8" t="inlineStr">
        <is>
          <t>G05218</t>
        </is>
      </c>
      <c r="B749" s="8" t="inlineStr">
        <is>
          <t>Ак-Куу Авиа</t>
        </is>
      </c>
      <c r="C749" s="8" t="inlineStr">
        <is>
          <t>2476317138</t>
        </is>
      </c>
      <c r="D749" s="8" t="inlineStr">
        <is>
          <t>Сумма не сходится</t>
        </is>
      </c>
      <c r="E749" s="8" t="inlineStr">
        <is>
          <t>Бот ETM</t>
        </is>
      </c>
      <c r="F749" s="8" t="inlineStr">
        <is>
          <t>A</t>
        </is>
      </c>
      <c r="G749" s="14" t="n">
        <v>15549.99</v>
      </c>
      <c r="H749" s="14" t="n">
        <v>-15700.98</v>
      </c>
      <c r="I749" s="14" t="n">
        <v>15549.99</v>
      </c>
      <c r="J749" s="14" t="n">
        <v>-150.9899999999998</v>
      </c>
      <c r="K749" s="21" t="n">
        <v>46153.52251157408</v>
      </c>
      <c r="L749" s="21" t="n">
        <v>46152</v>
      </c>
      <c r="M749" s="8" t="inlineStr"/>
      <c r="N749" s="8" t="inlineStr">
        <is>
          <t>Разработчик/поддержка бота ETM</t>
        </is>
      </c>
      <c r="O749" s="8" t="inlineStr">
        <is>
          <t>a.toktosunova</t>
        </is>
      </c>
      <c r="P749" s="12" t="inlineStr">
        <is>
          <t>Реестр (15,549.99) совпадает с 1С (15,549.99), а в ETM 15,700.98: бот перенёс неверную сумму</t>
        </is>
      </c>
      <c r="Q749" s="8" t="inlineStr">
        <is>
          <t>57269917</t>
        </is>
      </c>
    </row>
    <row r="750">
      <c r="A750" s="8" t="inlineStr">
        <is>
          <t>G05599</t>
        </is>
      </c>
      <c r="B750" s="8" t="inlineStr">
        <is>
          <t>Ак-Куу Тур</t>
        </is>
      </c>
      <c r="C750" s="8" t="inlineStr">
        <is>
          <t>2476315616</t>
        </is>
      </c>
      <c r="D750" s="8" t="inlineStr">
        <is>
          <t>Сумма не сходится</t>
        </is>
      </c>
      <c r="E750" s="8" t="inlineStr">
        <is>
          <t>Бот ETM</t>
        </is>
      </c>
      <c r="F750" s="8" t="inlineStr">
        <is>
          <t>A</t>
        </is>
      </c>
      <c r="G750" s="14" t="n">
        <v>15216.53</v>
      </c>
      <c r="H750" s="14" t="n">
        <v>-15066.36</v>
      </c>
      <c r="I750" s="14" t="n">
        <v>15216.53</v>
      </c>
      <c r="J750" s="14" t="n">
        <v>150.1700000000001</v>
      </c>
      <c r="K750" s="21" t="n">
        <v>46128.33793981482</v>
      </c>
      <c r="L750" s="21" t="n">
        <v>46127</v>
      </c>
      <c r="M750" s="8" t="inlineStr"/>
      <c r="N750" s="8" t="inlineStr">
        <is>
          <t>Разработчик/поддержка бота ETM</t>
        </is>
      </c>
      <c r="O750" s="8" t="inlineStr">
        <is>
          <t>g.omurbekova</t>
        </is>
      </c>
      <c r="P750" s="12" t="inlineStr">
        <is>
          <t>Реестр (15,216.53) совпадает с 1С (15,216.53), а в ETM 15,066.36: бот перенёс неверную сумму</t>
        </is>
      </c>
      <c r="Q750" s="8" t="inlineStr">
        <is>
          <t>57208656</t>
        </is>
      </c>
    </row>
    <row r="751">
      <c r="A751" s="8" t="inlineStr">
        <is>
          <t>G07724</t>
        </is>
      </c>
      <c r="B751" s="8" t="inlineStr">
        <is>
          <t>ИП Абдылдаова У. О.</t>
        </is>
      </c>
      <c r="C751" s="8" t="inlineStr">
        <is>
          <t>2476315319</t>
        </is>
      </c>
      <c r="D751" s="8" t="inlineStr">
        <is>
          <t>Сумма не сходится</t>
        </is>
      </c>
      <c r="E751" s="8" t="inlineStr">
        <is>
          <t>Бот ETM</t>
        </is>
      </c>
      <c r="F751" s="8" t="inlineStr">
        <is>
          <t>A</t>
        </is>
      </c>
      <c r="G751" s="14" t="n">
        <v>15214.67</v>
      </c>
      <c r="H751" s="14" t="n">
        <v>-15362.34</v>
      </c>
      <c r="I751" s="14" t="n">
        <v>15214.67</v>
      </c>
      <c r="J751" s="14" t="n">
        <v>-147.6700000000001</v>
      </c>
      <c r="K751" s="21" t="n">
        <v>46035.71295138889</v>
      </c>
      <c r="L751" s="21" t="n">
        <v>46033</v>
      </c>
      <c r="M751" s="8" t="inlineStr"/>
      <c r="N751" s="8" t="inlineStr">
        <is>
          <t>Разработчик/поддержка бота ETM</t>
        </is>
      </c>
      <c r="O751" s="8" t="inlineStr">
        <is>
          <t>g.omurbekova</t>
        </is>
      </c>
      <c r="P751" s="12" t="inlineStr">
        <is>
          <t>Реестр (15,214.67) совпадает с 1С (15,214.67), а в ETM 15,362.34: бот перенёс неверную сумму</t>
        </is>
      </c>
      <c r="Q751" s="8" t="inlineStr">
        <is>
          <t>57019760</t>
        </is>
      </c>
    </row>
    <row r="752">
      <c r="A752" s="8" t="inlineStr">
        <is>
          <t>G09186</t>
        </is>
      </c>
      <c r="B752" s="8" t="inlineStr">
        <is>
          <t>ИССЫК ТРИП</t>
        </is>
      </c>
      <c r="C752" s="8" t="inlineStr">
        <is>
          <t>2476314390</t>
        </is>
      </c>
      <c r="D752" s="8" t="inlineStr">
        <is>
          <t>Сумма не сходится</t>
        </is>
      </c>
      <c r="E752" s="8" t="inlineStr">
        <is>
          <t>Бот ETM</t>
        </is>
      </c>
      <c r="F752" s="8" t="inlineStr">
        <is>
          <t>A</t>
        </is>
      </c>
      <c r="G752" s="14" t="n">
        <v>3545.59</v>
      </c>
      <c r="H752" s="14" t="n">
        <v>-3691.799999999999</v>
      </c>
      <c r="I752" s="14" t="n">
        <v>3545.589999999998</v>
      </c>
      <c r="J752" s="14" t="n">
        <v>-146.2099999999991</v>
      </c>
      <c r="K752" s="21" t="n">
        <v>46117.5749537037</v>
      </c>
      <c r="L752" s="21" t="n">
        <v>46115</v>
      </c>
      <c r="M752" s="8" t="inlineStr"/>
      <c r="N752" s="8" t="inlineStr">
        <is>
          <t>Разработчик/поддержка бота ETM</t>
        </is>
      </c>
      <c r="O752" s="8" t="inlineStr">
        <is>
          <t>g.omurbekova|n.abdyldaeva</t>
        </is>
      </c>
      <c r="P752" s="12" t="inlineStr">
        <is>
          <t>Реестр (3,545.59) совпадает с 1С (3,545.59), а в ETM 3,691.80: бот перенёс неверную сумму</t>
        </is>
      </c>
      <c r="Q752" s="8" t="inlineStr">
        <is>
          <t>57187683,57303517</t>
        </is>
      </c>
    </row>
    <row r="753">
      <c r="A753" s="8" t="inlineStr">
        <is>
          <t>G00972</t>
        </is>
      </c>
      <c r="B753" s="8" t="inlineStr">
        <is>
          <t>Jailoo Trip</t>
        </is>
      </c>
      <c r="C753" s="8" t="inlineStr">
        <is>
          <t>2420847081</t>
        </is>
      </c>
      <c r="D753" s="8" t="inlineStr">
        <is>
          <t>Сумма не сходится</t>
        </is>
      </c>
      <c r="E753" s="8" t="inlineStr">
        <is>
          <t>Бот ETM</t>
        </is>
      </c>
      <c r="F753" s="8" t="inlineStr">
        <is>
          <t>A</t>
        </is>
      </c>
      <c r="G753" s="14" t="n">
        <v>17244.9</v>
      </c>
      <c r="H753" s="14" t="n">
        <v>-17100.17</v>
      </c>
      <c r="I753" s="14" t="n">
        <v>17244.9008</v>
      </c>
      <c r="J753" s="14" t="n">
        <v>144.7300000000032</v>
      </c>
      <c r="K753" s="21" t="n">
        <v>46180.50263888889</v>
      </c>
      <c r="L753" s="21" t="n">
        <v>46179</v>
      </c>
      <c r="M753" s="8" t="inlineStr"/>
      <c r="N753" s="8" t="inlineStr">
        <is>
          <t>Разработчик/поддержка бота ETM</t>
        </is>
      </c>
      <c r="O753" s="8" t="inlineStr">
        <is>
          <t>e.satarov</t>
        </is>
      </c>
      <c r="P753" s="12" t="inlineStr">
        <is>
          <t>Реестр (17,244.90) совпадает с 1С (17,244.90), а в ETM 17,100.17: бот перенёс неверную сумму</t>
        </is>
      </c>
      <c r="Q753" s="8" t="inlineStr">
        <is>
          <t>57347139</t>
        </is>
      </c>
    </row>
    <row r="754">
      <c r="A754" s="8" t="inlineStr">
        <is>
          <t>G04549</t>
        </is>
      </c>
      <c r="B754" s="8" t="inlineStr">
        <is>
          <t>Абдылдаов Д. М.</t>
        </is>
      </c>
      <c r="C754" s="8" t="inlineStr">
        <is>
          <t>2416943680</t>
        </is>
      </c>
      <c r="D754" s="8" t="inlineStr">
        <is>
          <t>Сумма не сходится</t>
        </is>
      </c>
      <c r="E754" s="8" t="inlineStr">
        <is>
          <t>Бот ETM</t>
        </is>
      </c>
      <c r="F754" s="8" t="inlineStr">
        <is>
          <t>A</t>
        </is>
      </c>
      <c r="G754" s="14" t="n">
        <v>22624.85</v>
      </c>
      <c r="H754" s="14" t="n">
        <v>-22758.23</v>
      </c>
      <c r="I754" s="14" t="n">
        <v>22624.85</v>
      </c>
      <c r="J754" s="14" t="n">
        <v>-133.380000000001</v>
      </c>
      <c r="K754" s="21" t="n">
        <v>46182.4572800926</v>
      </c>
      <c r="L754" s="21" t="n">
        <v>46181</v>
      </c>
      <c r="M754" s="8" t="inlineStr"/>
      <c r="N754" s="8" t="inlineStr">
        <is>
          <t>Разработчик/поддержка бота ETM</t>
        </is>
      </c>
      <c r="O754" s="8" t="inlineStr">
        <is>
          <t>b.isakov</t>
        </is>
      </c>
      <c r="P754" s="12" t="inlineStr">
        <is>
          <t>Реестр (22,624.85) совпадает с 1С (22,624.85), а в ETM 22,758.23: бот перенёс неверную сумму</t>
        </is>
      </c>
      <c r="Q754" s="8" t="inlineStr">
        <is>
          <t>57352148</t>
        </is>
      </c>
    </row>
    <row r="755">
      <c r="A755" s="8" t="inlineStr">
        <is>
          <t>G15423</t>
        </is>
      </c>
      <c r="B755" s="8" t="inlineStr">
        <is>
          <t>Эсенбеков Кубат Элдияревич</t>
        </is>
      </c>
      <c r="C755" s="8" t="inlineStr">
        <is>
          <t>2552667711</t>
        </is>
      </c>
      <c r="D755" s="8" t="inlineStr">
        <is>
          <t>Сумма не сходится</t>
        </is>
      </c>
      <c r="E755" s="8" t="inlineStr">
        <is>
          <t>Бот ETM</t>
        </is>
      </c>
      <c r="F755" s="8" t="inlineStr">
        <is>
          <t>A</t>
        </is>
      </c>
      <c r="G755" s="14" t="n">
        <v>23542.56</v>
      </c>
      <c r="H755" s="14" t="n">
        <v>-23415.44</v>
      </c>
      <c r="I755" s="14" t="n">
        <v>23542.5625</v>
      </c>
      <c r="J755" s="14" t="n">
        <v>127.1200000000026</v>
      </c>
      <c r="K755" s="21" t="n">
        <v>46166.75337962963</v>
      </c>
      <c r="L755" s="21" t="n">
        <v>46164</v>
      </c>
      <c r="M755" s="8" t="inlineStr"/>
      <c r="N755" s="8" t="inlineStr">
        <is>
          <t>Разработчик/поддержка бота ETM</t>
        </is>
      </c>
      <c r="O755" s="8" t="inlineStr">
        <is>
          <t>g.omurbekova</t>
        </is>
      </c>
      <c r="P755" s="12" t="inlineStr">
        <is>
          <t>Реестр (23,542.56) совпадает с 1С (23,542.56), а в ETM 23,415.44: бот перенёс неверную сумму</t>
        </is>
      </c>
      <c r="Q755" s="8" t="inlineStr">
        <is>
          <t>57306477</t>
        </is>
      </c>
    </row>
    <row r="756">
      <c r="A756" s="8" t="inlineStr">
        <is>
          <t>G11980</t>
        </is>
      </c>
      <c r="B756" s="8" t="inlineStr">
        <is>
          <t>ОсОО Чолпон Авиакасса</t>
        </is>
      </c>
      <c r="C756" s="8" t="inlineStr">
        <is>
          <t>2420845537</t>
        </is>
      </c>
      <c r="D756" s="8" t="inlineStr">
        <is>
          <t>Сумма не сходится</t>
        </is>
      </c>
      <c r="E756" s="8" t="inlineStr">
        <is>
          <t>Бот ETM</t>
        </is>
      </c>
      <c r="F756" s="8" t="inlineStr">
        <is>
          <t>A</t>
        </is>
      </c>
      <c r="G756" s="14" t="n">
        <v>0</v>
      </c>
      <c r="H756" s="14" t="n">
        <v>-125.3999999999996</v>
      </c>
      <c r="I756" s="14" t="n">
        <v>-0.004800000000614091</v>
      </c>
      <c r="J756" s="14" t="n">
        <v>-125.3999999999996</v>
      </c>
      <c r="K756" s="21" t="n">
        <v>46129.70357638889</v>
      </c>
      <c r="L756" s="21" t="n">
        <v>46127</v>
      </c>
      <c r="M756" s="8" t="inlineStr"/>
      <c r="N756" s="8" t="inlineStr">
        <is>
          <t>Разработчик/поддержка бота ETM</t>
        </is>
      </c>
      <c r="O756" s="8" t="inlineStr">
        <is>
          <t>a.toktosunova|d.mambetova</t>
        </is>
      </c>
      <c r="P756" s="12" t="inlineStr">
        <is>
          <t>Реестр (-0.00) совпадает с 1С (0.00), а в ETM 125.40: бот перенёс неверную сумму</t>
        </is>
      </c>
      <c r="Q756" s="8" t="inlineStr">
        <is>
          <t>57208883,57247275</t>
        </is>
      </c>
    </row>
    <row r="757">
      <c r="A757" s="8" t="inlineStr">
        <is>
          <t>G08786</t>
        </is>
      </c>
      <c r="B757" s="8" t="inlineStr">
        <is>
          <t>ИП Турсунов Т. А.</t>
        </is>
      </c>
      <c r="C757" s="8" t="inlineStr">
        <is>
          <t>2552670726</t>
        </is>
      </c>
      <c r="D757" s="8" t="inlineStr">
        <is>
          <t>Сумма не сходится</t>
        </is>
      </c>
      <c r="E757" s="8" t="inlineStr">
        <is>
          <t>Бот ETM</t>
        </is>
      </c>
      <c r="F757" s="8" t="inlineStr">
        <is>
          <t>A</t>
        </is>
      </c>
      <c r="G757" s="14" t="n">
        <v>20582.58</v>
      </c>
      <c r="H757" s="14" t="n">
        <v>-20462.2</v>
      </c>
      <c r="I757" s="14" t="n">
        <v>20582.58</v>
      </c>
      <c r="J757" s="14" t="n">
        <v>120.380000000001</v>
      </c>
      <c r="K757" s="21" t="n">
        <v>46050.5684837963</v>
      </c>
      <c r="L757" s="21" t="n">
        <v>46048</v>
      </c>
      <c r="M757" s="8" t="inlineStr"/>
      <c r="N757" s="8" t="inlineStr">
        <is>
          <t>Разработчик/поддержка бота ETM</t>
        </is>
      </c>
      <c r="O757" s="8" t="inlineStr">
        <is>
          <t>b.isakov</t>
        </is>
      </c>
      <c r="P757" s="12" t="inlineStr">
        <is>
          <t>Реестр (20,582.58) совпадает с 1С (20,582.58), а в ETM 20,462.20: бот перенёс неверную сумму</t>
        </is>
      </c>
      <c r="Q757" s="8" t="inlineStr">
        <is>
          <t>57054413</t>
        </is>
      </c>
    </row>
    <row r="758">
      <c r="A758" s="8" t="inlineStr">
        <is>
          <t>G05934</t>
        </is>
      </c>
      <c r="B758" s="8" t="inlineStr">
        <is>
          <t>БАЙТУР ТУРИЗМ</t>
        </is>
      </c>
      <c r="C758" s="8" t="inlineStr">
        <is>
          <t>2420844092</t>
        </is>
      </c>
      <c r="D758" s="8" t="inlineStr">
        <is>
          <t>Сумма не сходится</t>
        </is>
      </c>
      <c r="E758" s="8" t="inlineStr">
        <is>
          <t>Бот ETM</t>
        </is>
      </c>
      <c r="F758" s="8" t="inlineStr">
        <is>
          <t>A</t>
        </is>
      </c>
      <c r="G758" s="14" t="n">
        <v>17759.87</v>
      </c>
      <c r="H758" s="14" t="n">
        <v>-17861.6</v>
      </c>
      <c r="I758" s="14" t="n">
        <v>17759.8705</v>
      </c>
      <c r="J758" s="14" t="n">
        <v>-101.7299999999996</v>
      </c>
      <c r="K758" s="21" t="n">
        <v>46192.51585648148</v>
      </c>
      <c r="L758" s="21" t="n">
        <v>46190</v>
      </c>
      <c r="M758" s="8" t="inlineStr"/>
      <c r="N758" s="8" t="inlineStr">
        <is>
          <t>Разработчик/поддержка бота ETM</t>
        </is>
      </c>
      <c r="O758" s="8" t="inlineStr">
        <is>
          <t>g.omurbekova</t>
        </is>
      </c>
      <c r="P758" s="12" t="inlineStr">
        <is>
          <t>Реестр (17,759.87) совпадает с 1С (17,759.87), а в ETM 17,861.60: бот перенёс неверную сумму</t>
        </is>
      </c>
      <c r="Q758" s="8" t="inlineStr">
        <is>
          <t>57375638</t>
        </is>
      </c>
    </row>
    <row r="759">
      <c r="A759" s="8" t="inlineStr">
        <is>
          <t>G05359</t>
        </is>
      </c>
      <c r="B759" s="8" t="inlineStr">
        <is>
          <t>Ак-Куу Авиа</t>
        </is>
      </c>
      <c r="C759" s="8" t="inlineStr">
        <is>
          <t>2552673128</t>
        </is>
      </c>
      <c r="D759" s="8" t="inlineStr">
        <is>
          <t>Сумма не сходится</t>
        </is>
      </c>
      <c r="E759" s="8" t="inlineStr">
        <is>
          <t>Бот ETM</t>
        </is>
      </c>
      <c r="F759" s="8" t="inlineStr">
        <is>
          <t>A</t>
        </is>
      </c>
      <c r="G759" s="14" t="n">
        <v>8409.100000000002</v>
      </c>
      <c r="H759" s="14" t="n">
        <v>-8307.899999999998</v>
      </c>
      <c r="I759" s="14" t="n">
        <v>8409.100000000002</v>
      </c>
      <c r="J759" s="14" t="n">
        <v>101.2000000000044</v>
      </c>
      <c r="K759" s="21" t="n">
        <v>46200.42027777778</v>
      </c>
      <c r="L759" s="21" t="n">
        <v>46199</v>
      </c>
      <c r="M759" s="8" t="inlineStr"/>
      <c r="N759" s="8" t="inlineStr">
        <is>
          <t>Разработчик/поддержка бота ETM</t>
        </is>
      </c>
      <c r="O759" s="8" t="inlineStr">
        <is>
          <t>n.abdyldaeva|r.sydykov</t>
        </is>
      </c>
      <c r="P759" s="12" t="inlineStr">
        <is>
          <t>Реестр (8,409.10) совпадает с 1С (8,409.10), а в ETM 8,307.90: бот перенёс неверную сумму</t>
        </is>
      </c>
      <c r="Q759" s="8" t="inlineStr">
        <is>
          <t>57404512,57483196</t>
        </is>
      </c>
    </row>
    <row r="760">
      <c r="A760" s="8" t="inlineStr">
        <is>
          <t>G11630</t>
        </is>
      </c>
      <c r="B760" s="8" t="inlineStr">
        <is>
          <t>ОсОО Кок-Жайык Вояж</t>
        </is>
      </c>
      <c r="C760" s="8" t="inlineStr">
        <is>
          <t>2420844514</t>
        </is>
      </c>
      <c r="D760" s="8" t="inlineStr">
        <is>
          <t>Сумма не сходится</t>
        </is>
      </c>
      <c r="E760" s="8" t="inlineStr">
        <is>
          <t>Бот ETM</t>
        </is>
      </c>
      <c r="F760" s="8" t="inlineStr">
        <is>
          <t>A</t>
        </is>
      </c>
      <c r="G760" s="14" t="n">
        <v>6373.239999999998</v>
      </c>
      <c r="H760" s="14" t="n">
        <v>-6471.77</v>
      </c>
      <c r="I760" s="14" t="n">
        <v>6373.235999999997</v>
      </c>
      <c r="J760" s="14" t="n">
        <v>-98.53000000000247</v>
      </c>
      <c r="K760" s="21" t="n">
        <v>46154.35761574074</v>
      </c>
      <c r="L760" s="21" t="n">
        <v>46152</v>
      </c>
      <c r="M760" s="8" t="inlineStr"/>
      <c r="N760" s="8" t="inlineStr">
        <is>
          <t>Разработчик/поддержка бота ETM</t>
        </is>
      </c>
      <c r="O760" s="8" t="inlineStr">
        <is>
          <t>d.mambetova|n.abdyldaeva</t>
        </is>
      </c>
      <c r="P760" s="12" t="inlineStr">
        <is>
          <t>Реестр (6,373.24) совпадает с 1С (6,373.24), а в ETM 6,471.77: бот перенёс неверную сумму</t>
        </is>
      </c>
      <c r="Q760" s="8" t="inlineStr">
        <is>
          <t>57269704,57309611</t>
        </is>
      </c>
    </row>
    <row r="761">
      <c r="A761" s="8" t="inlineStr">
        <is>
          <t>G10505</t>
        </is>
      </c>
      <c r="B761" s="8" t="inlineStr">
        <is>
          <t>Манас Тур</t>
        </is>
      </c>
      <c r="C761" s="8" t="inlineStr">
        <is>
          <t>2416943026</t>
        </is>
      </c>
      <c r="D761" s="8" t="inlineStr">
        <is>
          <t>Сумма не сходится</t>
        </is>
      </c>
      <c r="E761" s="8" t="inlineStr">
        <is>
          <t>Бот ETM</t>
        </is>
      </c>
      <c r="F761" s="8" t="inlineStr">
        <is>
          <t>A</t>
        </is>
      </c>
      <c r="G761" s="14" t="n">
        <v>0</v>
      </c>
      <c r="H761" s="14" t="n">
        <v>86.06999999999971</v>
      </c>
      <c r="I761" s="14" t="n">
        <v>0</v>
      </c>
      <c r="J761" s="14" t="n">
        <v>86.06999999999971</v>
      </c>
      <c r="K761" s="21" t="n">
        <v>46095.55486111111</v>
      </c>
      <c r="L761" s="21" t="n">
        <v>46094</v>
      </c>
      <c r="M761" s="8" t="inlineStr"/>
      <c r="N761" s="8" t="inlineStr">
        <is>
          <t>Разработчик/поддержка бота ETM</t>
        </is>
      </c>
      <c r="O761" s="8" t="inlineStr">
        <is>
          <t>a.toktosunova|d.mambetova</t>
        </is>
      </c>
      <c r="P761" s="12" t="inlineStr">
        <is>
          <t>Реестр (0.00) совпадает с 1С (0.00), а в ETM -86.07: бот перенёс неверную сумму</t>
        </is>
      </c>
      <c r="Q761" s="8" t="inlineStr">
        <is>
          <t>57145273,57189498</t>
        </is>
      </c>
    </row>
    <row r="762">
      <c r="A762" s="8" t="inlineStr">
        <is>
          <t>G14927</t>
        </is>
      </c>
      <c r="B762" s="8" t="inlineStr">
        <is>
          <t>Ыйык Тур</t>
        </is>
      </c>
      <c r="C762" s="8" t="inlineStr">
        <is>
          <t>2416944759</t>
        </is>
      </c>
      <c r="D762" s="8" t="inlineStr">
        <is>
          <t>Сумма не сходится</t>
        </is>
      </c>
      <c r="E762" s="8" t="inlineStr">
        <is>
          <t>Бот ETM</t>
        </is>
      </c>
      <c r="F762" s="8" t="inlineStr">
        <is>
          <t>A</t>
        </is>
      </c>
      <c r="G762" s="14" t="n">
        <v>0</v>
      </c>
      <c r="H762" s="14" t="n">
        <v>83.38000000000102</v>
      </c>
      <c r="I762" s="14" t="n">
        <v>0</v>
      </c>
      <c r="J762" s="14" t="n">
        <v>83.38000000000102</v>
      </c>
      <c r="K762" s="21" t="n">
        <v>46039.47706018519</v>
      </c>
      <c r="L762" s="21" t="n">
        <v>46038</v>
      </c>
      <c r="M762" s="8" t="inlineStr"/>
      <c r="N762" s="8" t="inlineStr">
        <is>
          <t>Разработчик/поддержка бота ETM</t>
        </is>
      </c>
      <c r="O762" s="8" t="inlineStr">
        <is>
          <t>d.mambetova|e.satarov</t>
        </is>
      </c>
      <c r="P762" s="12" t="inlineStr">
        <is>
          <t>Реестр (0.00) совпадает с 1С (0.00), а в ETM -83.38: бот перенёс неверную сумму</t>
        </is>
      </c>
      <c r="Q762" s="8" t="inlineStr">
        <is>
          <t>57032674,57042158</t>
        </is>
      </c>
    </row>
    <row r="763">
      <c r="A763" s="8" t="inlineStr">
        <is>
          <t>G12711</t>
        </is>
      </c>
      <c r="B763" s="8" t="inlineStr">
        <is>
          <t>Салам Авиакасса</t>
        </is>
      </c>
      <c r="C763" s="8" t="inlineStr">
        <is>
          <t>2559101937</t>
        </is>
      </c>
      <c r="D763" s="8" t="inlineStr">
        <is>
          <t>Сумма не сходится</t>
        </is>
      </c>
      <c r="E763" s="8" t="inlineStr">
        <is>
          <t>Бот ETM</t>
        </is>
      </c>
      <c r="F763" s="8" t="inlineStr">
        <is>
          <t>A</t>
        </is>
      </c>
      <c r="G763" s="14" t="n">
        <v>0</v>
      </c>
      <c r="H763" s="14" t="n">
        <v>-63.84000000000015</v>
      </c>
      <c r="I763" s="14" t="n">
        <v>0</v>
      </c>
      <c r="J763" s="14" t="n">
        <v>-63.84000000000015</v>
      </c>
      <c r="K763" s="21" t="n">
        <v>46132.3819212963</v>
      </c>
      <c r="L763" s="21" t="n">
        <v>46131</v>
      </c>
      <c r="M763" s="8" t="inlineStr"/>
      <c r="N763" s="8" t="inlineStr">
        <is>
          <t>Разработчик/поддержка бота ETM</t>
        </is>
      </c>
      <c r="O763" s="8" t="inlineStr">
        <is>
          <t>g.omurbekova|r.sydykov</t>
        </is>
      </c>
      <c r="P763" s="12" t="inlineStr">
        <is>
          <t>Реестр (0.00) совпадает с 1С (0.00), а в ETM 63.84: бот перенёс неверную сумму</t>
        </is>
      </c>
      <c r="Q763" s="8" t="inlineStr">
        <is>
          <t>57215885,57339939</t>
        </is>
      </c>
    </row>
    <row r="764">
      <c r="A764" s="8" t="inlineStr">
        <is>
          <t>G02148</t>
        </is>
      </c>
      <c r="B764" s="8" t="inlineStr">
        <is>
          <t>Silk Route Air</t>
        </is>
      </c>
      <c r="C764" s="8" t="inlineStr">
        <is>
          <t>2420845688</t>
        </is>
      </c>
      <c r="D764" s="8" t="inlineStr">
        <is>
          <t>Сумма не сходится</t>
        </is>
      </c>
      <c r="E764" s="8" t="inlineStr">
        <is>
          <t>Бот ETM</t>
        </is>
      </c>
      <c r="F764" s="8" t="inlineStr">
        <is>
          <t>A</t>
        </is>
      </c>
      <c r="G764" s="14" t="n">
        <v>7874.78</v>
      </c>
      <c r="H764" s="14" t="n">
        <v>-7926.330000000001</v>
      </c>
      <c r="I764" s="14" t="n">
        <v>7874.777999999999</v>
      </c>
      <c r="J764" s="14" t="n">
        <v>-51.55000000000109</v>
      </c>
      <c r="K764" s="21" t="n">
        <v>46158.83091435185</v>
      </c>
      <c r="L764" s="21" t="n">
        <v>46156</v>
      </c>
      <c r="M764" s="8" t="inlineStr"/>
      <c r="N764" s="8" t="inlineStr">
        <is>
          <t>Разработчик/поддержка бота ETM</t>
        </is>
      </c>
      <c r="O764" s="8" t="inlineStr">
        <is>
          <t>a.toktosunova</t>
        </is>
      </c>
      <c r="P764" s="12" t="inlineStr">
        <is>
          <t>Реестр (7,874.78) совпадает с 1С (7,874.78), а в ETM 7,926.33: бот перенёс неверную сумму</t>
        </is>
      </c>
      <c r="Q764" s="8" t="inlineStr">
        <is>
          <t>57283612,57419384</t>
        </is>
      </c>
    </row>
    <row r="765">
      <c r="A765" s="8" t="inlineStr">
        <is>
          <t>G07810</t>
        </is>
      </c>
      <c r="B765" s="8" t="inlineStr">
        <is>
          <t>ИП Асанов К. Б.</t>
        </is>
      </c>
      <c r="C765" s="8" t="inlineStr">
        <is>
          <t>2416943487|2416943489|2416943490</t>
        </is>
      </c>
      <c r="D765" s="8" t="inlineStr">
        <is>
          <t>В реестре билет вместо суммы</t>
        </is>
      </c>
      <c r="E765" s="8" t="inlineStr">
        <is>
          <t>Реестр (сотрудник)</t>
        </is>
      </c>
      <c r="F765" s="8" t="inlineStr">
        <is>
          <t>A</t>
        </is>
      </c>
      <c r="G765" s="14" t="n">
        <v>62792.73</v>
      </c>
      <c r="H765" s="14" t="n">
        <v>-62792.73</v>
      </c>
      <c r="I765" s="14" t="n"/>
      <c r="J765" s="14" t="n">
        <v>7.275957614183426e-12</v>
      </c>
      <c r="K765" s="21" t="n">
        <v>46209.37482638889</v>
      </c>
      <c r="L765" s="21" t="n">
        <v>46209</v>
      </c>
      <c r="M765" s="8" t="inlineStr"/>
      <c r="N765" s="8" t="inlineStr">
        <is>
          <t>Сотрудник, ведущий реестр</t>
        </is>
      </c>
      <c r="O765" s="8" t="inlineStr">
        <is>
          <t>d.mambetova</t>
        </is>
      </c>
      <c r="P765" s="12" t="inlineStr">
        <is>
          <t>В реестре в колонке суммы записан номер билета; на балансе расхождения нет</t>
        </is>
      </c>
      <c r="Q765" s="8" t="inlineStr">
        <is>
          <t>57434397,57434447,57434420</t>
        </is>
      </c>
    </row>
    <row r="766">
      <c r="A766" s="8" t="inlineStr">
        <is>
          <t>G00097</t>
        </is>
      </c>
      <c r="B766" s="8" t="inlineStr">
        <is>
          <t>Ala-Too Travel</t>
        </is>
      </c>
      <c r="C766" s="8" t="inlineStr">
        <is>
          <t>2460735344</t>
        </is>
      </c>
      <c r="D766" s="8" t="inlineStr">
        <is>
          <t>В реестре билет вместо суммы</t>
        </is>
      </c>
      <c r="E766" s="8" t="inlineStr">
        <is>
          <t>Реестр (сотрудник)</t>
        </is>
      </c>
      <c r="F766" s="8" t="inlineStr">
        <is>
          <t>A</t>
        </is>
      </c>
      <c r="G766" s="14" t="n">
        <v>10125</v>
      </c>
      <c r="H766" s="14" t="n">
        <v>-10125</v>
      </c>
      <c r="I766" s="14" t="n"/>
      <c r="J766" s="14" t="n">
        <v>0</v>
      </c>
      <c r="K766" s="21" t="n">
        <v>46049.44597222222</v>
      </c>
      <c r="L766" s="21" t="n">
        <v>46049</v>
      </c>
      <c r="M766" s="8" t="inlineStr"/>
      <c r="N766" s="8" t="inlineStr">
        <is>
          <t>Сотрудник, ведущий реестр</t>
        </is>
      </c>
      <c r="O766" s="8" t="inlineStr">
        <is>
          <t>b.isakov</t>
        </is>
      </c>
      <c r="P766" s="12" t="inlineStr">
        <is>
          <t>В реестре в колонке суммы записан номер билета; на балансе расхождения нет</t>
        </is>
      </c>
      <c r="Q766" s="8" t="inlineStr">
        <is>
          <t>57056231</t>
        </is>
      </c>
    </row>
    <row r="767">
      <c r="A767" s="8" t="inlineStr">
        <is>
          <t>G00355</t>
        </is>
      </c>
      <c r="B767" s="8" t="inlineStr">
        <is>
          <t>Blue Bird Travel</t>
        </is>
      </c>
      <c r="C767" s="8" t="inlineStr">
        <is>
          <t>2420848838</t>
        </is>
      </c>
      <c r="D767" s="8" t="inlineStr">
        <is>
          <t>В реестре билет вместо суммы</t>
        </is>
      </c>
      <c r="E767" s="8" t="inlineStr">
        <is>
          <t>Реестр (сотрудник)</t>
        </is>
      </c>
      <c r="F767" s="8" t="inlineStr">
        <is>
          <t>A</t>
        </is>
      </c>
      <c r="G767" s="14" t="n">
        <v>14733.1</v>
      </c>
      <c r="H767" s="14" t="n">
        <v>-14733.1</v>
      </c>
      <c r="I767" s="14" t="n"/>
      <c r="J767" s="14" t="n">
        <v>0</v>
      </c>
      <c r="K767" s="21" t="n">
        <v>46031.40672453704</v>
      </c>
      <c r="L767" s="21" t="n">
        <v>46031</v>
      </c>
      <c r="M767" s="8" t="inlineStr"/>
      <c r="N767" s="8" t="inlineStr">
        <is>
          <t>Сотрудник, ведущий реестр</t>
        </is>
      </c>
      <c r="O767" s="8" t="inlineStr">
        <is>
          <t>d.mambetova</t>
        </is>
      </c>
      <c r="P767" s="12" t="inlineStr">
        <is>
          <t>В реестре в колонке суммы записан номер билета; на балансе расхождения нет</t>
        </is>
      </c>
      <c r="Q767" s="8" t="inlineStr">
        <is>
          <t>57017561</t>
        </is>
      </c>
    </row>
    <row r="768">
      <c r="A768" s="8" t="inlineStr">
        <is>
          <t>G01502</t>
        </is>
      </c>
      <c r="B768" s="8" t="inlineStr">
        <is>
          <t>Karakol Express</t>
        </is>
      </c>
      <c r="C768" s="8" t="inlineStr">
        <is>
          <t>2460737718</t>
        </is>
      </c>
      <c r="D768" s="8" t="inlineStr">
        <is>
          <t>В реестре билет вместо суммы</t>
        </is>
      </c>
      <c r="E768" s="8" t="inlineStr">
        <is>
          <t>Реестр (сотрудник)</t>
        </is>
      </c>
      <c r="F768" s="8" t="inlineStr">
        <is>
          <t>A</t>
        </is>
      </c>
      <c r="G768" s="14" t="n">
        <v>43912</v>
      </c>
      <c r="H768" s="14" t="n">
        <v>-43912</v>
      </c>
      <c r="I768" s="14" t="n"/>
      <c r="J768" s="14" t="n">
        <v>0</v>
      </c>
      <c r="K768" s="21" t="n">
        <v>46125.69523148148</v>
      </c>
      <c r="L768" s="21" t="n">
        <v>46125</v>
      </c>
      <c r="M768" s="8" t="inlineStr"/>
      <c r="N768" s="8" t="inlineStr">
        <is>
          <t>Сотрудник, ведущий реестр</t>
        </is>
      </c>
      <c r="O768" s="8" t="inlineStr">
        <is>
          <t>a.toktosunova</t>
        </is>
      </c>
      <c r="P768" s="12" t="inlineStr">
        <is>
          <t>В реестре в колонке суммы записан номер билета; на балансе расхождения нет</t>
        </is>
      </c>
      <c r="Q768" s="8" t="inlineStr">
        <is>
          <t>57205769</t>
        </is>
      </c>
    </row>
    <row r="769">
      <c r="A769" s="8" t="inlineStr">
        <is>
          <t>G01653</t>
        </is>
      </c>
      <c r="B769" s="8" t="inlineStr">
        <is>
          <t>Karakol Express</t>
        </is>
      </c>
      <c r="C769" s="8" t="inlineStr">
        <is>
          <t>2476315310</t>
        </is>
      </c>
      <c r="D769" s="8" t="inlineStr">
        <is>
          <t>В реестре билет вместо суммы</t>
        </is>
      </c>
      <c r="E769" s="8" t="inlineStr">
        <is>
          <t>Реестр (сотрудник)</t>
        </is>
      </c>
      <c r="F769" s="8" t="inlineStr">
        <is>
          <t>A</t>
        </is>
      </c>
      <c r="G769" s="14" t="n">
        <v>32216</v>
      </c>
      <c r="H769" s="14" t="n">
        <v>-32216</v>
      </c>
      <c r="I769" s="14" t="n"/>
      <c r="J769" s="14" t="n">
        <v>0</v>
      </c>
      <c r="K769" s="21" t="n">
        <v>46147.51177083333</v>
      </c>
      <c r="L769" s="21" t="n">
        <v>46147</v>
      </c>
      <c r="M769" s="8" t="inlineStr"/>
      <c r="N769" s="8" t="inlineStr">
        <is>
          <t>Сотрудник, ведущий реестр</t>
        </is>
      </c>
      <c r="O769" s="8" t="inlineStr">
        <is>
          <t>a.toktosunova</t>
        </is>
      </c>
      <c r="P769" s="12" t="inlineStr">
        <is>
          <t>В реестре в колонке суммы записан номер билета; на балансе расхождения нет</t>
        </is>
      </c>
      <c r="Q769" s="8" t="inlineStr">
        <is>
          <t>57253995</t>
        </is>
      </c>
    </row>
    <row r="770">
      <c r="A770" s="8" t="inlineStr">
        <is>
          <t>G01733</t>
        </is>
      </c>
      <c r="B770" s="8" t="inlineStr">
        <is>
          <t>Karakol Express</t>
        </is>
      </c>
      <c r="C770" s="8" t="inlineStr">
        <is>
          <t>2476319239</t>
        </is>
      </c>
      <c r="D770" s="8" t="inlineStr">
        <is>
          <t>В реестре билет вместо суммы</t>
        </is>
      </c>
      <c r="E770" s="8" t="inlineStr">
        <is>
          <t>Реестр (сотрудник)</t>
        </is>
      </c>
      <c r="F770" s="8" t="inlineStr">
        <is>
          <t>A</t>
        </is>
      </c>
      <c r="G770" s="14" t="n">
        <v>20649.48</v>
      </c>
      <c r="H770" s="14" t="n">
        <v>-20649.48</v>
      </c>
      <c r="I770" s="14" t="n"/>
      <c r="J770" s="14" t="n">
        <v>0</v>
      </c>
      <c r="K770" s="21" t="n">
        <v>46160.35849537037</v>
      </c>
      <c r="L770" s="21" t="n">
        <v>46160</v>
      </c>
      <c r="M770" s="8" t="inlineStr"/>
      <c r="N770" s="8" t="inlineStr">
        <is>
          <t>Сотрудник, ведущий реестр</t>
        </is>
      </c>
      <c r="O770" s="8" t="inlineStr">
        <is>
          <t>n.abdyldaeva</t>
        </is>
      </c>
      <c r="P770" s="12" t="inlineStr">
        <is>
          <t>В реестре в колонке суммы записан номер билета; на балансе расхождения нет</t>
        </is>
      </c>
      <c r="Q770" s="8" t="inlineStr">
        <is>
          <t>57296425</t>
        </is>
      </c>
    </row>
    <row r="771">
      <c r="A771" s="8" t="inlineStr">
        <is>
          <t>G01905</t>
        </is>
      </c>
      <c r="B771" s="8" t="inlineStr">
        <is>
          <t>Karakol Express</t>
        </is>
      </c>
      <c r="C771" s="8" t="inlineStr">
        <is>
          <t>2559100404|2559100405</t>
        </is>
      </c>
      <c r="D771" s="8" t="inlineStr">
        <is>
          <t>В реестре билет вместо суммы</t>
        </is>
      </c>
      <c r="E771" s="8" t="inlineStr">
        <is>
          <t>Реестр (сотрудник)</t>
        </is>
      </c>
      <c r="F771" s="8" t="inlineStr">
        <is>
          <t>A</t>
        </is>
      </c>
      <c r="G771" s="14" t="n">
        <v>124280.66</v>
      </c>
      <c r="H771" s="14" t="n">
        <v>-124280.66</v>
      </c>
      <c r="I771" s="14" t="n"/>
      <c r="J771" s="14" t="n">
        <v>0</v>
      </c>
      <c r="K771" s="21" t="n">
        <v>46058.40170138889</v>
      </c>
      <c r="L771" s="21" t="n">
        <v>46058</v>
      </c>
      <c r="M771" s="8" t="inlineStr"/>
      <c r="N771" s="8" t="inlineStr">
        <is>
          <t>Сотрудник, ведущий реестр</t>
        </is>
      </c>
      <c r="O771" s="8" t="inlineStr">
        <is>
          <t>k.dzhumaev</t>
        </is>
      </c>
      <c r="P771" s="12" t="inlineStr">
        <is>
          <t>В реестре в колонке суммы записан номер билета; на балансе расхождения нет</t>
        </is>
      </c>
      <c r="Q771" s="8" t="inlineStr">
        <is>
          <t>57074541,57074563</t>
        </is>
      </c>
    </row>
    <row r="772">
      <c r="A772" s="8" t="inlineStr">
        <is>
          <t>G02022</t>
        </is>
      </c>
      <c r="B772" s="8" t="inlineStr">
        <is>
          <t>Kumtor Tours</t>
        </is>
      </c>
      <c r="C772" s="8" t="inlineStr">
        <is>
          <t>2460734441|2460734443</t>
        </is>
      </c>
      <c r="D772" s="8" t="inlineStr">
        <is>
          <t>В реестре билет вместо суммы</t>
        </is>
      </c>
      <c r="E772" s="8" t="inlineStr">
        <is>
          <t>Реестр (сотрудник)</t>
        </is>
      </c>
      <c r="F772" s="8" t="inlineStr">
        <is>
          <t>A</t>
        </is>
      </c>
      <c r="G772" s="14" t="n">
        <v>19836</v>
      </c>
      <c r="H772" s="14" t="n">
        <v>-19836</v>
      </c>
      <c r="I772" s="14" t="n"/>
      <c r="J772" s="14" t="n">
        <v>0</v>
      </c>
      <c r="K772" s="21" t="n">
        <v>46203.38209490741</v>
      </c>
      <c r="L772" s="21" t="n">
        <v>46203</v>
      </c>
      <c r="M772" s="8" t="inlineStr"/>
      <c r="N772" s="8" t="inlineStr">
        <is>
          <t>Сотрудник, ведущий реестр</t>
        </is>
      </c>
      <c r="O772" s="8" t="inlineStr">
        <is>
          <t>a.toktosunova</t>
        </is>
      </c>
      <c r="P772" s="12" t="inlineStr">
        <is>
          <t>В реестре в колонке суммы записан номер билета; на балансе расхождения нет</t>
        </is>
      </c>
      <c r="Q772" s="8" t="inlineStr">
        <is>
          <t>57414244,57414241</t>
        </is>
      </c>
    </row>
    <row r="773">
      <c r="A773" s="8" t="inlineStr">
        <is>
          <t>G02470</t>
        </is>
      </c>
      <c r="B773" s="8" t="inlineStr">
        <is>
          <t>SkyWay Travel</t>
        </is>
      </c>
      <c r="C773" s="8" t="inlineStr">
        <is>
          <t>2420844689|2420844692</t>
        </is>
      </c>
      <c r="D773" s="8" t="inlineStr">
        <is>
          <t>В реестре билет вместо суммы</t>
        </is>
      </c>
      <c r="E773" s="8" t="inlineStr">
        <is>
          <t>Реестр (сотрудник)</t>
        </is>
      </c>
      <c r="F773" s="8" t="inlineStr">
        <is>
          <t>A</t>
        </is>
      </c>
      <c r="G773" s="14" t="n">
        <v>55364.58</v>
      </c>
      <c r="H773" s="14" t="n">
        <v>-55364.58</v>
      </c>
      <c r="I773" s="14" t="n"/>
      <c r="J773" s="14" t="n">
        <v>0</v>
      </c>
      <c r="K773" s="21" t="n">
        <v>46072.76506944445</v>
      </c>
      <c r="L773" s="21" t="n">
        <v>46072</v>
      </c>
      <c r="M773" s="8" t="inlineStr"/>
      <c r="N773" s="8" t="inlineStr">
        <is>
          <t>Сотрудник, ведущий реестр</t>
        </is>
      </c>
      <c r="O773" s="8" t="inlineStr">
        <is>
          <t>e.satarov</t>
        </is>
      </c>
      <c r="P773" s="12" t="inlineStr">
        <is>
          <t>В реестре в колонке суммы записан номер билета; на балансе расхождения нет</t>
        </is>
      </c>
      <c r="Q773" s="8" t="inlineStr">
        <is>
          <t>57097985</t>
        </is>
      </c>
    </row>
    <row r="774">
      <c r="A774" s="8" t="inlineStr">
        <is>
          <t>G03069</t>
        </is>
      </c>
      <c r="B774" s="8" t="inlineStr">
        <is>
          <t>SkyWay Travel</t>
        </is>
      </c>
      <c r="C774" s="8" t="inlineStr">
        <is>
          <t>2461883183</t>
        </is>
      </c>
      <c r="D774" s="8" t="inlineStr">
        <is>
          <t>В реестре билет вместо суммы</t>
        </is>
      </c>
      <c r="E774" s="8" t="inlineStr">
        <is>
          <t>Реестр (сотрудник)</t>
        </is>
      </c>
      <c r="F774" s="8" t="inlineStr">
        <is>
          <t>A</t>
        </is>
      </c>
      <c r="G774" s="14" t="n">
        <v>13710</v>
      </c>
      <c r="H774" s="14" t="n">
        <v>-13710</v>
      </c>
      <c r="I774" s="14" t="n"/>
      <c r="J774" s="14" t="n">
        <v>0</v>
      </c>
      <c r="K774" s="21" t="n">
        <v>46217.67591435185</v>
      </c>
      <c r="L774" s="21" t="n">
        <v>46217</v>
      </c>
      <c r="M774" s="8" t="inlineStr"/>
      <c r="N774" s="8" t="inlineStr">
        <is>
          <t>Сотрудник, ведущий реестр</t>
        </is>
      </c>
      <c r="O774" s="8" t="inlineStr">
        <is>
          <t>n.abdyldaeva</t>
        </is>
      </c>
      <c r="P774" s="12" t="inlineStr">
        <is>
          <t>В реестре в колонке суммы записан номер билета; на балансе расхождения нет</t>
        </is>
      </c>
      <c r="Q774" s="8" t="inlineStr">
        <is>
          <t>57457927</t>
        </is>
      </c>
    </row>
    <row r="775">
      <c r="A775" s="8" t="inlineStr">
        <is>
          <t>G03357</t>
        </is>
      </c>
      <c r="B775" s="8" t="inlineStr">
        <is>
          <t>SkyWay Travel</t>
        </is>
      </c>
      <c r="C775" s="8" t="inlineStr">
        <is>
          <t>2476319854</t>
        </is>
      </c>
      <c r="D775" s="8" t="inlineStr">
        <is>
          <t>В реестре билет вместо суммы</t>
        </is>
      </c>
      <c r="E775" s="8" t="inlineStr">
        <is>
          <t>Реестр (сотрудник)</t>
        </is>
      </c>
      <c r="F775" s="8" t="inlineStr">
        <is>
          <t>A</t>
        </is>
      </c>
      <c r="G775" s="14" t="n">
        <v>22819.38</v>
      </c>
      <c r="H775" s="14" t="n">
        <v>-22819.38</v>
      </c>
      <c r="I775" s="14" t="n"/>
      <c r="J775" s="14" t="n">
        <v>0</v>
      </c>
      <c r="K775" s="21" t="n">
        <v>46111.50378472222</v>
      </c>
      <c r="L775" s="21" t="n">
        <v>46111</v>
      </c>
      <c r="M775" s="8" t="inlineStr"/>
      <c r="N775" s="8" t="inlineStr">
        <is>
          <t>Сотрудник, ведущий реестр</t>
        </is>
      </c>
      <c r="O775" s="8" t="inlineStr">
        <is>
          <t>a.toktosunova</t>
        </is>
      </c>
      <c r="P775" s="12" t="inlineStr">
        <is>
          <t>В реестре в колонке суммы записан номер билета; на балансе расхождения нет</t>
        </is>
      </c>
      <c r="Q775" s="8" t="inlineStr">
        <is>
          <t>57181579</t>
        </is>
      </c>
    </row>
    <row r="776">
      <c r="A776" s="8" t="inlineStr">
        <is>
          <t>G03667</t>
        </is>
      </c>
      <c r="B776" s="8" t="inlineStr">
        <is>
          <t>SkyWay Travel</t>
        </is>
      </c>
      <c r="C776" s="8" t="inlineStr">
        <is>
          <t>2559100619</t>
        </is>
      </c>
      <c r="D776" s="8" t="inlineStr">
        <is>
          <t>В реестре билет вместо суммы</t>
        </is>
      </c>
      <c r="E776" s="8" t="inlineStr">
        <is>
          <t>Реестр (сотрудник)</t>
        </is>
      </c>
      <c r="F776" s="8" t="inlineStr">
        <is>
          <t>A</t>
        </is>
      </c>
      <c r="G776" s="14" t="n">
        <v>22648.51</v>
      </c>
      <c r="H776" s="14" t="n">
        <v>-22648.51</v>
      </c>
      <c r="I776" s="14" t="n"/>
      <c r="J776" s="14" t="n">
        <v>0</v>
      </c>
      <c r="K776" s="21" t="n">
        <v>46083.51453703704</v>
      </c>
      <c r="L776" s="21" t="n">
        <v>46083</v>
      </c>
      <c r="M776" s="8" t="inlineStr"/>
      <c r="N776" s="8" t="inlineStr">
        <is>
          <t>Сотрудник, ведущий реестр</t>
        </is>
      </c>
      <c r="O776" s="8" t="inlineStr">
        <is>
          <t>a.toktosunova</t>
        </is>
      </c>
      <c r="P776" s="12" t="inlineStr">
        <is>
          <t>В реестре в колонке суммы записан номер билета; на балансе расхождения нет</t>
        </is>
      </c>
      <c r="Q776" s="8" t="inlineStr">
        <is>
          <t>57117932</t>
        </is>
      </c>
    </row>
    <row r="777">
      <c r="A777" s="8" t="inlineStr">
        <is>
          <t>G03932</t>
        </is>
      </c>
      <c r="B777" s="8" t="inlineStr">
        <is>
          <t>Sunrise Tours</t>
        </is>
      </c>
      <c r="C777" s="8" t="inlineStr">
        <is>
          <t>2460733339|2460733340|2460733343</t>
        </is>
      </c>
      <c r="D777" s="8" t="inlineStr">
        <is>
          <t>В реестре билет вместо суммы</t>
        </is>
      </c>
      <c r="E777" s="8" t="inlineStr">
        <is>
          <t>Реестр (сотрудник)</t>
        </is>
      </c>
      <c r="F777" s="8" t="inlineStr">
        <is>
          <t>A</t>
        </is>
      </c>
      <c r="G777" s="14" t="n">
        <v>58110</v>
      </c>
      <c r="H777" s="14" t="n">
        <v>-58110</v>
      </c>
      <c r="I777" s="14" t="n"/>
      <c r="J777" s="14" t="n">
        <v>0</v>
      </c>
      <c r="K777" s="21" t="n">
        <v>46140.62922453704</v>
      </c>
      <c r="L777" s="21" t="n">
        <v>46140</v>
      </c>
      <c r="M777" s="8" t="inlineStr"/>
      <c r="N777" s="8" t="inlineStr">
        <is>
          <t>Сотрудник, ведущий реестр</t>
        </is>
      </c>
      <c r="O777" s="8" t="inlineStr">
        <is>
          <t>r.sydykov</t>
        </is>
      </c>
      <c r="P777" s="12" t="inlineStr">
        <is>
          <t>В реестре в колонке суммы записан номер билета; на балансе расхождения нет</t>
        </is>
      </c>
      <c r="Q777" s="8" t="inlineStr">
        <is>
          <t>57233900</t>
        </is>
      </c>
    </row>
    <row r="778">
      <c r="A778" s="8" t="inlineStr">
        <is>
          <t>G04059</t>
        </is>
      </c>
      <c r="B778" s="8" t="inlineStr">
        <is>
          <t>Tengri Trip</t>
        </is>
      </c>
      <c r="C778" s="8" t="inlineStr">
        <is>
          <t>2461883893</t>
        </is>
      </c>
      <c r="D778" s="8" t="inlineStr">
        <is>
          <t>В реестре билет вместо суммы</t>
        </is>
      </c>
      <c r="E778" s="8" t="inlineStr">
        <is>
          <t>Реестр (сотрудник)</t>
        </is>
      </c>
      <c r="F778" s="8" t="inlineStr">
        <is>
          <t>A</t>
        </is>
      </c>
      <c r="G778" s="14" t="n">
        <v>13210</v>
      </c>
      <c r="H778" s="14" t="n">
        <v>-13210</v>
      </c>
      <c r="I778" s="14" t="n"/>
      <c r="J778" s="14" t="n">
        <v>0</v>
      </c>
      <c r="K778" s="21" t="n">
        <v>46054.74251157408</v>
      </c>
      <c r="L778" s="21" t="n">
        <v>46054</v>
      </c>
      <c r="M778" s="8" t="inlineStr"/>
      <c r="N778" s="8" t="inlineStr">
        <is>
          <t>Сотрудник, ведущий реестр</t>
        </is>
      </c>
      <c r="O778" s="8" t="inlineStr">
        <is>
          <t>d.mambetova</t>
        </is>
      </c>
      <c r="P778" s="12" t="inlineStr">
        <is>
          <t>В реестре в колонке суммы записан номер билета; на балансе расхождения нет</t>
        </is>
      </c>
      <c r="Q778" s="8" t="inlineStr">
        <is>
          <t>57067390</t>
        </is>
      </c>
    </row>
    <row r="779">
      <c r="A779" s="8" t="inlineStr">
        <is>
          <t>G04404</t>
        </is>
      </c>
      <c r="B779" s="8" t="inlineStr">
        <is>
          <t>Абдылда уулу Б.</t>
        </is>
      </c>
      <c r="C779" s="8" t="inlineStr">
        <is>
          <t>2476314051</t>
        </is>
      </c>
      <c r="D779" s="8" t="inlineStr">
        <is>
          <t>В реестре билет вместо суммы</t>
        </is>
      </c>
      <c r="E779" s="8" t="inlineStr">
        <is>
          <t>Реестр (сотрудник)</t>
        </is>
      </c>
      <c r="F779" s="8" t="inlineStr">
        <is>
          <t>A</t>
        </is>
      </c>
      <c r="G779" s="14" t="n">
        <v>28390.24</v>
      </c>
      <c r="H779" s="14" t="n">
        <v>-28390.24</v>
      </c>
      <c r="I779" s="14" t="n"/>
      <c r="J779" s="14" t="n">
        <v>0</v>
      </c>
      <c r="K779" s="21" t="n">
        <v>46038.76055555556</v>
      </c>
      <c r="L779" s="21" t="n">
        <v>46038</v>
      </c>
      <c r="M779" s="8" t="inlineStr"/>
      <c r="N779" s="8" t="inlineStr">
        <is>
          <t>Сотрудник, ведущий реестр</t>
        </is>
      </c>
      <c r="O779" s="8" t="inlineStr">
        <is>
          <t>e.satarov</t>
        </is>
      </c>
      <c r="P779" s="12" t="inlineStr">
        <is>
          <t>В реестре в колонке суммы записан номер билета; на балансе расхождения нет</t>
        </is>
      </c>
      <c r="Q779" s="8" t="inlineStr">
        <is>
          <t>57031202</t>
        </is>
      </c>
    </row>
    <row r="780">
      <c r="A780" s="8" t="inlineStr">
        <is>
          <t>G04515</t>
        </is>
      </c>
      <c r="B780" s="8" t="inlineStr">
        <is>
          <t>Абдылда уулу Б.</t>
        </is>
      </c>
      <c r="C780" s="8" t="inlineStr">
        <is>
          <t>2559101562|2559101564|2559101565</t>
        </is>
      </c>
      <c r="D780" s="8" t="inlineStr">
        <is>
          <t>В реестре билет вместо суммы</t>
        </is>
      </c>
      <c r="E780" s="8" t="inlineStr">
        <is>
          <t>Реестр (сотрудник)</t>
        </is>
      </c>
      <c r="F780" s="8" t="inlineStr">
        <is>
          <t>A</t>
        </is>
      </c>
      <c r="G780" s="14" t="n">
        <v>70218.17999999999</v>
      </c>
      <c r="H780" s="14" t="n">
        <v>-70218.17999999999</v>
      </c>
      <c r="I780" s="14" t="n"/>
      <c r="J780" s="14" t="n">
        <v>0</v>
      </c>
      <c r="K780" s="21" t="n">
        <v>46178.36896990741</v>
      </c>
      <c r="L780" s="21" t="n">
        <v>46178</v>
      </c>
      <c r="M780" s="8" t="inlineStr"/>
      <c r="N780" s="8" t="inlineStr">
        <is>
          <t>Сотрудник, ведущий реестр</t>
        </is>
      </c>
      <c r="O780" s="8" t="inlineStr">
        <is>
          <t>d.mambetova</t>
        </is>
      </c>
      <c r="P780" s="12" t="inlineStr">
        <is>
          <t>В реестре в колонке суммы записан номер билета; на балансе расхождения нет</t>
        </is>
      </c>
      <c r="Q780" s="8" t="inlineStr">
        <is>
          <t>57344116</t>
        </is>
      </c>
    </row>
    <row r="781">
      <c r="A781" s="8" t="inlineStr">
        <is>
          <t>G04980</t>
        </is>
      </c>
      <c r="B781" s="8" t="inlineStr">
        <is>
          <t>Ак-Куу Авиа</t>
        </is>
      </c>
      <c r="C781" s="8" t="inlineStr">
        <is>
          <t>2459531412</t>
        </is>
      </c>
      <c r="D781" s="8" t="inlineStr">
        <is>
          <t>В реестре билет вместо суммы</t>
        </is>
      </c>
      <c r="E781" s="8" t="inlineStr">
        <is>
          <t>Реестр (сотрудник)</t>
        </is>
      </c>
      <c r="F781" s="8" t="inlineStr">
        <is>
          <t>A</t>
        </is>
      </c>
      <c r="G781" s="14" t="n">
        <v>10475</v>
      </c>
      <c r="H781" s="14" t="n">
        <v>-10475</v>
      </c>
      <c r="I781" s="14" t="n"/>
      <c r="J781" s="14" t="n">
        <v>0</v>
      </c>
      <c r="K781" s="21" t="n">
        <v>46212.35054398148</v>
      </c>
      <c r="L781" s="21" t="n">
        <v>46212</v>
      </c>
      <c r="M781" s="8" t="inlineStr"/>
      <c r="N781" s="8" t="inlineStr">
        <is>
          <t>Сотрудник, ведущий реестр</t>
        </is>
      </c>
      <c r="O781" s="8" t="inlineStr">
        <is>
          <t>g.omurbekova</t>
        </is>
      </c>
      <c r="P781" s="12" t="inlineStr">
        <is>
          <t>В реестре в колонке суммы записан номер билета; на балансе расхождения нет</t>
        </is>
      </c>
      <c r="Q781" s="8" t="inlineStr">
        <is>
          <t>57445868</t>
        </is>
      </c>
    </row>
    <row r="782">
      <c r="A782" s="8" t="inlineStr">
        <is>
          <t>G05045</t>
        </is>
      </c>
      <c r="B782" s="8" t="inlineStr">
        <is>
          <t>Ак-Куу Авиа</t>
        </is>
      </c>
      <c r="C782" s="8" t="inlineStr">
        <is>
          <t>2460735652|2460735655</t>
        </is>
      </c>
      <c r="D782" s="8" t="inlineStr">
        <is>
          <t>В реестре билет вместо суммы</t>
        </is>
      </c>
      <c r="E782" s="8" t="inlineStr">
        <is>
          <t>Реестр (сотрудник)</t>
        </is>
      </c>
      <c r="F782" s="8" t="inlineStr">
        <is>
          <t>A</t>
        </is>
      </c>
      <c r="G782" s="14" t="n">
        <v>87392</v>
      </c>
      <c r="H782" s="14" t="n">
        <v>-87392</v>
      </c>
      <c r="I782" s="14" t="n"/>
      <c r="J782" s="14" t="n">
        <v>0</v>
      </c>
      <c r="K782" s="21" t="n">
        <v>46033.76079861111</v>
      </c>
      <c r="L782" s="21" t="n">
        <v>46033</v>
      </c>
      <c r="M782" s="8" t="inlineStr"/>
      <c r="N782" s="8" t="inlineStr">
        <is>
          <t>Сотрудник, ведущий реестр</t>
        </is>
      </c>
      <c r="O782" s="8" t="inlineStr">
        <is>
          <t>g.omurbekova</t>
        </is>
      </c>
      <c r="P782" s="12" t="inlineStr">
        <is>
          <t>В реестре в колонке суммы записан номер билета; на балансе расхождения нет</t>
        </is>
      </c>
      <c r="Q782" s="8" t="inlineStr">
        <is>
          <t>57020356,57020329</t>
        </is>
      </c>
    </row>
    <row r="783">
      <c r="A783" s="8" t="inlineStr">
        <is>
          <t>G05075</t>
        </is>
      </c>
      <c r="B783" s="8" t="inlineStr">
        <is>
          <t>Ак-Куу Авиа</t>
        </is>
      </c>
      <c r="C783" s="8" t="inlineStr">
        <is>
          <t>2460737824|2460737825|2460737828</t>
        </is>
      </c>
      <c r="D783" s="8" t="inlineStr">
        <is>
          <t>В реестре билет вместо суммы</t>
        </is>
      </c>
      <c r="E783" s="8" t="inlineStr">
        <is>
          <t>Реестр (сотрудник)</t>
        </is>
      </c>
      <c r="F783" s="8" t="inlineStr">
        <is>
          <t>A</t>
        </is>
      </c>
      <c r="G783" s="14" t="n">
        <v>73809</v>
      </c>
      <c r="H783" s="14" t="n">
        <v>-73809</v>
      </c>
      <c r="I783" s="14" t="n"/>
      <c r="J783" s="14" t="n">
        <v>0</v>
      </c>
      <c r="K783" s="21" t="n">
        <v>46071.61032407408</v>
      </c>
      <c r="L783" s="21" t="n">
        <v>46071</v>
      </c>
      <c r="M783" s="8" t="inlineStr"/>
      <c r="N783" s="8" t="inlineStr">
        <is>
          <t>Сотрудник, ведущий реестр</t>
        </is>
      </c>
      <c r="O783" s="8" t="inlineStr">
        <is>
          <t>g.omurbekova</t>
        </is>
      </c>
      <c r="P783" s="12" t="inlineStr">
        <is>
          <t>В реестре в колонке суммы записан номер билета; на балансе расхождения нет</t>
        </is>
      </c>
      <c r="Q783" s="8" t="inlineStr">
        <is>
          <t>57096957</t>
        </is>
      </c>
    </row>
    <row r="784">
      <c r="A784" s="8" t="inlineStr">
        <is>
          <t>G05101</t>
        </is>
      </c>
      <c r="B784" s="8" t="inlineStr">
        <is>
          <t>Ак-Куу Авиа</t>
        </is>
      </c>
      <c r="C784" s="8" t="inlineStr">
        <is>
          <t>2461882138|2461882139</t>
        </is>
      </c>
      <c r="D784" s="8" t="inlineStr">
        <is>
          <t>В реестре билет вместо суммы</t>
        </is>
      </c>
      <c r="E784" s="8" t="inlineStr">
        <is>
          <t>Реестр (сотрудник)</t>
        </is>
      </c>
      <c r="F784" s="8" t="inlineStr">
        <is>
          <t>A</t>
        </is>
      </c>
      <c r="G784" s="14" t="n">
        <v>86068</v>
      </c>
      <c r="H784" s="14" t="n">
        <v>-86068</v>
      </c>
      <c r="I784" s="14" t="n"/>
      <c r="J784" s="14" t="n">
        <v>0</v>
      </c>
      <c r="K784" s="21" t="n">
        <v>46129.65524305555</v>
      </c>
      <c r="L784" s="21" t="n">
        <v>46129</v>
      </c>
      <c r="M784" s="8" t="inlineStr"/>
      <c r="N784" s="8" t="inlineStr">
        <is>
          <t>Сотрудник, ведущий реестр</t>
        </is>
      </c>
      <c r="O784" s="8" t="inlineStr">
        <is>
          <t>a.toktosunova</t>
        </is>
      </c>
      <c r="P784" s="12" t="inlineStr">
        <is>
          <t>В реестре в колонке суммы записан номер билета; на балансе расхождения нет</t>
        </is>
      </c>
      <c r="Q784" s="8" t="inlineStr">
        <is>
          <t>57212292</t>
        </is>
      </c>
    </row>
    <row r="785">
      <c r="A785" s="8" t="inlineStr">
        <is>
          <t>G05116</t>
        </is>
      </c>
      <c r="B785" s="8" t="inlineStr">
        <is>
          <t>Ак-Куу Авиа</t>
        </is>
      </c>
      <c r="C785" s="8" t="inlineStr">
        <is>
          <t>2461882974</t>
        </is>
      </c>
      <c r="D785" s="8" t="inlineStr">
        <is>
          <t>В реестре билет вместо суммы</t>
        </is>
      </c>
      <c r="E785" s="8" t="inlineStr">
        <is>
          <t>Реестр (сотрудник)</t>
        </is>
      </c>
      <c r="F785" s="8" t="inlineStr">
        <is>
          <t>A</t>
        </is>
      </c>
      <c r="G785" s="14" t="n">
        <v>24671</v>
      </c>
      <c r="H785" s="14" t="n">
        <v>-24671</v>
      </c>
      <c r="I785" s="14" t="n"/>
      <c r="J785" s="14" t="n">
        <v>0</v>
      </c>
      <c r="K785" s="21" t="n">
        <v>46071.6756712963</v>
      </c>
      <c r="L785" s="21" t="n">
        <v>46071</v>
      </c>
      <c r="M785" s="8" t="inlineStr"/>
      <c r="N785" s="8" t="inlineStr">
        <is>
          <t>Сотрудник, ведущий реестр</t>
        </is>
      </c>
      <c r="O785" s="8" t="inlineStr">
        <is>
          <t>b.isakov</t>
        </is>
      </c>
      <c r="P785" s="12" t="inlineStr">
        <is>
          <t>В реестре в колонке суммы записан номер билета; на балансе расхождения нет</t>
        </is>
      </c>
      <c r="Q785" s="8" t="inlineStr">
        <is>
          <t>57096175</t>
        </is>
      </c>
    </row>
    <row r="786">
      <c r="A786" s="8" t="inlineStr">
        <is>
          <t>G05366</t>
        </is>
      </c>
      <c r="B786" s="8" t="inlineStr">
        <is>
          <t>Ак-Куу Авиа</t>
        </is>
      </c>
      <c r="C786" s="8" t="inlineStr">
        <is>
          <t>2559098893|2559098894</t>
        </is>
      </c>
      <c r="D786" s="8" t="inlineStr">
        <is>
          <t>В реестре билет вместо суммы</t>
        </is>
      </c>
      <c r="E786" s="8" t="inlineStr">
        <is>
          <t>Реестр (сотрудник)</t>
        </is>
      </c>
      <c r="F786" s="8" t="inlineStr">
        <is>
          <t>A</t>
        </is>
      </c>
      <c r="G786" s="14" t="n">
        <v>38534.14</v>
      </c>
      <c r="H786" s="14" t="n">
        <v>-38534.14</v>
      </c>
      <c r="I786" s="14" t="n"/>
      <c r="J786" s="14" t="n">
        <v>0</v>
      </c>
      <c r="K786" s="21" t="n">
        <v>46221.54083333333</v>
      </c>
      <c r="L786" s="21" t="n">
        <v>46221</v>
      </c>
      <c r="M786" s="8" t="inlineStr"/>
      <c r="N786" s="8" t="inlineStr">
        <is>
          <t>Сотрудник, ведущий реестр</t>
        </is>
      </c>
      <c r="O786" s="8" t="inlineStr">
        <is>
          <t>e.satarov</t>
        </is>
      </c>
      <c r="P786" s="12" t="inlineStr">
        <is>
          <t>В реестре в колонке суммы записан номер билета; на балансе расхождения нет</t>
        </is>
      </c>
      <c r="Q786" s="8" t="inlineStr">
        <is>
          <t>57468176</t>
        </is>
      </c>
    </row>
    <row r="787">
      <c r="A787" s="8" t="inlineStr">
        <is>
          <t>G05424</t>
        </is>
      </c>
      <c r="B787" s="8" t="inlineStr">
        <is>
          <t>Ак-Куу Авиа</t>
        </is>
      </c>
      <c r="C787" s="8" t="inlineStr">
        <is>
          <t>2559102449|2559102450</t>
        </is>
      </c>
      <c r="D787" s="8" t="inlineStr">
        <is>
          <t>В реестре билет вместо суммы</t>
        </is>
      </c>
      <c r="E787" s="8" t="inlineStr">
        <is>
          <t>Реестр (сотрудник)</t>
        </is>
      </c>
      <c r="F787" s="8" t="inlineStr">
        <is>
          <t>A</t>
        </is>
      </c>
      <c r="G787" s="14" t="n">
        <v>115338.64</v>
      </c>
      <c r="H787" s="14" t="n">
        <v>-115338.64</v>
      </c>
      <c r="I787" s="14" t="n"/>
      <c r="J787" s="14" t="n">
        <v>0</v>
      </c>
      <c r="K787" s="21" t="n">
        <v>46124.65217592593</v>
      </c>
      <c r="L787" s="21" t="n">
        <v>46124</v>
      </c>
      <c r="M787" s="8" t="inlineStr"/>
      <c r="N787" s="8" t="inlineStr">
        <is>
          <t>Сотрудник, ведущий реестр</t>
        </is>
      </c>
      <c r="O787" s="8" t="inlineStr">
        <is>
          <t>b.isakov</t>
        </is>
      </c>
      <c r="P787" s="12" t="inlineStr">
        <is>
          <t>В реестре в колонке суммы записан номер билета; на балансе расхождения нет</t>
        </is>
      </c>
      <c r="Q787" s="8" t="inlineStr">
        <is>
          <t>57203797,57203828</t>
        </is>
      </c>
    </row>
    <row r="788">
      <c r="A788" s="8" t="inlineStr">
        <is>
          <t>G05738</t>
        </is>
      </c>
      <c r="B788" s="8" t="inlineStr">
        <is>
          <t>Ала-Арча Авиакасса</t>
        </is>
      </c>
      <c r="C788" s="8" t="inlineStr">
        <is>
          <t>2552668908</t>
        </is>
      </c>
      <c r="D788" s="8" t="inlineStr">
        <is>
          <t>В реестре билет вместо суммы</t>
        </is>
      </c>
      <c r="E788" s="8" t="inlineStr">
        <is>
          <t>Реестр (сотрудник)</t>
        </is>
      </c>
      <c r="F788" s="8" t="inlineStr">
        <is>
          <t>A</t>
        </is>
      </c>
      <c r="G788" s="14" t="n">
        <v>32476.31</v>
      </c>
      <c r="H788" s="14" t="n">
        <v>-32476.31</v>
      </c>
      <c r="I788" s="14" t="n"/>
      <c r="J788" s="14" t="n">
        <v>0</v>
      </c>
      <c r="K788" s="21" t="n">
        <v>46171.39872685185</v>
      </c>
      <c r="L788" s="21" t="n">
        <v>46171</v>
      </c>
      <c r="M788" s="8" t="inlineStr"/>
      <c r="N788" s="8" t="inlineStr">
        <is>
          <t>Сотрудник, ведущий реестр</t>
        </is>
      </c>
      <c r="O788" s="8" t="inlineStr">
        <is>
          <t>e.satarov</t>
        </is>
      </c>
      <c r="P788" s="12" t="inlineStr">
        <is>
          <t>В реестре в колонке суммы записан номер билета; на балансе расхождения нет</t>
        </is>
      </c>
      <c r="Q788" s="8" t="inlineStr">
        <is>
          <t>57325735</t>
        </is>
      </c>
    </row>
    <row r="789">
      <c r="A789" s="8" t="inlineStr">
        <is>
          <t>G05768</t>
        </is>
      </c>
      <c r="B789" s="8" t="inlineStr">
        <is>
          <t>Ала-Арча Тревел</t>
        </is>
      </c>
      <c r="C789" s="8" t="inlineStr">
        <is>
          <t>2420848781|2420848782|2420848784|2420848786</t>
        </is>
      </c>
      <c r="D789" s="8" t="inlineStr">
        <is>
          <t>В реестре билет вместо суммы</t>
        </is>
      </c>
      <c r="E789" s="8" t="inlineStr">
        <is>
          <t>Реестр (сотрудник)</t>
        </is>
      </c>
      <c r="F789" s="8" t="inlineStr">
        <is>
          <t>A</t>
        </is>
      </c>
      <c r="G789" s="14" t="n">
        <v>88925.88</v>
      </c>
      <c r="H789" s="14" t="n">
        <v>-88925.88</v>
      </c>
      <c r="I789" s="14" t="n"/>
      <c r="J789" s="14" t="n">
        <v>0</v>
      </c>
      <c r="K789" s="21" t="n">
        <v>46124.56677083333</v>
      </c>
      <c r="L789" s="21" t="n">
        <v>46124</v>
      </c>
      <c r="M789" s="8" t="inlineStr"/>
      <c r="N789" s="8" t="inlineStr">
        <is>
          <t>Сотрудник, ведущий реестр</t>
        </is>
      </c>
      <c r="O789" s="8" t="inlineStr">
        <is>
          <t>g.omurbekova</t>
        </is>
      </c>
      <c r="P789" s="12" t="inlineStr">
        <is>
          <t>В реестре в колонке суммы записан номер билета; на балансе расхождения нет</t>
        </is>
      </c>
      <c r="Q789" s="8" t="inlineStr">
        <is>
          <t>57204194,57204167,57204229,57204158</t>
        </is>
      </c>
    </row>
    <row r="790">
      <c r="A790" s="8" t="inlineStr">
        <is>
          <t>G05787</t>
        </is>
      </c>
      <c r="B790" s="8" t="inlineStr">
        <is>
          <t>Ала-Арча Тревел</t>
        </is>
      </c>
      <c r="C790" s="8" t="inlineStr">
        <is>
          <t>2461882940|2461882941</t>
        </is>
      </c>
      <c r="D790" s="8" t="inlineStr">
        <is>
          <t>В реестре билет вместо суммы</t>
        </is>
      </c>
      <c r="E790" s="8" t="inlineStr">
        <is>
          <t>Реестр (сотрудник)</t>
        </is>
      </c>
      <c r="F790" s="8" t="inlineStr">
        <is>
          <t>A</t>
        </is>
      </c>
      <c r="G790" s="14" t="n">
        <v>32624</v>
      </c>
      <c r="H790" s="14" t="n">
        <v>-32624</v>
      </c>
      <c r="I790" s="14" t="n"/>
      <c r="J790" s="14" t="n">
        <v>0</v>
      </c>
      <c r="K790" s="21" t="n">
        <v>46227.43467592593</v>
      </c>
      <c r="L790" s="21" t="n">
        <v>46227</v>
      </c>
      <c r="M790" s="8" t="inlineStr"/>
      <c r="N790" s="8" t="inlineStr">
        <is>
          <t>Сотрудник, ведущий реестр</t>
        </is>
      </c>
      <c r="O790" s="8" t="inlineStr">
        <is>
          <t>k.dzhumaev</t>
        </is>
      </c>
      <c r="P790" s="12" t="inlineStr">
        <is>
          <t>В реестре в колонке суммы записан номер билета; на балансе расхождения нет</t>
        </is>
      </c>
      <c r="Q790" s="8" t="inlineStr">
        <is>
          <t>57484201</t>
        </is>
      </c>
    </row>
    <row r="791">
      <c r="A791" s="8" t="inlineStr">
        <is>
          <t>G06204</t>
        </is>
      </c>
      <c r="B791" s="8" t="inlineStr">
        <is>
          <t>Бейшенова Н. Ч.</t>
        </is>
      </c>
      <c r="C791" s="8" t="inlineStr">
        <is>
          <t>2461886514</t>
        </is>
      </c>
      <c r="D791" s="8" t="inlineStr">
        <is>
          <t>В реестре билет вместо суммы</t>
        </is>
      </c>
      <c r="E791" s="8" t="inlineStr">
        <is>
          <t>Реестр (сотрудник)</t>
        </is>
      </c>
      <c r="F791" s="8" t="inlineStr">
        <is>
          <t>A</t>
        </is>
      </c>
      <c r="G791" s="14" t="n">
        <v>25504</v>
      </c>
      <c r="H791" s="14" t="n">
        <v>-25504</v>
      </c>
      <c r="I791" s="14" t="n"/>
      <c r="J791" s="14" t="n">
        <v>0</v>
      </c>
      <c r="K791" s="21" t="n">
        <v>46233.57954861111</v>
      </c>
      <c r="L791" s="21" t="n">
        <v>46233</v>
      </c>
      <c r="M791" s="8" t="inlineStr"/>
      <c r="N791" s="8" t="inlineStr">
        <is>
          <t>Сотрудник, ведущий реестр</t>
        </is>
      </c>
      <c r="O791" s="8" t="inlineStr">
        <is>
          <t>a.toktosunova</t>
        </is>
      </c>
      <c r="P791" s="12" t="inlineStr">
        <is>
          <t>В реестре в колонке суммы записан номер билета; на балансе расхождения нет</t>
        </is>
      </c>
      <c r="Q791" s="8" t="inlineStr">
        <is>
          <t>57500789</t>
        </is>
      </c>
    </row>
    <row r="792">
      <c r="A792" s="8" t="inlineStr">
        <is>
          <t>G06794</t>
        </is>
      </c>
      <c r="B792" s="8" t="inlineStr">
        <is>
          <t>Джолдошова Салтанат Сатаревна</t>
        </is>
      </c>
      <c r="C792" s="8" t="inlineStr">
        <is>
          <t>2552671419</t>
        </is>
      </c>
      <c r="D792" s="8" t="inlineStr">
        <is>
          <t>В реестре билет вместо суммы</t>
        </is>
      </c>
      <c r="E792" s="8" t="inlineStr">
        <is>
          <t>Реестр (сотрудник)</t>
        </is>
      </c>
      <c r="F792" s="8" t="inlineStr">
        <is>
          <t>A</t>
        </is>
      </c>
      <c r="G792" s="14" t="n">
        <v>53094.89</v>
      </c>
      <c r="H792" s="14" t="n">
        <v>-53094.89</v>
      </c>
      <c r="I792" s="14" t="n"/>
      <c r="J792" s="14" t="n">
        <v>0</v>
      </c>
      <c r="K792" s="21" t="n">
        <v>46050.77717592593</v>
      </c>
      <c r="L792" s="21" t="n">
        <v>46050</v>
      </c>
      <c r="M792" s="8" t="inlineStr"/>
      <c r="N792" s="8" t="inlineStr">
        <is>
          <t>Сотрудник, ведущий реестр</t>
        </is>
      </c>
      <c r="O792" s="8" t="inlineStr">
        <is>
          <t>k.dzhumaev</t>
        </is>
      </c>
      <c r="P792" s="12" t="inlineStr">
        <is>
          <t>В реестре в колонке суммы записан номер билета; на балансе расхождения нет</t>
        </is>
      </c>
      <c r="Q792" s="8" t="inlineStr">
        <is>
          <t>57059310</t>
        </is>
      </c>
    </row>
    <row r="793">
      <c r="A793" s="8" t="inlineStr">
        <is>
          <t>G06853</t>
        </is>
      </c>
      <c r="B793" s="8" t="inlineStr">
        <is>
          <t>Джолдошова Салтанат Сатаревна</t>
        </is>
      </c>
      <c r="C793" s="8" t="inlineStr">
        <is>
          <t>2559103597</t>
        </is>
      </c>
      <c r="D793" s="8" t="inlineStr">
        <is>
          <t>В реестре билет вместо суммы</t>
        </is>
      </c>
      <c r="E793" s="8" t="inlineStr">
        <is>
          <t>Реестр (сотрудник)</t>
        </is>
      </c>
      <c r="F793" s="8" t="inlineStr">
        <is>
          <t>A</t>
        </is>
      </c>
      <c r="G793" s="14" t="n">
        <v>42101.93</v>
      </c>
      <c r="H793" s="14" t="n">
        <v>-42101.93</v>
      </c>
      <c r="I793" s="14" t="n"/>
      <c r="J793" s="14" t="n">
        <v>0</v>
      </c>
      <c r="K793" s="21" t="n">
        <v>46122.55385416667</v>
      </c>
      <c r="L793" s="21" t="n">
        <v>46122</v>
      </c>
      <c r="M793" s="8" t="inlineStr"/>
      <c r="N793" s="8" t="inlineStr">
        <is>
          <t>Сотрудник, ведущий реестр</t>
        </is>
      </c>
      <c r="O793" s="8" t="inlineStr">
        <is>
          <t>g.omurbekova</t>
        </is>
      </c>
      <c r="P793" s="12" t="inlineStr">
        <is>
          <t>В реестре в колонке суммы записан номер билета; на балансе расхождения нет</t>
        </is>
      </c>
      <c r="Q793" s="8" t="inlineStr">
        <is>
          <t>57201377</t>
        </is>
      </c>
    </row>
    <row r="794">
      <c r="A794" s="8" t="inlineStr">
        <is>
          <t>G06917</t>
        </is>
      </c>
      <c r="B794" s="8" t="inlineStr">
        <is>
          <t>Жибек Авиакасса</t>
        </is>
      </c>
      <c r="C794" s="8" t="inlineStr">
        <is>
          <t>2459527413</t>
        </is>
      </c>
      <c r="D794" s="8" t="inlineStr">
        <is>
          <t>В реестре билет вместо суммы</t>
        </is>
      </c>
      <c r="E794" s="8" t="inlineStr">
        <is>
          <t>Реестр (сотрудник)</t>
        </is>
      </c>
      <c r="F794" s="8" t="inlineStr">
        <is>
          <t>A</t>
        </is>
      </c>
      <c r="G794" s="14" t="n">
        <v>13145</v>
      </c>
      <c r="H794" s="14" t="n">
        <v>-13145</v>
      </c>
      <c r="I794" s="14" t="n"/>
      <c r="J794" s="14" t="n">
        <v>0</v>
      </c>
      <c r="K794" s="21" t="n">
        <v>46120.44945601852</v>
      </c>
      <c r="L794" s="21" t="n">
        <v>46120</v>
      </c>
      <c r="M794" s="8" t="inlineStr"/>
      <c r="N794" s="8" t="inlineStr">
        <is>
          <t>Сотрудник, ведущий реестр</t>
        </is>
      </c>
      <c r="O794" s="8" t="inlineStr">
        <is>
          <t>d.mambetova</t>
        </is>
      </c>
      <c r="P794" s="12" t="inlineStr">
        <is>
          <t>В реестре в колонке суммы записан номер билета; на балансе расхождения нет</t>
        </is>
      </c>
      <c r="Q794" s="8" t="inlineStr">
        <is>
          <t>57196172</t>
        </is>
      </c>
    </row>
    <row r="795">
      <c r="A795" s="8" t="inlineStr">
        <is>
          <t>G06939</t>
        </is>
      </c>
      <c r="B795" s="8" t="inlineStr">
        <is>
          <t>Жибек Авиакасса</t>
        </is>
      </c>
      <c r="C795" s="8" t="inlineStr">
        <is>
          <t>2459531498|2459531500|2459531502</t>
        </is>
      </c>
      <c r="D795" s="8" t="inlineStr">
        <is>
          <t>В реестре билет вместо суммы</t>
        </is>
      </c>
      <c r="E795" s="8" t="inlineStr">
        <is>
          <t>Реестр (сотрудник)</t>
        </is>
      </c>
      <c r="F795" s="8" t="inlineStr">
        <is>
          <t>A</t>
        </is>
      </c>
      <c r="G795" s="14" t="n">
        <v>96066</v>
      </c>
      <c r="H795" s="14" t="n">
        <v>-96066</v>
      </c>
      <c r="I795" s="14" t="n"/>
      <c r="J795" s="14" t="n">
        <v>0</v>
      </c>
      <c r="K795" s="21" t="n">
        <v>46216.48287037037</v>
      </c>
      <c r="L795" s="21" t="n">
        <v>46216</v>
      </c>
      <c r="M795" s="8" t="inlineStr"/>
      <c r="N795" s="8" t="inlineStr">
        <is>
          <t>Сотрудник, ведущий реестр</t>
        </is>
      </c>
      <c r="O795" s="8" t="inlineStr">
        <is>
          <t>g.omurbekova</t>
        </is>
      </c>
      <c r="P795" s="12" t="inlineStr">
        <is>
          <t>В реестре в колонке суммы записан номер билета; на балансе расхождения нет</t>
        </is>
      </c>
      <c r="Q795" s="8" t="inlineStr">
        <is>
          <t>57456413,57456455,57456453</t>
        </is>
      </c>
    </row>
    <row r="796">
      <c r="A796" s="8" t="inlineStr">
        <is>
          <t>G07545</t>
        </is>
      </c>
      <c r="B796" s="8" t="inlineStr">
        <is>
          <t>Жолчу кызы А.</t>
        </is>
      </c>
      <c r="C796" s="8" t="inlineStr">
        <is>
          <t>2476315748|2476315750</t>
        </is>
      </c>
      <c r="D796" s="8" t="inlineStr">
        <is>
          <t>В реестре билет вместо суммы</t>
        </is>
      </c>
      <c r="E796" s="8" t="inlineStr">
        <is>
          <t>Реестр (сотрудник)</t>
        </is>
      </c>
      <c r="F796" s="8" t="inlineStr">
        <is>
          <t>A</t>
        </is>
      </c>
      <c r="G796" s="14" t="n">
        <v>29042</v>
      </c>
      <c r="H796" s="14" t="n">
        <v>-29042</v>
      </c>
      <c r="I796" s="14" t="n"/>
      <c r="J796" s="14" t="n">
        <v>0</v>
      </c>
      <c r="K796" s="21" t="n">
        <v>46226.474375</v>
      </c>
      <c r="L796" s="21" t="n">
        <v>46226</v>
      </c>
      <c r="M796" s="8" t="inlineStr"/>
      <c r="N796" s="8" t="inlineStr">
        <is>
          <t>Сотрудник, ведущий реестр</t>
        </is>
      </c>
      <c r="O796" s="8" t="inlineStr">
        <is>
          <t>d.mambetova</t>
        </is>
      </c>
      <c r="P796" s="12" t="inlineStr">
        <is>
          <t>В реестре в колонке суммы записан номер билета; на балансе расхождения нет</t>
        </is>
      </c>
      <c r="Q796" s="8" t="inlineStr">
        <is>
          <t>57481289</t>
        </is>
      </c>
    </row>
    <row r="797">
      <c r="A797" s="8" t="inlineStr">
        <is>
          <t>G07812</t>
        </is>
      </c>
      <c r="B797" s="8" t="inlineStr">
        <is>
          <t>ИП Асанов К. Б.</t>
        </is>
      </c>
      <c r="C797" s="8" t="inlineStr">
        <is>
          <t>2416944032|2416944034</t>
        </is>
      </c>
      <c r="D797" s="8" t="inlineStr">
        <is>
          <t>В реестре билет вместо суммы</t>
        </is>
      </c>
      <c r="E797" s="8" t="inlineStr">
        <is>
          <t>Реестр (сотрудник)</t>
        </is>
      </c>
      <c r="F797" s="8" t="inlineStr">
        <is>
          <t>A</t>
        </is>
      </c>
      <c r="G797" s="14" t="n">
        <v>55379.2</v>
      </c>
      <c r="H797" s="14" t="n">
        <v>-55379.2</v>
      </c>
      <c r="I797" s="14" t="n"/>
      <c r="J797" s="14" t="n">
        <v>0</v>
      </c>
      <c r="K797" s="21" t="n">
        <v>46082.63207175926</v>
      </c>
      <c r="L797" s="21" t="n">
        <v>46082</v>
      </c>
      <c r="M797" s="8" t="inlineStr"/>
      <c r="N797" s="8" t="inlineStr">
        <is>
          <t>Сотрудник, ведущий реестр</t>
        </is>
      </c>
      <c r="O797" s="8" t="inlineStr">
        <is>
          <t>b.isakov</t>
        </is>
      </c>
      <c r="P797" s="12" t="inlineStr">
        <is>
          <t>В реестре в колонке суммы записан номер билета; на балансе расхождения нет</t>
        </is>
      </c>
      <c r="Q797" s="8" t="inlineStr">
        <is>
          <t>57116568,57116543</t>
        </is>
      </c>
    </row>
    <row r="798">
      <c r="A798" s="8" t="inlineStr">
        <is>
          <t>G07873</t>
        </is>
      </c>
      <c r="B798" s="8" t="inlineStr">
        <is>
          <t>ИП Асанов К. Б.</t>
        </is>
      </c>
      <c r="C798" s="8" t="inlineStr">
        <is>
          <t>2552667475|2552667477|2552667480</t>
        </is>
      </c>
      <c r="D798" s="8" t="inlineStr">
        <is>
          <t>В реестре билет вместо суммы</t>
        </is>
      </c>
      <c r="E798" s="8" t="inlineStr">
        <is>
          <t>Реестр (сотрудник)</t>
        </is>
      </c>
      <c r="F798" s="8" t="inlineStr">
        <is>
          <t>A</t>
        </is>
      </c>
      <c r="G798" s="14" t="n">
        <v>86719.56</v>
      </c>
      <c r="H798" s="14" t="n">
        <v>-86719.56</v>
      </c>
      <c r="I798" s="14" t="n">
        <v>-86719.56</v>
      </c>
      <c r="J798" s="14" t="n">
        <v>0</v>
      </c>
      <c r="K798" s="21" t="n">
        <v>46174.5490162037</v>
      </c>
      <c r="L798" s="21" t="n">
        <v>46174</v>
      </c>
      <c r="M798" s="8" t="inlineStr"/>
      <c r="N798" s="8" t="inlineStr">
        <is>
          <t>Сотрудник, ведущий реестр</t>
        </is>
      </c>
      <c r="O798" s="8" t="inlineStr">
        <is>
          <t>b.isakov|k.dzhumaev</t>
        </is>
      </c>
      <c r="P798" s="12" t="inlineStr">
        <is>
          <t>В реестре в колонке суммы записан номер билета; на балансе расхождения нет</t>
        </is>
      </c>
      <c r="Q798" s="8" t="inlineStr">
        <is>
          <t>57332597,57332628,57332569,57449675</t>
        </is>
      </c>
    </row>
    <row r="799">
      <c r="A799" s="8" t="inlineStr">
        <is>
          <t>G08274</t>
        </is>
      </c>
      <c r="B799" s="8" t="inlineStr">
        <is>
          <t>ИП Мамбетова Ч. Э.</t>
        </is>
      </c>
      <c r="C799" s="8" t="inlineStr">
        <is>
          <t>2460737524</t>
        </is>
      </c>
      <c r="D799" s="8" t="inlineStr">
        <is>
          <t>В реестре билет вместо суммы</t>
        </is>
      </c>
      <c r="E799" s="8" t="inlineStr">
        <is>
          <t>Реестр (сотрудник)</t>
        </is>
      </c>
      <c r="F799" s="8" t="inlineStr">
        <is>
          <t>A</t>
        </is>
      </c>
      <c r="G799" s="14" t="n">
        <v>16841</v>
      </c>
      <c r="H799" s="14" t="n">
        <v>-16841</v>
      </c>
      <c r="I799" s="14" t="n"/>
      <c r="J799" s="14" t="n">
        <v>0</v>
      </c>
      <c r="K799" s="21" t="n">
        <v>46163.38435185186</v>
      </c>
      <c r="L799" s="21" t="n">
        <v>46163</v>
      </c>
      <c r="M799" s="8" t="inlineStr"/>
      <c r="N799" s="8" t="inlineStr">
        <is>
          <t>Сотрудник, ведущий реестр</t>
        </is>
      </c>
      <c r="O799" s="8" t="inlineStr">
        <is>
          <t>n.abdyldaeva</t>
        </is>
      </c>
      <c r="P799" s="12" t="inlineStr">
        <is>
          <t>В реестре в колонке суммы записан номер билета; на балансе расхождения нет</t>
        </is>
      </c>
      <c r="Q799" s="8" t="inlineStr">
        <is>
          <t>57305554</t>
        </is>
      </c>
    </row>
    <row r="800">
      <c r="A800" s="8" t="inlineStr">
        <is>
          <t>G08345</t>
        </is>
      </c>
      <c r="B800" s="8" t="inlineStr">
        <is>
          <t>ИП Муратов Э. У.</t>
        </is>
      </c>
      <c r="C800" s="8" t="inlineStr">
        <is>
          <t>2420842962|2420842965</t>
        </is>
      </c>
      <c r="D800" s="8" t="inlineStr">
        <is>
          <t>В реестре билет вместо суммы</t>
        </is>
      </c>
      <c r="E800" s="8" t="inlineStr">
        <is>
          <t>Реестр (сотрудник)</t>
        </is>
      </c>
      <c r="F800" s="8" t="inlineStr">
        <is>
          <t>A</t>
        </is>
      </c>
      <c r="G800" s="14" t="n">
        <v>5041.77</v>
      </c>
      <c r="H800" s="14" t="n">
        <v>-5041.77</v>
      </c>
      <c r="I800" s="14" t="n">
        <v>-28570.05</v>
      </c>
      <c r="J800" s="14" t="n">
        <v>0</v>
      </c>
      <c r="K800" s="21" t="n">
        <v>46150.81136574074</v>
      </c>
      <c r="L800" s="21" t="n">
        <v>46150</v>
      </c>
      <c r="M800" s="8" t="inlineStr"/>
      <c r="N800" s="8" t="inlineStr">
        <is>
          <t>Сотрудник, ведущий реестр</t>
        </is>
      </c>
      <c r="O800" s="8" t="inlineStr">
        <is>
          <t>a.toktosunova|b.isakov</t>
        </is>
      </c>
      <c r="P800" s="12" t="inlineStr">
        <is>
          <t>В реестре в колонке суммы записан номер билета; на балансе расхождения нет</t>
        </is>
      </c>
      <c r="Q800" s="8" t="inlineStr">
        <is>
          <t>57263631,57282286</t>
        </is>
      </c>
    </row>
    <row r="801">
      <c r="A801" s="8" t="inlineStr">
        <is>
          <t>G08796</t>
        </is>
      </c>
      <c r="B801" s="8" t="inlineStr">
        <is>
          <t>ИП Турсунов Т. А.</t>
        </is>
      </c>
      <c r="C801" s="8" t="inlineStr">
        <is>
          <t>2559099408</t>
        </is>
      </c>
      <c r="D801" s="8" t="inlineStr">
        <is>
          <t>В реестре билет вместо суммы</t>
        </is>
      </c>
      <c r="E801" s="8" t="inlineStr">
        <is>
          <t>Реестр (сотрудник)</t>
        </is>
      </c>
      <c r="F801" s="8" t="inlineStr">
        <is>
          <t>A</t>
        </is>
      </c>
      <c r="G801" s="14" t="n">
        <v>32652.12</v>
      </c>
      <c r="H801" s="14" t="n">
        <v>-32652.12</v>
      </c>
      <c r="I801" s="14" t="n"/>
      <c r="J801" s="14" t="n">
        <v>0</v>
      </c>
      <c r="K801" s="21" t="n">
        <v>46169.82038194445</v>
      </c>
      <c r="L801" s="21" t="n">
        <v>46169</v>
      </c>
      <c r="M801" s="8" t="inlineStr"/>
      <c r="N801" s="8" t="inlineStr">
        <is>
          <t>Сотрудник, ведущий реестр</t>
        </is>
      </c>
      <c r="O801" s="8" t="inlineStr">
        <is>
          <t>b.isakov</t>
        </is>
      </c>
      <c r="P801" s="12" t="inlineStr">
        <is>
          <t>В реестре в колонке суммы записан номер билета; на балансе расхождения нет</t>
        </is>
      </c>
      <c r="Q801" s="8" t="inlineStr">
        <is>
          <t>57320322</t>
        </is>
      </c>
    </row>
    <row r="802">
      <c r="A802" s="8" t="inlineStr">
        <is>
          <t>G10974</t>
        </is>
      </c>
      <c r="B802" s="8" t="inlineStr">
        <is>
          <t>ОсОО Ала-Арча Авиа</t>
        </is>
      </c>
      <c r="C802" s="8" t="inlineStr">
        <is>
          <t>2552671972</t>
        </is>
      </c>
      <c r="D802" s="8" t="inlineStr">
        <is>
          <t>В реестре билет вместо суммы</t>
        </is>
      </c>
      <c r="E802" s="8" t="inlineStr">
        <is>
          <t>Реестр (сотрудник)</t>
        </is>
      </c>
      <c r="F802" s="8" t="inlineStr">
        <is>
          <t>A</t>
        </is>
      </c>
      <c r="G802" s="14" t="n">
        <v>34468.03</v>
      </c>
      <c r="H802" s="14" t="n">
        <v>-34468.03</v>
      </c>
      <c r="I802" s="14" t="n"/>
      <c r="J802" s="14" t="n">
        <v>0</v>
      </c>
      <c r="K802" s="21" t="n">
        <v>46148.61010416667</v>
      </c>
      <c r="L802" s="21" t="n">
        <v>46148</v>
      </c>
      <c r="M802" s="8" t="inlineStr"/>
      <c r="N802" s="8" t="inlineStr">
        <is>
          <t>Сотрудник, ведущий реестр</t>
        </is>
      </c>
      <c r="O802" s="8" t="inlineStr">
        <is>
          <t>n.abdyldaeva</t>
        </is>
      </c>
      <c r="P802" s="12" t="inlineStr">
        <is>
          <t>В реестре в колонке суммы записан номер билета; на балансе расхождения нет</t>
        </is>
      </c>
      <c r="Q802" s="8" t="inlineStr">
        <is>
          <t>57259524</t>
        </is>
      </c>
    </row>
    <row r="803">
      <c r="A803" s="8" t="inlineStr">
        <is>
          <t>G11027</t>
        </is>
      </c>
      <c r="B803" s="8" t="inlineStr">
        <is>
          <t>ОсОО Ала-Арча Трип</t>
        </is>
      </c>
      <c r="C803" s="8" t="inlineStr">
        <is>
          <t>2460737209|2460737212|2460737215</t>
        </is>
      </c>
      <c r="D803" s="8" t="inlineStr">
        <is>
          <t>В реестре билет вместо суммы</t>
        </is>
      </c>
      <c r="E803" s="8" t="inlineStr">
        <is>
          <t>Реестр (сотрудник)</t>
        </is>
      </c>
      <c r="F803" s="8" t="inlineStr">
        <is>
          <t>A</t>
        </is>
      </c>
      <c r="G803" s="14" t="n">
        <v>75888</v>
      </c>
      <c r="H803" s="14" t="n">
        <v>-75888</v>
      </c>
      <c r="I803" s="14" t="n"/>
      <c r="J803" s="14" t="n">
        <v>0</v>
      </c>
      <c r="K803" s="21" t="n">
        <v>46171.34864583334</v>
      </c>
      <c r="L803" s="21" t="n">
        <v>46171</v>
      </c>
      <c r="M803" s="8" t="inlineStr"/>
      <c r="N803" s="8" t="inlineStr">
        <is>
          <t>Сотрудник, ведущий реестр</t>
        </is>
      </c>
      <c r="O803" s="8" t="inlineStr">
        <is>
          <t>a.toktosunova</t>
        </is>
      </c>
      <c r="P803" s="12" t="inlineStr">
        <is>
          <t>В реестре в колонке суммы записан номер билета; на балансе расхождения нет</t>
        </is>
      </c>
      <c r="Q803" s="8" t="inlineStr">
        <is>
          <t>57326814,57326783,57326830</t>
        </is>
      </c>
    </row>
    <row r="804">
      <c r="A804" s="8" t="inlineStr">
        <is>
          <t>G11140</t>
        </is>
      </c>
      <c r="B804" s="8" t="inlineStr">
        <is>
          <t>ОсОО Ала-Тоо Эйр</t>
        </is>
      </c>
      <c r="C804" s="8" t="inlineStr">
        <is>
          <t>2552672213|2552672214|2552672215|2552672217</t>
        </is>
      </c>
      <c r="D804" s="8" t="inlineStr">
        <is>
          <t>В реестре билет вместо суммы</t>
        </is>
      </c>
      <c r="E804" s="8" t="inlineStr">
        <is>
          <t>Реестр (сотрудник)</t>
        </is>
      </c>
      <c r="F804" s="8" t="inlineStr">
        <is>
          <t>A</t>
        </is>
      </c>
      <c r="G804" s="14" t="n">
        <v>238723.36</v>
      </c>
      <c r="H804" s="14" t="n">
        <v>-238723.36</v>
      </c>
      <c r="I804" s="14" t="n"/>
      <c r="J804" s="14" t="n">
        <v>0</v>
      </c>
      <c r="K804" s="21" t="n">
        <v>46210.3710300926</v>
      </c>
      <c r="L804" s="21" t="n">
        <v>46210</v>
      </c>
      <c r="M804" s="8" t="inlineStr"/>
      <c r="N804" s="8" t="inlineStr">
        <is>
          <t>Сотрудник, ведущий реестр</t>
        </is>
      </c>
      <c r="O804" s="8" t="inlineStr">
        <is>
          <t>b.isakov</t>
        </is>
      </c>
      <c r="P804" s="12" t="inlineStr">
        <is>
          <t>В реестре в колонке суммы записан номер билета; на балансе расхождения нет</t>
        </is>
      </c>
      <c r="Q804" s="8" t="inlineStr">
        <is>
          <t>57438411,57438426,57438448,57438446</t>
        </is>
      </c>
    </row>
    <row r="805">
      <c r="A805" s="8" t="inlineStr">
        <is>
          <t>G11652</t>
        </is>
      </c>
      <c r="B805" s="8" t="inlineStr">
        <is>
          <t>ОсОО Кок-Жайык Вояж</t>
        </is>
      </c>
      <c r="C805" s="8" t="inlineStr">
        <is>
          <t>2459530683</t>
        </is>
      </c>
      <c r="D805" s="8" t="inlineStr">
        <is>
          <t>В реестре билет вместо суммы</t>
        </is>
      </c>
      <c r="E805" s="8" t="inlineStr">
        <is>
          <t>Реестр (сотрудник)</t>
        </is>
      </c>
      <c r="F805" s="8" t="inlineStr">
        <is>
          <t>A</t>
        </is>
      </c>
      <c r="G805" s="14" t="n">
        <v>10020</v>
      </c>
      <c r="H805" s="14" t="n">
        <v>-10020</v>
      </c>
      <c r="I805" s="14" t="n"/>
      <c r="J805" s="14" t="n">
        <v>0</v>
      </c>
      <c r="K805" s="21" t="n">
        <v>46157.41151620371</v>
      </c>
      <c r="L805" s="21" t="n">
        <v>46157</v>
      </c>
      <c r="M805" s="8" t="inlineStr"/>
      <c r="N805" s="8" t="inlineStr">
        <is>
          <t>Сотрудник, ведущий реестр</t>
        </is>
      </c>
      <c r="O805" s="8" t="inlineStr">
        <is>
          <t>r.sydykov</t>
        </is>
      </c>
      <c r="P805" s="12" t="inlineStr">
        <is>
          <t>В реестре в колонке суммы записан номер билета; на балансе расхождения нет</t>
        </is>
      </c>
      <c r="Q805" s="8" t="inlineStr">
        <is>
          <t>57287536</t>
        </is>
      </c>
    </row>
    <row r="806">
      <c r="A806" s="8" t="inlineStr">
        <is>
          <t>G11792</t>
        </is>
      </c>
      <c r="B806" s="8" t="inlineStr">
        <is>
          <t>ОсОО Кок-Жайык Лайн</t>
        </is>
      </c>
      <c r="C806" s="8" t="inlineStr">
        <is>
          <t>2459529552|2459529555</t>
        </is>
      </c>
      <c r="D806" s="8" t="inlineStr">
        <is>
          <t>В реестре билет вместо суммы</t>
        </is>
      </c>
      <c r="E806" s="8" t="inlineStr">
        <is>
          <t>Реестр (сотрудник)</t>
        </is>
      </c>
      <c r="F806" s="8" t="inlineStr">
        <is>
          <t>A</t>
        </is>
      </c>
      <c r="G806" s="14" t="n">
        <v>20556</v>
      </c>
      <c r="H806" s="14" t="n">
        <v>-20556</v>
      </c>
      <c r="I806" s="14" t="n"/>
      <c r="J806" s="14" t="n">
        <v>0</v>
      </c>
      <c r="K806" s="21" t="n">
        <v>46226.7653587963</v>
      </c>
      <c r="L806" s="21" t="n">
        <v>46226</v>
      </c>
      <c r="M806" s="8" t="inlineStr"/>
      <c r="N806" s="8" t="inlineStr">
        <is>
          <t>Сотрудник, ведущий реестр</t>
        </is>
      </c>
      <c r="O806" s="8" t="inlineStr">
        <is>
          <t>r.sydykov</t>
        </is>
      </c>
      <c r="P806" s="12" t="inlineStr">
        <is>
          <t>В реестре в колонке суммы записан номер билета; на балансе расхождения нет</t>
        </is>
      </c>
      <c r="Q806" s="8" t="inlineStr">
        <is>
          <t>57481802,57481793</t>
        </is>
      </c>
    </row>
    <row r="807">
      <c r="A807" s="8" t="inlineStr">
        <is>
          <t>G11953</t>
        </is>
      </c>
      <c r="B807" s="8" t="inlineStr">
        <is>
          <t>ОсОО Чолпон Авиакасса</t>
        </is>
      </c>
      <c r="C807" s="8" t="inlineStr">
        <is>
          <t>2416941891</t>
        </is>
      </c>
      <c r="D807" s="8" t="inlineStr">
        <is>
          <t>В реестре билет вместо суммы</t>
        </is>
      </c>
      <c r="E807" s="8" t="inlineStr">
        <is>
          <t>Реестр (сотрудник)</t>
        </is>
      </c>
      <c r="F807" s="8" t="inlineStr">
        <is>
          <t>A</t>
        </is>
      </c>
      <c r="G807" s="14" t="n">
        <v>50202.08</v>
      </c>
      <c r="H807" s="14" t="n">
        <v>-50202.08</v>
      </c>
      <c r="I807" s="14" t="n"/>
      <c r="J807" s="14" t="n">
        <v>0</v>
      </c>
      <c r="K807" s="21" t="n">
        <v>46132.36585648148</v>
      </c>
      <c r="L807" s="21" t="n">
        <v>46132</v>
      </c>
      <c r="M807" s="8" t="inlineStr"/>
      <c r="N807" s="8" t="inlineStr">
        <is>
          <t>Сотрудник, ведущий реестр</t>
        </is>
      </c>
      <c r="O807" s="8" t="inlineStr">
        <is>
          <t>a.toktosunova</t>
        </is>
      </c>
      <c r="P807" s="12" t="inlineStr">
        <is>
          <t>В реестре в колонке суммы записан номер билета; на балансе расхождения нет</t>
        </is>
      </c>
      <c r="Q807" s="8" t="inlineStr">
        <is>
          <t>57217207</t>
        </is>
      </c>
    </row>
    <row r="808">
      <c r="A808" s="8" t="inlineStr">
        <is>
          <t>G12102</t>
        </is>
      </c>
      <c r="B808" s="8" t="inlineStr">
        <is>
          <t>Осмонова А. Н.</t>
        </is>
      </c>
      <c r="C808" s="8" t="inlineStr">
        <is>
          <t>2416943568</t>
        </is>
      </c>
      <c r="D808" s="8" t="inlineStr">
        <is>
          <t>В реестре билет вместо суммы</t>
        </is>
      </c>
      <c r="E808" s="8" t="inlineStr">
        <is>
          <t>Реестр (сотрудник)</t>
        </is>
      </c>
      <c r="F808" s="8" t="inlineStr">
        <is>
          <t>A</t>
        </is>
      </c>
      <c r="G808" s="14" t="n">
        <v>23139.6</v>
      </c>
      <c r="H808" s="14" t="n">
        <v>-23139.6</v>
      </c>
      <c r="I808" s="14" t="n"/>
      <c r="J808" s="14" t="n">
        <v>0</v>
      </c>
      <c r="K808" s="21" t="n">
        <v>46108.63126157408</v>
      </c>
      <c r="L808" s="21" t="n">
        <v>46108</v>
      </c>
      <c r="M808" s="8" t="inlineStr"/>
      <c r="N808" s="8" t="inlineStr">
        <is>
          <t>Сотрудник, ведущий реестр</t>
        </is>
      </c>
      <c r="O808" s="8" t="inlineStr">
        <is>
          <t>k.dzhumaev</t>
        </is>
      </c>
      <c r="P808" s="12" t="inlineStr">
        <is>
          <t>В реестре в колонке суммы записан номер билета; на балансе расхождения нет</t>
        </is>
      </c>
      <c r="Q808" s="8" t="inlineStr">
        <is>
          <t>57175418</t>
        </is>
      </c>
    </row>
    <row r="809">
      <c r="A809" s="8" t="inlineStr">
        <is>
          <t>G13307</t>
        </is>
      </c>
      <c r="B809" s="8" t="inlineStr">
        <is>
          <t>Сатар уулу Санжар</t>
        </is>
      </c>
      <c r="C809" s="8" t="inlineStr">
        <is>
          <t>2552671833</t>
        </is>
      </c>
      <c r="D809" s="8" t="inlineStr">
        <is>
          <t>В реестре билет вместо суммы</t>
        </is>
      </c>
      <c r="E809" s="8" t="inlineStr">
        <is>
          <t>Реестр (сотрудник)</t>
        </is>
      </c>
      <c r="F809" s="8" t="inlineStr">
        <is>
          <t>A</t>
        </is>
      </c>
      <c r="G809" s="14" t="n">
        <v>26721.97</v>
      </c>
      <c r="H809" s="14" t="n">
        <v>-26721.97</v>
      </c>
      <c r="I809" s="14" t="n"/>
      <c r="J809" s="14" t="n">
        <v>0</v>
      </c>
      <c r="K809" s="21" t="n">
        <v>46228.6587037037</v>
      </c>
      <c r="L809" s="21" t="n">
        <v>46228</v>
      </c>
      <c r="M809" s="8" t="inlineStr"/>
      <c r="N809" s="8" t="inlineStr">
        <is>
          <t>Сотрудник, ведущий реестр</t>
        </is>
      </c>
      <c r="O809" s="8" t="inlineStr">
        <is>
          <t>b.isakov</t>
        </is>
      </c>
      <c r="P809" s="12" t="inlineStr">
        <is>
          <t>В реестре в колонке суммы записан номер билета; на балансе расхождения нет</t>
        </is>
      </c>
      <c r="Q809" s="8" t="inlineStr">
        <is>
          <t>57487625</t>
        </is>
      </c>
    </row>
    <row r="810">
      <c r="A810" s="8" t="inlineStr">
        <is>
          <t>G14177</t>
        </is>
      </c>
      <c r="B810" s="8" t="inlineStr">
        <is>
          <t>Урматова Айпери Нурбековна</t>
        </is>
      </c>
      <c r="C810" s="8" t="inlineStr">
        <is>
          <t>2460736848</t>
        </is>
      </c>
      <c r="D810" s="8" t="inlineStr">
        <is>
          <t>В реестре билет вместо суммы</t>
        </is>
      </c>
      <c r="E810" s="8" t="inlineStr">
        <is>
          <t>Реестр (сотрудник)</t>
        </is>
      </c>
      <c r="F810" s="8" t="inlineStr">
        <is>
          <t>A</t>
        </is>
      </c>
      <c r="G810" s="14" t="n">
        <v>10890</v>
      </c>
      <c r="H810" s="14" t="n">
        <v>-10890</v>
      </c>
      <c r="I810" s="14" t="n"/>
      <c r="J810" s="14" t="n">
        <v>0</v>
      </c>
      <c r="K810" s="21" t="n">
        <v>46161.82921296296</v>
      </c>
      <c r="L810" s="21" t="n">
        <v>46161</v>
      </c>
      <c r="M810" s="8" t="inlineStr"/>
      <c r="N810" s="8" t="inlineStr">
        <is>
          <t>Сотрудник, ведущий реестр</t>
        </is>
      </c>
      <c r="O810" s="8" t="inlineStr">
        <is>
          <t>a.toktosunova</t>
        </is>
      </c>
      <c r="P810" s="12" t="inlineStr">
        <is>
          <t>В реестре в колонке суммы записан номер билета; на балансе расхождения нет</t>
        </is>
      </c>
      <c r="Q810" s="8" t="inlineStr">
        <is>
          <t>57299423</t>
        </is>
      </c>
    </row>
    <row r="811">
      <c r="A811" s="8" t="inlineStr">
        <is>
          <t>G14183</t>
        </is>
      </c>
      <c r="B811" s="8" t="inlineStr">
        <is>
          <t>Урматова Айпери Нурбековна</t>
        </is>
      </c>
      <c r="C811" s="8" t="inlineStr">
        <is>
          <t>2461881460</t>
        </is>
      </c>
      <c r="D811" s="8" t="inlineStr">
        <is>
          <t>В реестре билет вместо суммы</t>
        </is>
      </c>
      <c r="E811" s="8" t="inlineStr">
        <is>
          <t>Реестр (сотрудник)</t>
        </is>
      </c>
      <c r="F811" s="8" t="inlineStr">
        <is>
          <t>A</t>
        </is>
      </c>
      <c r="G811" s="14" t="n">
        <v>32361</v>
      </c>
      <c r="H811" s="14" t="n">
        <v>-32361</v>
      </c>
      <c r="I811" s="14" t="n"/>
      <c r="J811" s="14" t="n">
        <v>0</v>
      </c>
      <c r="K811" s="21" t="n">
        <v>46202.50011574074</v>
      </c>
      <c r="L811" s="21" t="n">
        <v>46202</v>
      </c>
      <c r="M811" s="8" t="inlineStr"/>
      <c r="N811" s="8" t="inlineStr">
        <is>
          <t>Сотрудник, ведущий реестр</t>
        </is>
      </c>
      <c r="O811" s="8" t="inlineStr">
        <is>
          <t>b.isakov</t>
        </is>
      </c>
      <c r="P811" s="12" t="inlineStr">
        <is>
          <t>В реестре в колонке суммы записан номер билета; на балансе расхождения нет</t>
        </is>
      </c>
      <c r="Q811" s="8" t="inlineStr">
        <is>
          <t>57410801</t>
        </is>
      </c>
    </row>
    <row r="812">
      <c r="A812" s="8" t="inlineStr">
        <is>
          <t>G14199</t>
        </is>
      </c>
      <c r="B812" s="8" t="inlineStr">
        <is>
          <t>Урматова Айпери Нурбековна</t>
        </is>
      </c>
      <c r="C812" s="8" t="inlineStr">
        <is>
          <t>2476316246|2476316248|2476316249</t>
        </is>
      </c>
      <c r="D812" s="8" t="inlineStr">
        <is>
          <t>В реестре билет вместо суммы</t>
        </is>
      </c>
      <c r="E812" s="8" t="inlineStr">
        <is>
          <t>Реестр (сотрудник)</t>
        </is>
      </c>
      <c r="F812" s="8" t="inlineStr">
        <is>
          <t>A</t>
        </is>
      </c>
      <c r="G812" s="14" t="n">
        <v>67978.2</v>
      </c>
      <c r="H812" s="14" t="n">
        <v>-67978.2</v>
      </c>
      <c r="I812" s="14" t="n"/>
      <c r="J812" s="14" t="n">
        <v>0</v>
      </c>
      <c r="K812" s="21" t="n">
        <v>46030.78287037037</v>
      </c>
      <c r="L812" s="21" t="n">
        <v>46030</v>
      </c>
      <c r="M812" s="8" t="inlineStr"/>
      <c r="N812" s="8" t="inlineStr">
        <is>
          <t>Сотрудник, ведущий реестр</t>
        </is>
      </c>
      <c r="O812" s="8" t="inlineStr">
        <is>
          <t>r.sydykov</t>
        </is>
      </c>
      <c r="P812" s="12" t="inlineStr">
        <is>
          <t>В реестре в колонке суммы записан номер билета; на балансе расхождения нет</t>
        </is>
      </c>
      <c r="Q812" s="8" t="inlineStr">
        <is>
          <t>57014255</t>
        </is>
      </c>
    </row>
    <row r="813">
      <c r="A813" s="8" t="inlineStr">
        <is>
          <t>G14315</t>
        </is>
      </c>
      <c r="B813" s="8" t="inlineStr">
        <is>
          <t>ЧОЛПОН ТУР</t>
        </is>
      </c>
      <c r="C813" s="8" t="inlineStr">
        <is>
          <t>2476315796|2476315797</t>
        </is>
      </c>
      <c r="D813" s="8" t="inlineStr">
        <is>
          <t>В реестре билет вместо суммы</t>
        </is>
      </c>
      <c r="E813" s="8" t="inlineStr">
        <is>
          <t>Реестр (сотрудник)</t>
        </is>
      </c>
      <c r="F813" s="8" t="inlineStr">
        <is>
          <t>A</t>
        </is>
      </c>
      <c r="G813" s="14" t="n">
        <v>46701.1</v>
      </c>
      <c r="H813" s="14" t="n">
        <v>-46701.1</v>
      </c>
      <c r="I813" s="14" t="n"/>
      <c r="J813" s="14" t="n">
        <v>0</v>
      </c>
      <c r="K813" s="21" t="n">
        <v>46200.37524305555</v>
      </c>
      <c r="L813" s="21" t="n">
        <v>46200</v>
      </c>
      <c r="M813" s="8" t="inlineStr"/>
      <c r="N813" s="8" t="inlineStr">
        <is>
          <t>Сотрудник, ведущий реестр</t>
        </is>
      </c>
      <c r="O813" s="8" t="inlineStr">
        <is>
          <t>r.sydykov</t>
        </is>
      </c>
      <c r="P813" s="12" t="inlineStr">
        <is>
          <t>В реестре в колонке суммы записан номер билета; на балансе расхождения нет</t>
        </is>
      </c>
      <c r="Q813" s="8" t="inlineStr">
        <is>
          <t>57405475,57405503</t>
        </is>
      </c>
    </row>
    <row r="814">
      <c r="A814" s="8" t="inlineStr">
        <is>
          <t>G14381</t>
        </is>
      </c>
      <c r="B814" s="8" t="inlineStr">
        <is>
          <t>ЧОЛПОН ЭЙР</t>
        </is>
      </c>
      <c r="C814" s="8" t="inlineStr">
        <is>
          <t>2459527703</t>
        </is>
      </c>
      <c r="D814" s="8" t="inlineStr">
        <is>
          <t>В реестре билет вместо суммы</t>
        </is>
      </c>
      <c r="E814" s="8" t="inlineStr">
        <is>
          <t>Реестр (сотрудник)</t>
        </is>
      </c>
      <c r="F814" s="8" t="inlineStr">
        <is>
          <t>A</t>
        </is>
      </c>
      <c r="G814" s="14" t="n">
        <v>10252</v>
      </c>
      <c r="H814" s="14" t="n">
        <v>-10252</v>
      </c>
      <c r="I814" s="14" t="n"/>
      <c r="J814" s="14" t="n">
        <v>0</v>
      </c>
      <c r="K814" s="21" t="n">
        <v>46026.3647337963</v>
      </c>
      <c r="L814" s="21" t="n">
        <v>46026</v>
      </c>
      <c r="M814" s="8" t="inlineStr"/>
      <c r="N814" s="8" t="inlineStr">
        <is>
          <t>Сотрудник, ведущий реестр</t>
        </is>
      </c>
      <c r="O814" s="8" t="inlineStr">
        <is>
          <t>a.toktosunova</t>
        </is>
      </c>
      <c r="P814" s="12" t="inlineStr">
        <is>
          <t>В реестре в колонке суммы записан номер билета; на балансе расхождения нет</t>
        </is>
      </c>
      <c r="Q814" s="8" t="inlineStr">
        <is>
          <t>57005650</t>
        </is>
      </c>
    </row>
    <row r="815">
      <c r="A815" s="8" t="inlineStr">
        <is>
          <t>G14472</t>
        </is>
      </c>
      <c r="B815" s="8" t="inlineStr">
        <is>
          <t>Чолпон Тревел</t>
        </is>
      </c>
      <c r="C815" s="8" t="inlineStr">
        <is>
          <t>2459528176</t>
        </is>
      </c>
      <c r="D815" s="8" t="inlineStr">
        <is>
          <t>В реестре билет вместо суммы</t>
        </is>
      </c>
      <c r="E815" s="8" t="inlineStr">
        <is>
          <t>Реестр (сотрудник)</t>
        </is>
      </c>
      <c r="F815" s="8" t="inlineStr">
        <is>
          <t>A</t>
        </is>
      </c>
      <c r="G815" s="14" t="n">
        <v>25727</v>
      </c>
      <c r="H815" s="14" t="n">
        <v>-25727</v>
      </c>
      <c r="I815" s="14" t="n"/>
      <c r="J815" s="14" t="n">
        <v>0</v>
      </c>
      <c r="K815" s="21" t="n">
        <v>46055.81900462963</v>
      </c>
      <c r="L815" s="21" t="n">
        <v>46055</v>
      </c>
      <c r="M815" s="8" t="inlineStr"/>
      <c r="N815" s="8" t="inlineStr">
        <is>
          <t>Сотрудник, ведущий реестр</t>
        </is>
      </c>
      <c r="O815" s="8" t="inlineStr">
        <is>
          <t>d.mambetova</t>
        </is>
      </c>
      <c r="P815" s="12" t="inlineStr">
        <is>
          <t>В реестре в колонке суммы записан номер билета; на балансе расхождения нет</t>
        </is>
      </c>
      <c r="Q815" s="8" t="inlineStr">
        <is>
          <t>57068669</t>
        </is>
      </c>
    </row>
    <row r="816">
      <c r="A816" s="8" t="inlineStr">
        <is>
          <t>G14631</t>
        </is>
      </c>
      <c r="B816" s="8" t="inlineStr">
        <is>
          <t>Чынарова Бурул Джолдошовна</t>
        </is>
      </c>
      <c r="C816" s="8" t="inlineStr">
        <is>
          <t>2460736990|2460736993|2460736996</t>
        </is>
      </c>
      <c r="D816" s="8" t="inlineStr">
        <is>
          <t>В реестре билет вместо суммы</t>
        </is>
      </c>
      <c r="E816" s="8" t="inlineStr">
        <is>
          <t>Реестр (сотрудник)</t>
        </is>
      </c>
      <c r="F816" s="8" t="inlineStr">
        <is>
          <t>A</t>
        </is>
      </c>
      <c r="G816" s="14" t="n">
        <v>75849</v>
      </c>
      <c r="H816" s="14" t="n">
        <v>-75849</v>
      </c>
      <c r="I816" s="14" t="n"/>
      <c r="J816" s="14" t="n">
        <v>0</v>
      </c>
      <c r="K816" s="21" t="n">
        <v>46091.53912037037</v>
      </c>
      <c r="L816" s="21" t="n">
        <v>46091</v>
      </c>
      <c r="M816" s="8" t="inlineStr"/>
      <c r="N816" s="8" t="inlineStr">
        <is>
          <t>Сотрудник, ведущий реестр</t>
        </is>
      </c>
      <c r="O816" s="8" t="inlineStr">
        <is>
          <t>r.sydykov</t>
        </is>
      </c>
      <c r="P816" s="12" t="inlineStr">
        <is>
          <t>В реестре в колонке суммы записан номер билета; на балансе расхождения нет</t>
        </is>
      </c>
      <c r="Q816" s="8" t="inlineStr">
        <is>
          <t>57138113,57138078,57138094</t>
        </is>
      </c>
    </row>
    <row r="817">
      <c r="A817" s="8" t="inlineStr">
        <is>
          <t>G14649</t>
        </is>
      </c>
      <c r="B817" s="8" t="inlineStr">
        <is>
          <t>Чынарова Бурул Джолдошовна</t>
        </is>
      </c>
      <c r="C817" s="8" t="inlineStr">
        <is>
          <t>2461885770|2461885771|2461885772</t>
        </is>
      </c>
      <c r="D817" s="8" t="inlineStr">
        <is>
          <t>В реестре билет вместо суммы</t>
        </is>
      </c>
      <c r="E817" s="8" t="inlineStr">
        <is>
          <t>Реестр (сотрудник)</t>
        </is>
      </c>
      <c r="F817" s="8" t="inlineStr">
        <is>
          <t>A</t>
        </is>
      </c>
      <c r="G817" s="14" t="n">
        <v>95757</v>
      </c>
      <c r="H817" s="14" t="n">
        <v>-95757</v>
      </c>
      <c r="I817" s="14" t="n"/>
      <c r="J817" s="14" t="n">
        <v>0</v>
      </c>
      <c r="K817" s="21" t="n">
        <v>46148.38188657408</v>
      </c>
      <c r="L817" s="21" t="n">
        <v>46148</v>
      </c>
      <c r="M817" s="8" t="inlineStr"/>
      <c r="N817" s="8" t="inlineStr">
        <is>
          <t>Сотрудник, ведущий реестр</t>
        </is>
      </c>
      <c r="O817" s="8" t="inlineStr">
        <is>
          <t>g.omurbekova</t>
        </is>
      </c>
      <c r="P817" s="12" t="inlineStr">
        <is>
          <t>В реестре в колонке суммы записан номер билета; на балансе расхождения нет</t>
        </is>
      </c>
      <c r="Q817" s="8" t="inlineStr">
        <is>
          <t>57259688,57259728,57259708</t>
        </is>
      </c>
    </row>
    <row r="818">
      <c r="A818" s="8" t="inlineStr">
        <is>
          <t>G14841</t>
        </is>
      </c>
      <c r="B818" s="8" t="inlineStr">
        <is>
          <t>ЫЙЫК ЭКСПРЕСС</t>
        </is>
      </c>
      <c r="C818" s="8" t="inlineStr">
        <is>
          <t>2559103844|2559103847</t>
        </is>
      </c>
      <c r="D818" s="8" t="inlineStr">
        <is>
          <t>В реестре билет вместо суммы</t>
        </is>
      </c>
      <c r="E818" s="8" t="inlineStr">
        <is>
          <t>Реестр (сотрудник)</t>
        </is>
      </c>
      <c r="F818" s="8" t="inlineStr">
        <is>
          <t>A</t>
        </is>
      </c>
      <c r="G818" s="14" t="n">
        <v>75002.75999999999</v>
      </c>
      <c r="H818" s="14" t="n">
        <v>-75002.75999999999</v>
      </c>
      <c r="I818" s="14" t="n"/>
      <c r="J818" s="14" t="n">
        <v>0</v>
      </c>
      <c r="K818" s="21" t="n">
        <v>46204.510625</v>
      </c>
      <c r="L818" s="21" t="n">
        <v>46204</v>
      </c>
      <c r="M818" s="8" t="inlineStr"/>
      <c r="N818" s="8" t="inlineStr">
        <is>
          <t>Сотрудник, ведущий реестр</t>
        </is>
      </c>
      <c r="O818" s="8" t="inlineStr">
        <is>
          <t>e.satarov</t>
        </is>
      </c>
      <c r="P818" s="12" t="inlineStr">
        <is>
          <t>В реестре в колонке суммы записан номер билета; на балансе расхождения нет</t>
        </is>
      </c>
      <c r="Q818" s="8" t="inlineStr">
        <is>
          <t>57419011</t>
        </is>
      </c>
    </row>
    <row r="819">
      <c r="A819" s="8" t="inlineStr">
        <is>
          <t>G14954</t>
        </is>
      </c>
      <c r="B819" s="8" t="inlineStr">
        <is>
          <t>Ыйык Тур</t>
        </is>
      </c>
      <c r="C819" s="8" t="inlineStr">
        <is>
          <t>2420844062|2420844065|2420844066</t>
        </is>
      </c>
      <c r="D819" s="8" t="inlineStr">
        <is>
          <t>В реестре билет вместо суммы</t>
        </is>
      </c>
      <c r="E819" s="8" t="inlineStr">
        <is>
          <t>Реестр (сотрудник)</t>
        </is>
      </c>
      <c r="F819" s="8" t="inlineStr">
        <is>
          <t>A</t>
        </is>
      </c>
      <c r="G819" s="14" t="n">
        <v>85899.72</v>
      </c>
      <c r="H819" s="14" t="n">
        <v>-85899.72</v>
      </c>
      <c r="I819" s="14" t="n"/>
      <c r="J819" s="14" t="n">
        <v>0</v>
      </c>
      <c r="K819" s="21" t="n">
        <v>46149.35855324074</v>
      </c>
      <c r="L819" s="21" t="n">
        <v>46149</v>
      </c>
      <c r="M819" s="8" t="inlineStr"/>
      <c r="N819" s="8" t="inlineStr">
        <is>
          <t>Сотрудник, ведущий реестр</t>
        </is>
      </c>
      <c r="O819" s="8" t="inlineStr">
        <is>
          <t>r.sydykov</t>
        </is>
      </c>
      <c r="P819" s="12" t="inlineStr">
        <is>
          <t>В реестре в колонке суммы записан номер билета; на балансе расхождения нет</t>
        </is>
      </c>
      <c r="Q819" s="8" t="inlineStr">
        <is>
          <t>57261113,57261107,57261151</t>
        </is>
      </c>
    </row>
    <row r="820">
      <c r="A820" s="8" t="inlineStr">
        <is>
          <t>G15358</t>
        </is>
      </c>
      <c r="B820" s="8" t="inlineStr">
        <is>
          <t>Эсенбеков Кубат Элдияревич</t>
        </is>
      </c>
      <c r="C820" s="8" t="inlineStr">
        <is>
          <t>2416946395</t>
        </is>
      </c>
      <c r="D820" s="8" t="inlineStr">
        <is>
          <t>В реестре билет вместо суммы</t>
        </is>
      </c>
      <c r="E820" s="8" t="inlineStr">
        <is>
          <t>Реестр (сотрудник)</t>
        </is>
      </c>
      <c r="F820" s="8" t="inlineStr">
        <is>
          <t>A</t>
        </is>
      </c>
      <c r="G820" s="14" t="n">
        <v>28403.22</v>
      </c>
      <c r="H820" s="14" t="n">
        <v>-28403.22</v>
      </c>
      <c r="I820" s="14" t="n"/>
      <c r="J820" s="14" t="n">
        <v>0</v>
      </c>
      <c r="K820" s="21" t="n">
        <v>46087.6655787037</v>
      </c>
      <c r="L820" s="21" t="n">
        <v>46087</v>
      </c>
      <c r="M820" s="8" t="inlineStr"/>
      <c r="N820" s="8" t="inlineStr">
        <is>
          <t>Сотрудник, ведущий реестр</t>
        </is>
      </c>
      <c r="O820" s="8" t="inlineStr">
        <is>
          <t>a.toktosunova</t>
        </is>
      </c>
      <c r="P820" s="12" t="inlineStr">
        <is>
          <t>В реестре в колонке суммы записан номер билета; на балансе расхождения нет</t>
        </is>
      </c>
      <c r="Q820" s="8" t="inlineStr">
        <is>
          <t>57128901</t>
        </is>
      </c>
    </row>
    <row r="821">
      <c r="A821" s="8" t="inlineStr">
        <is>
          <t>G01779</t>
        </is>
      </c>
      <c r="B821" s="8" t="inlineStr">
        <is>
          <t>Karakol Express</t>
        </is>
      </c>
      <c r="C821" s="8" t="inlineStr">
        <is>
          <t>2552668297|2552668299|2552668301</t>
        </is>
      </c>
      <c r="D821" s="8" t="inlineStr">
        <is>
          <t>Сумма не сходится</t>
        </is>
      </c>
      <c r="E821" s="8" t="inlineStr">
        <is>
          <t>1С</t>
        </is>
      </c>
      <c r="F821" s="8" t="inlineStr">
        <is>
          <t>B</t>
        </is>
      </c>
      <c r="G821" s="14" t="n">
        <v>712875.8100000001</v>
      </c>
      <c r="H821" s="14" t="n">
        <v>-172875.81</v>
      </c>
      <c r="I821" s="14" t="n"/>
      <c r="J821" s="14" t="n">
        <v>540000</v>
      </c>
      <c r="K821" s="21" t="n">
        <v>46076.37545138889</v>
      </c>
      <c r="L821" s="21" t="n">
        <v>46076</v>
      </c>
      <c r="M821" s="8" t="inlineStr">
        <is>
          <t>TRANSPOSITION</t>
        </is>
      </c>
      <c r="N821" s="8" t="inlineStr">
        <is>
          <t>Бухгалтер 1С</t>
        </is>
      </c>
      <c r="O821" s="8" t="inlineStr"/>
      <c r="P821" s="12" t="inlineStr">
        <is>
          <t>Суммы 1С (712,875.81) и ETM (172,875.81) отличаются перестановкой — похоже на ручную опечатку при вводе акта в 1С (гипотеза, подтвердить у бухгалтера)</t>
        </is>
      </c>
      <c r="Q821" s="8" t="inlineStr">
        <is>
          <t>57104632,57104609,57104629</t>
        </is>
      </c>
    </row>
    <row r="822">
      <c r="A822" s="8" t="inlineStr">
        <is>
          <t>G13315</t>
        </is>
      </c>
      <c r="B822" s="8" t="inlineStr">
        <is>
          <t>Сатар уулу Санжар</t>
        </is>
      </c>
      <c r="C822" s="8" t="inlineStr">
        <is>
          <t>2552672872|2552672873|2552672875|2552672878</t>
        </is>
      </c>
      <c r="D822" s="8" t="inlineStr">
        <is>
          <t>ETM, акт 1С за месяц не выгружен</t>
        </is>
      </c>
      <c r="E822" s="8" t="inlineStr">
        <is>
          <t>Выгрузка 1С</t>
        </is>
      </c>
      <c r="F822" s="8" t="inlineStr">
        <is>
          <t>B</t>
        </is>
      </c>
      <c r="G822" s="14" t="n">
        <v>0</v>
      </c>
      <c r="H822" s="14" t="n">
        <v>-230347.48</v>
      </c>
      <c r="I822" s="14" t="n">
        <v>230347.47</v>
      </c>
      <c r="J822" s="14" t="n">
        <v>-230347.48</v>
      </c>
      <c r="K822" s="21" t="n">
        <v>46192.43695601852</v>
      </c>
      <c r="L822" s="21" t="n"/>
      <c r="M822" s="8" t="inlineStr"/>
      <c r="N822" s="8" t="inlineStr">
        <is>
          <t>Бухгалтер: выгрузить акт</t>
        </is>
      </c>
      <c r="O822" s="8" t="inlineStr">
        <is>
          <t>a.toktosunova</t>
        </is>
      </c>
      <c r="P822" s="12" t="inlineStr">
        <is>
          <t>Операция есть в ETM, а акт 1С за этот (или следующий) месяц не выгружен — сначала получить акт</t>
        </is>
      </c>
      <c r="Q822" s="8" t="inlineStr">
        <is>
          <t>57382309,57382363,57382329,57382388</t>
        </is>
      </c>
    </row>
    <row r="823">
      <c r="A823" s="8" t="inlineStr">
        <is>
          <t>G13304</t>
        </is>
      </c>
      <c r="B823" s="8" t="inlineStr">
        <is>
          <t>Сатар уулу Санжар</t>
        </is>
      </c>
      <c r="C823" s="8" t="inlineStr">
        <is>
          <t>2552671685|2552671686|2552671687|2552671688</t>
        </is>
      </c>
      <c r="D823" s="8" t="inlineStr">
        <is>
          <t>ETM, акт 1С за месяц не выгружен</t>
        </is>
      </c>
      <c r="E823" s="8" t="inlineStr">
        <is>
          <t>Выгрузка 1С</t>
        </is>
      </c>
      <c r="F823" s="8" t="inlineStr">
        <is>
          <t>B</t>
        </is>
      </c>
      <c r="G823" s="14" t="n">
        <v>0</v>
      </c>
      <c r="H823" s="14" t="n">
        <v>-222628.36</v>
      </c>
      <c r="I823" s="14" t="n">
        <v>222628.36</v>
      </c>
      <c r="J823" s="14" t="n">
        <v>-222628.36</v>
      </c>
      <c r="K823" s="21" t="n">
        <v>46122.56375</v>
      </c>
      <c r="L823" s="21" t="n"/>
      <c r="M823" s="8" t="inlineStr"/>
      <c r="N823" s="8" t="inlineStr">
        <is>
          <t>Бухгалтер: выгрузить акт</t>
        </is>
      </c>
      <c r="O823" s="8" t="inlineStr">
        <is>
          <t>n.abdyldaeva</t>
        </is>
      </c>
      <c r="P823" s="12" t="inlineStr">
        <is>
          <t>Операция есть в ETM, а акт 1С за этот (или следующий) месяц не выгружен — сначала получить акт</t>
        </is>
      </c>
      <c r="Q823" s="8" t="inlineStr">
        <is>
          <t>57200948</t>
        </is>
      </c>
    </row>
    <row r="824">
      <c r="A824" s="8" t="inlineStr">
        <is>
          <t>G09360</t>
        </is>
      </c>
      <c r="B824" s="8" t="inlineStr">
        <is>
          <t>ИССЫК ТРИП</t>
        </is>
      </c>
      <c r="C824" s="8" t="inlineStr">
        <is>
          <t>2559102137|2559102139|2559102140</t>
        </is>
      </c>
      <c r="D824" s="8" t="inlineStr">
        <is>
          <t>ETM, акт 1С за месяц не выгружен</t>
        </is>
      </c>
      <c r="E824" s="8" t="inlineStr">
        <is>
          <t>Выгрузка 1С</t>
        </is>
      </c>
      <c r="F824" s="8" t="inlineStr">
        <is>
          <t>B</t>
        </is>
      </c>
      <c r="G824" s="14" t="n">
        <v>0</v>
      </c>
      <c r="H824" s="14" t="n">
        <v>-188411.94</v>
      </c>
      <c r="I824" s="14" t="n">
        <v>188411.955</v>
      </c>
      <c r="J824" s="14" t="n">
        <v>-188411.94</v>
      </c>
      <c r="K824" s="21" t="n">
        <v>46070.545625</v>
      </c>
      <c r="L824" s="21" t="n"/>
      <c r="M824" s="8" t="inlineStr"/>
      <c r="N824" s="8" t="inlineStr">
        <is>
          <t>Бухгалтер: выгрузить акт</t>
        </is>
      </c>
      <c r="O824" s="8" t="inlineStr">
        <is>
          <t>r.sydykov</t>
        </is>
      </c>
      <c r="P824" s="12" t="inlineStr">
        <is>
          <t>Операция есть в ETM, а акт 1С за этот (или следующий) месяц не выгружен — сначала получить акт</t>
        </is>
      </c>
      <c r="Q824" s="8" t="inlineStr">
        <is>
          <t>57095123,57095069,57095105</t>
        </is>
      </c>
    </row>
    <row r="825">
      <c r="A825" s="8" t="inlineStr">
        <is>
          <t>G14553</t>
        </is>
      </c>
      <c r="B825" s="8" t="inlineStr">
        <is>
          <t>Чынар уулу Эмир</t>
        </is>
      </c>
      <c r="C825" s="8" t="inlineStr">
        <is>
          <t>2552667766|2552667767|2552667769|2552667771</t>
        </is>
      </c>
      <c r="D825" s="8" t="inlineStr">
        <is>
          <t>ETM, акт 1С за месяц не выгружен</t>
        </is>
      </c>
      <c r="E825" s="8" t="inlineStr">
        <is>
          <t>Выгрузка 1С</t>
        </is>
      </c>
      <c r="F825" s="8" t="inlineStr">
        <is>
          <t>B</t>
        </is>
      </c>
      <c r="G825" s="14" t="n">
        <v>0</v>
      </c>
      <c r="H825" s="14" t="n">
        <v>-185229.28</v>
      </c>
      <c r="I825" s="14" t="n">
        <v>185229.3</v>
      </c>
      <c r="J825" s="14" t="n">
        <v>-185229.28</v>
      </c>
      <c r="K825" s="21" t="n">
        <v>46090.37793981482</v>
      </c>
      <c r="L825" s="21" t="n"/>
      <c r="M825" s="8" t="inlineStr"/>
      <c r="N825" s="8" t="inlineStr">
        <is>
          <t>Бухгалтер: выгрузить акт</t>
        </is>
      </c>
      <c r="O825" s="8" t="inlineStr">
        <is>
          <t>g.omurbekova</t>
        </is>
      </c>
      <c r="P825" s="12" t="inlineStr">
        <is>
          <t>Операция есть в ETM, а акт 1С за этот (или следующий) месяц не выгружен — сначала получить акт</t>
        </is>
      </c>
      <c r="Q825" s="8" t="inlineStr">
        <is>
          <t>57133634</t>
        </is>
      </c>
    </row>
    <row r="826">
      <c r="A826" s="8" t="inlineStr">
        <is>
          <t>G14350</t>
        </is>
      </c>
      <c r="B826" s="8" t="inlineStr">
        <is>
          <t>ЧОЛПОН ТУР</t>
        </is>
      </c>
      <c r="C826" s="8" t="inlineStr">
        <is>
          <t>2559103214|2559103216|2559103219</t>
        </is>
      </c>
      <c r="D826" s="8" t="inlineStr">
        <is>
          <t>ETM, акт 1С за месяц не выгружен</t>
        </is>
      </c>
      <c r="E826" s="8" t="inlineStr">
        <is>
          <t>Выгрузка 1С</t>
        </is>
      </c>
      <c r="F826" s="8" t="inlineStr">
        <is>
          <t>B</t>
        </is>
      </c>
      <c r="G826" s="14" t="n">
        <v>0</v>
      </c>
      <c r="H826" s="14" t="n">
        <v>-176816.7</v>
      </c>
      <c r="I826" s="14" t="n">
        <v>176816.685</v>
      </c>
      <c r="J826" s="14" t="n">
        <v>-176816.7</v>
      </c>
      <c r="K826" s="21" t="n">
        <v>46137.4128587963</v>
      </c>
      <c r="L826" s="21" t="n"/>
      <c r="M826" s="8" t="inlineStr"/>
      <c r="N826" s="8" t="inlineStr">
        <is>
          <t>Бухгалтер: выгрузить акт</t>
        </is>
      </c>
      <c r="O826" s="8" t="inlineStr">
        <is>
          <t>e.satarov</t>
        </is>
      </c>
      <c r="P826" s="12" t="inlineStr">
        <is>
          <t>Операция есть в ETM, а акт 1С за этот (или следующий) месяц не выгружен — сначала получить акт</t>
        </is>
      </c>
      <c r="Q826" s="8" t="inlineStr">
        <is>
          <t>57229166,57229188,57229126</t>
        </is>
      </c>
    </row>
    <row r="827">
      <c r="A827" s="8" t="inlineStr">
        <is>
          <t>G07410</t>
        </is>
      </c>
      <c r="B827" s="8" t="inlineStr">
        <is>
          <t>Жибек Эйр</t>
        </is>
      </c>
      <c r="C827" s="8" t="inlineStr">
        <is>
          <t>2552672374|2552672375|2552672377</t>
        </is>
      </c>
      <c r="D827" s="8" t="inlineStr">
        <is>
          <t>ETM, акт 1С за месяц не выгружен</t>
        </is>
      </c>
      <c r="E827" s="8" t="inlineStr">
        <is>
          <t>Выгрузка 1С</t>
        </is>
      </c>
      <c r="F827" s="8" t="inlineStr">
        <is>
          <t>B</t>
        </is>
      </c>
      <c r="G827" s="14" t="n">
        <v>0</v>
      </c>
      <c r="H827" s="14" t="n">
        <v>-174201.84</v>
      </c>
      <c r="I827" s="14" t="n">
        <v>174201.84</v>
      </c>
      <c r="J827" s="14" t="n">
        <v>-174201.84</v>
      </c>
      <c r="K827" s="21" t="n">
        <v>46169.69994212963</v>
      </c>
      <c r="L827" s="21" t="n"/>
      <c r="M827" s="8" t="inlineStr"/>
      <c r="N827" s="8" t="inlineStr">
        <is>
          <t>Бухгалтер: выгрузить акт</t>
        </is>
      </c>
      <c r="O827" s="8" t="inlineStr">
        <is>
          <t>n.abdyldaeva</t>
        </is>
      </c>
      <c r="P827" s="12" t="inlineStr">
        <is>
          <t>Операция есть в ETM, а акт 1С за этот (или следующий) месяц не выгружен — сначала получить акт</t>
        </is>
      </c>
      <c r="Q827" s="8" t="inlineStr">
        <is>
          <t>57321914</t>
        </is>
      </c>
    </row>
    <row r="828">
      <c r="A828" s="8" t="inlineStr">
        <is>
          <t>G07232</t>
        </is>
      </c>
      <c r="B828" s="8" t="inlineStr">
        <is>
          <t>Жибек Эйр</t>
        </is>
      </c>
      <c r="C828" s="8" t="inlineStr">
        <is>
          <t>2459529629|2459529630|2459529631|2459529633</t>
        </is>
      </c>
      <c r="D828" s="8" t="inlineStr">
        <is>
          <t>ETM, акт 1С за месяц не выгружен</t>
        </is>
      </c>
      <c r="E828" s="8" t="inlineStr">
        <is>
          <t>Выгрузка 1С</t>
        </is>
      </c>
      <c r="F828" s="8" t="inlineStr">
        <is>
          <t>B</t>
        </is>
      </c>
      <c r="G828" s="14" t="n">
        <v>0</v>
      </c>
      <c r="H828" s="14" t="n">
        <v>-172124</v>
      </c>
      <c r="I828" s="14" t="n"/>
      <c r="J828" s="14" t="n">
        <v>-172124</v>
      </c>
      <c r="K828" s="21" t="n">
        <v>46119.72850694445</v>
      </c>
      <c r="L828" s="21" t="n"/>
      <c r="M828" s="8" t="inlineStr"/>
      <c r="N828" s="8" t="inlineStr">
        <is>
          <t>Бухгалтер: выгрузить акт</t>
        </is>
      </c>
      <c r="O828" s="8" t="inlineStr"/>
      <c r="P828" s="12" t="inlineStr">
        <is>
          <t>Операция есть в ETM, а акт 1С за этот (или следующий) месяц не выгружен — сначала получить акт</t>
        </is>
      </c>
      <c r="Q828" s="8" t="inlineStr">
        <is>
          <t>57194711</t>
        </is>
      </c>
    </row>
    <row r="829">
      <c r="A829" s="8" t="inlineStr">
        <is>
          <t>G08509</t>
        </is>
      </c>
      <c r="B829" s="8" t="inlineStr">
        <is>
          <t>ИП Токтосун кызы Н.</t>
        </is>
      </c>
      <c r="C829" s="8" t="inlineStr">
        <is>
          <t>2416945463|2416945466|2416945469</t>
        </is>
      </c>
      <c r="D829" s="8" t="inlineStr">
        <is>
          <t>ETM, акт 1С за месяц не выгружен</t>
        </is>
      </c>
      <c r="E829" s="8" t="inlineStr">
        <is>
          <t>Выгрузка 1С</t>
        </is>
      </c>
      <c r="F829" s="8" t="inlineStr">
        <is>
          <t>B</t>
        </is>
      </c>
      <c r="G829" s="14" t="n">
        <v>0</v>
      </c>
      <c r="H829" s="14" t="n">
        <v>-169950.6</v>
      </c>
      <c r="I829" s="14" t="n">
        <v>169950.6</v>
      </c>
      <c r="J829" s="14" t="n">
        <v>-169950.6</v>
      </c>
      <c r="K829" s="21" t="n">
        <v>46066.40040509259</v>
      </c>
      <c r="L829" s="21" t="n"/>
      <c r="M829" s="8" t="inlineStr"/>
      <c r="N829" s="8" t="inlineStr">
        <is>
          <t>Бухгалтер: выгрузить акт</t>
        </is>
      </c>
      <c r="O829" s="8" t="inlineStr">
        <is>
          <t>n.abdyldaeva</t>
        </is>
      </c>
      <c r="P829" s="12" t="inlineStr">
        <is>
          <t>Операция есть в ETM, а акт 1С за этот (или следующий) месяц не выгружен — сначала получить акт</t>
        </is>
      </c>
      <c r="Q829" s="8" t="inlineStr">
        <is>
          <t>57089256,57089230,57089265</t>
        </is>
      </c>
    </row>
    <row r="830">
      <c r="A830" s="8" t="inlineStr">
        <is>
          <t>G14253</t>
        </is>
      </c>
      <c r="B830" s="8" t="inlineStr">
        <is>
          <t>ЧОЛПОН ТУР</t>
        </is>
      </c>
      <c r="C830" s="8" t="inlineStr">
        <is>
          <t>2416946447|2416946448|2416946449|2416946450</t>
        </is>
      </c>
      <c r="D830" s="8" t="inlineStr">
        <is>
          <t>ETM, акт 1С за месяц не выгружен</t>
        </is>
      </c>
      <c r="E830" s="8" t="inlineStr">
        <is>
          <t>Выгрузка 1С</t>
        </is>
      </c>
      <c r="F830" s="8" t="inlineStr">
        <is>
          <t>B</t>
        </is>
      </c>
      <c r="G830" s="14" t="n">
        <v>0</v>
      </c>
      <c r="H830" s="14" t="n">
        <v>-161582</v>
      </c>
      <c r="I830" s="14" t="n">
        <v>161582</v>
      </c>
      <c r="J830" s="14" t="n">
        <v>-161582</v>
      </c>
      <c r="K830" s="21" t="n">
        <v>46129.35777777778</v>
      </c>
      <c r="L830" s="21" t="n"/>
      <c r="M830" s="8" t="inlineStr"/>
      <c r="N830" s="8" t="inlineStr">
        <is>
          <t>Бухгалтер: выгрузить акт</t>
        </is>
      </c>
      <c r="O830" s="8" t="inlineStr">
        <is>
          <t>d.mambetova</t>
        </is>
      </c>
      <c r="P830" s="12" t="inlineStr">
        <is>
          <t>Операция есть в ETM, а акт 1С за этот (или следующий) месяц не выгружен — сначала получить акт</t>
        </is>
      </c>
      <c r="Q830" s="8" t="inlineStr">
        <is>
          <t>57213455,57213493,57213415,57213400</t>
        </is>
      </c>
    </row>
    <row r="831">
      <c r="A831" s="8" t="inlineStr">
        <is>
          <t>G13368</t>
        </is>
      </c>
      <c r="B831" s="8" t="inlineStr">
        <is>
          <t>Сатар уулу Санжар</t>
        </is>
      </c>
      <c r="C831" s="8" t="inlineStr">
        <is>
          <t>2559102890|2559102891|2559102894</t>
        </is>
      </c>
      <c r="D831" s="8" t="inlineStr">
        <is>
          <t>ETM, акт 1С за месяц не выгружен</t>
        </is>
      </c>
      <c r="E831" s="8" t="inlineStr">
        <is>
          <t>Выгрузка 1С</t>
        </is>
      </c>
      <c r="F831" s="8" t="inlineStr">
        <is>
          <t>B</t>
        </is>
      </c>
      <c r="G831" s="14" t="n">
        <v>0</v>
      </c>
      <c r="H831" s="14" t="n">
        <v>-148165.68</v>
      </c>
      <c r="I831" s="14" t="n">
        <v>148165.68</v>
      </c>
      <c r="J831" s="14" t="n">
        <v>-148165.68</v>
      </c>
      <c r="K831" s="21" t="n">
        <v>46175.56027777777</v>
      </c>
      <c r="L831" s="21" t="n"/>
      <c r="M831" s="8" t="inlineStr"/>
      <c r="N831" s="8" t="inlineStr">
        <is>
          <t>Бухгалтер: выгрузить акт</t>
        </is>
      </c>
      <c r="O831" s="8" t="inlineStr">
        <is>
          <t>g.omurbekova</t>
        </is>
      </c>
      <c r="P831" s="12" t="inlineStr">
        <is>
          <t>Операция есть в ETM, а акт 1С за этот (или следующий) месяц не выгружен — сначала получить акт</t>
        </is>
      </c>
      <c r="Q831" s="8" t="inlineStr">
        <is>
          <t>57337071</t>
        </is>
      </c>
    </row>
    <row r="832">
      <c r="A832" s="8" t="inlineStr">
        <is>
          <t>G07357</t>
        </is>
      </c>
      <c r="B832" s="8" t="inlineStr">
        <is>
          <t>Жибек Эйр</t>
        </is>
      </c>
      <c r="C832" s="8" t="inlineStr">
        <is>
          <t>2476317273|2476317274|2476317277|2476317280</t>
        </is>
      </c>
      <c r="D832" s="8" t="inlineStr">
        <is>
          <t>ETM, акт 1С за месяц не выгружен</t>
        </is>
      </c>
      <c r="E832" s="8" t="inlineStr">
        <is>
          <t>Выгрузка 1С</t>
        </is>
      </c>
      <c r="F832" s="8" t="inlineStr">
        <is>
          <t>B</t>
        </is>
      </c>
      <c r="G832" s="14" t="n">
        <v>0</v>
      </c>
      <c r="H832" s="14" t="n">
        <v>-134373.04</v>
      </c>
      <c r="I832" s="14" t="n">
        <v>134373.04</v>
      </c>
      <c r="J832" s="14" t="n">
        <v>-134373.04</v>
      </c>
      <c r="K832" s="21" t="n">
        <v>46154.60807870371</v>
      </c>
      <c r="L832" s="21" t="n"/>
      <c r="M832" s="8" t="inlineStr"/>
      <c r="N832" s="8" t="inlineStr">
        <is>
          <t>Бухгалтер: выгрузить акт</t>
        </is>
      </c>
      <c r="O832" s="8" t="inlineStr">
        <is>
          <t>e.satarov</t>
        </is>
      </c>
      <c r="P832" s="12" t="inlineStr">
        <is>
          <t>Операция есть в ETM, а акт 1С за этот (или следующий) месяц не выгружен — сначала получить акт</t>
        </is>
      </c>
      <c r="Q832" s="8" t="inlineStr">
        <is>
          <t>57276599,57276631,57276662,57276622</t>
        </is>
      </c>
    </row>
    <row r="833">
      <c r="A833" s="8" t="inlineStr">
        <is>
          <t>G12867</t>
        </is>
      </c>
      <c r="B833" s="8" t="inlineStr">
        <is>
          <t>Сатар уулу Санжар</t>
        </is>
      </c>
      <c r="C833" s="8" t="inlineStr">
        <is>
          <t>2416941600|2416941602</t>
        </is>
      </c>
      <c r="D833" s="8" t="inlineStr">
        <is>
          <t>ETM, акт 1С за месяц не выгружен</t>
        </is>
      </c>
      <c r="E833" s="8" t="inlineStr">
        <is>
          <t>Выгрузка 1С</t>
        </is>
      </c>
      <c r="F833" s="8" t="inlineStr">
        <is>
          <t>B</t>
        </is>
      </c>
      <c r="G833" s="14" t="n">
        <v>0</v>
      </c>
      <c r="H833" s="14" t="n">
        <v>-131210.84</v>
      </c>
      <c r="I833" s="14" t="n"/>
      <c r="J833" s="14" t="n">
        <v>-131210.84</v>
      </c>
      <c r="K833" s="21" t="n">
        <v>46121.73141203704</v>
      </c>
      <c r="L833" s="21" t="n"/>
      <c r="M833" s="8" t="inlineStr"/>
      <c r="N833" s="8" t="inlineStr">
        <is>
          <t>Бухгалтер: выгрузить акт</t>
        </is>
      </c>
      <c r="O833" s="8" t="inlineStr"/>
      <c r="P833" s="12" t="inlineStr">
        <is>
          <t>Операция есть в ETM, а акт 1С за этот (или следующий) месяц не выгружен — сначала получить акт</t>
        </is>
      </c>
      <c r="Q833" s="8" t="inlineStr">
        <is>
          <t>57198261</t>
        </is>
      </c>
    </row>
    <row r="834">
      <c r="A834" s="8" t="inlineStr">
        <is>
          <t>G13084</t>
        </is>
      </c>
      <c r="B834" s="8" t="inlineStr">
        <is>
          <t>Сатар уулу Санжар</t>
        </is>
      </c>
      <c r="C834" s="8" t="inlineStr">
        <is>
          <t>2460734332|2460734334|2460734336</t>
        </is>
      </c>
      <c r="D834" s="8" t="inlineStr">
        <is>
          <t>ETM, акт 1С за месяц не выгружен</t>
        </is>
      </c>
      <c r="E834" s="8" t="inlineStr">
        <is>
          <t>Выгрузка 1С</t>
        </is>
      </c>
      <c r="F834" s="8" t="inlineStr">
        <is>
          <t>B</t>
        </is>
      </c>
      <c r="G834" s="14" t="n">
        <v>0</v>
      </c>
      <c r="H834" s="14" t="n">
        <v>-131022</v>
      </c>
      <c r="I834" s="14" t="n">
        <v>131022</v>
      </c>
      <c r="J834" s="14" t="n">
        <v>-131022</v>
      </c>
      <c r="K834" s="21" t="n">
        <v>46189.39290509259</v>
      </c>
      <c r="L834" s="21" t="n"/>
      <c r="M834" s="8" t="inlineStr"/>
      <c r="N834" s="8" t="inlineStr">
        <is>
          <t>Бухгалтер: выгрузить акт</t>
        </is>
      </c>
      <c r="O834" s="8" t="inlineStr">
        <is>
          <t>n.abdyldaeva</t>
        </is>
      </c>
      <c r="P834" s="12" t="inlineStr">
        <is>
          <t>Операция есть в ETM, а акт 1С за этот (или следующий) месяц не выгружен — сначала получить акт</t>
        </is>
      </c>
      <c r="Q834" s="8" t="inlineStr">
        <is>
          <t>57372601</t>
        </is>
      </c>
    </row>
    <row r="835">
      <c r="A835" s="8" t="inlineStr">
        <is>
          <t>G13044</t>
        </is>
      </c>
      <c r="B835" s="8" t="inlineStr">
        <is>
          <t>Сатар уулу Санжар</t>
        </is>
      </c>
      <c r="C835" s="8" t="inlineStr">
        <is>
          <t>2459531170|2459531171|2459531173</t>
        </is>
      </c>
      <c r="D835" s="8" t="inlineStr">
        <is>
          <t>ETM, акт 1С за месяц не выгружен</t>
        </is>
      </c>
      <c r="E835" s="8" t="inlineStr">
        <is>
          <t>Выгрузка 1С</t>
        </is>
      </c>
      <c r="F835" s="8" t="inlineStr">
        <is>
          <t>B</t>
        </is>
      </c>
      <c r="G835" s="14" t="n">
        <v>0</v>
      </c>
      <c r="H835" s="14" t="n">
        <v>-130974</v>
      </c>
      <c r="I835" s="14" t="n">
        <v>130974</v>
      </c>
      <c r="J835" s="14" t="n">
        <v>-130974</v>
      </c>
      <c r="K835" s="21" t="n">
        <v>46183.78680555556</v>
      </c>
      <c r="L835" s="21" t="n"/>
      <c r="M835" s="8" t="inlineStr"/>
      <c r="N835" s="8" t="inlineStr">
        <is>
          <t>Бухгалтер: выгрузить акт</t>
        </is>
      </c>
      <c r="O835" s="8" t="inlineStr">
        <is>
          <t>e.satarov</t>
        </is>
      </c>
      <c r="P835" s="12" t="inlineStr">
        <is>
          <t>Операция есть в ETM, а акт 1С за этот (или следующий) месяц не выгружен — сначала получить акт</t>
        </is>
      </c>
      <c r="Q835" s="8" t="inlineStr">
        <is>
          <t>57357581</t>
        </is>
      </c>
    </row>
    <row r="836">
      <c r="A836" s="8" t="inlineStr">
        <is>
          <t>G08624</t>
        </is>
      </c>
      <c r="B836" s="8" t="inlineStr">
        <is>
          <t>ИП Токтосун кызы Н.</t>
        </is>
      </c>
      <c r="C836" s="8" t="inlineStr">
        <is>
          <t>2461886532|2461886534|2461886537|2461886540</t>
        </is>
      </c>
      <c r="D836" s="8" t="inlineStr">
        <is>
          <t>ETM, акт 1С за месяц не выгружен</t>
        </is>
      </c>
      <c r="E836" s="8" t="inlineStr">
        <is>
          <t>Выгрузка 1С</t>
        </is>
      </c>
      <c r="F836" s="8" t="inlineStr">
        <is>
          <t>B</t>
        </is>
      </c>
      <c r="G836" s="14" t="n">
        <v>0</v>
      </c>
      <c r="H836" s="14" t="n">
        <v>-129108</v>
      </c>
      <c r="I836" s="14" t="n">
        <v>129108</v>
      </c>
      <c r="J836" s="14" t="n">
        <v>-129108</v>
      </c>
      <c r="K836" s="21" t="n">
        <v>46078.3397337963</v>
      </c>
      <c r="L836" s="21" t="n"/>
      <c r="M836" s="8" t="inlineStr"/>
      <c r="N836" s="8" t="inlineStr">
        <is>
          <t>Бухгалтер: выгрузить акт</t>
        </is>
      </c>
      <c r="O836" s="8" t="inlineStr">
        <is>
          <t>k.dzhumaev</t>
        </is>
      </c>
      <c r="P836" s="12" t="inlineStr">
        <is>
          <t>Операция есть в ETM, а акт 1С за этот (или следующий) месяц не выгружен — сначала получить акт</t>
        </is>
      </c>
      <c r="Q836" s="8" t="inlineStr">
        <is>
          <t>57109702,57109674,57109743,57109741</t>
        </is>
      </c>
    </row>
    <row r="837">
      <c r="A837" s="8" t="inlineStr">
        <is>
          <t>G08602</t>
        </is>
      </c>
      <c r="B837" s="8" t="inlineStr">
        <is>
          <t>ИП Токтосун кызы Н.</t>
        </is>
      </c>
      <c r="C837" s="8" t="inlineStr">
        <is>
          <t>2461881884|2461881886|2461881889|2461881890</t>
        </is>
      </c>
      <c r="D837" s="8" t="inlineStr">
        <is>
          <t>ETM, акт 1С за месяц не выгружен</t>
        </is>
      </c>
      <c r="E837" s="8" t="inlineStr">
        <is>
          <t>Выгрузка 1С</t>
        </is>
      </c>
      <c r="F837" s="8" t="inlineStr">
        <is>
          <t>B</t>
        </is>
      </c>
      <c r="G837" s="14" t="n">
        <v>0</v>
      </c>
      <c r="H837" s="14" t="n">
        <v>-127220</v>
      </c>
      <c r="I837" s="14" t="n">
        <v>127220</v>
      </c>
      <c r="J837" s="14" t="n">
        <v>-127220</v>
      </c>
      <c r="K837" s="21" t="n">
        <v>46068.56543981482</v>
      </c>
      <c r="L837" s="21" t="n"/>
      <c r="M837" s="8" t="inlineStr"/>
      <c r="N837" s="8" t="inlineStr">
        <is>
          <t>Бухгалтер: выгрузить акт</t>
        </is>
      </c>
      <c r="O837" s="8" t="inlineStr">
        <is>
          <t>d.mambetova</t>
        </is>
      </c>
      <c r="P837" s="12" t="inlineStr">
        <is>
          <t>Операция есть в ETM, а акт 1С за этот (или следующий) месяц не выгружен — сначала получить акт</t>
        </is>
      </c>
      <c r="Q837" s="8" t="inlineStr">
        <is>
          <t>57091598,57091646,57091617,57091686</t>
        </is>
      </c>
    </row>
    <row r="838">
      <c r="A838" s="8" t="inlineStr">
        <is>
          <t>G07574</t>
        </is>
      </c>
      <c r="B838" s="8" t="inlineStr">
        <is>
          <t>Жолчу кызы А.</t>
        </is>
      </c>
      <c r="C838" s="8" t="inlineStr">
        <is>
          <t>2559099066|2559099068</t>
        </is>
      </c>
      <c r="D838" s="8" t="inlineStr">
        <is>
          <t>ETM, акт 1С за месяц не выгружен</t>
        </is>
      </c>
      <c r="E838" s="8" t="inlineStr">
        <is>
          <t>Выгрузка 1С</t>
        </is>
      </c>
      <c r="F838" s="8" t="inlineStr">
        <is>
          <t>B</t>
        </is>
      </c>
      <c r="G838" s="14" t="n">
        <v>0</v>
      </c>
      <c r="H838" s="14" t="n">
        <v>-120630.24</v>
      </c>
      <c r="I838" s="14" t="n">
        <v>120630.25</v>
      </c>
      <c r="J838" s="14" t="n">
        <v>-120630.24</v>
      </c>
      <c r="K838" s="21" t="n">
        <v>46181.64700231481</v>
      </c>
      <c r="L838" s="21" t="n"/>
      <c r="M838" s="8" t="inlineStr"/>
      <c r="N838" s="8" t="inlineStr">
        <is>
          <t>Бухгалтер: выгрузить акт</t>
        </is>
      </c>
      <c r="O838" s="8" t="inlineStr">
        <is>
          <t>a.toktosunova</t>
        </is>
      </c>
      <c r="P838" s="12" t="inlineStr">
        <is>
          <t>Операция есть в ETM, а акт 1С за этот (или следующий) месяц не выгружен — сначала получить акт</t>
        </is>
      </c>
      <c r="Q838" s="8" t="inlineStr">
        <is>
          <t>57350862,57350888</t>
        </is>
      </c>
    </row>
    <row r="839">
      <c r="A839" s="8" t="inlineStr">
        <is>
          <t>G08462</t>
        </is>
      </c>
      <c r="B839" s="8" t="inlineStr">
        <is>
          <t>ИП Муратов Э. У.</t>
        </is>
      </c>
      <c r="C839" s="8" t="inlineStr">
        <is>
          <t>2552672049|2552672051</t>
        </is>
      </c>
      <c r="D839" s="8" t="inlineStr">
        <is>
          <t>ETM, акт 1С за месяц не выгружен</t>
        </is>
      </c>
      <c r="E839" s="8" t="inlineStr">
        <is>
          <t>Выгрузка 1С</t>
        </is>
      </c>
      <c r="F839" s="8" t="inlineStr">
        <is>
          <t>B</t>
        </is>
      </c>
      <c r="G839" s="14" t="n">
        <v>0</v>
      </c>
      <c r="H839" s="14" t="n">
        <v>-118794.38</v>
      </c>
      <c r="I839" s="14" t="n">
        <v>118794.375</v>
      </c>
      <c r="J839" s="14" t="n">
        <v>-118794.38</v>
      </c>
      <c r="K839" s="21" t="n">
        <v>46087.44</v>
      </c>
      <c r="L839" s="21" t="n"/>
      <c r="M839" s="8" t="inlineStr"/>
      <c r="N839" s="8" t="inlineStr">
        <is>
          <t>Бухгалтер: выгрузить акт</t>
        </is>
      </c>
      <c r="O839" s="8" t="inlineStr">
        <is>
          <t>g.omurbekova</t>
        </is>
      </c>
      <c r="P839" s="12" t="inlineStr">
        <is>
          <t>Операция есть в ETM, а акт 1С за этот (или следующий) месяц не выгружен — сначала получить акт</t>
        </is>
      </c>
      <c r="Q839" s="8" t="inlineStr">
        <is>
          <t>57128551,57128523</t>
        </is>
      </c>
    </row>
    <row r="840">
      <c r="A840" s="8" t="inlineStr">
        <is>
          <t>G13536</t>
        </is>
      </c>
      <c r="B840" s="8" t="inlineStr">
        <is>
          <t>Сыдыков С. У.</t>
        </is>
      </c>
      <c r="C840" s="8" t="inlineStr">
        <is>
          <t>2420847231|2420847232|2420847234|2420847235</t>
        </is>
      </c>
      <c r="D840" s="8" t="inlineStr">
        <is>
          <t>ETM, акт 1С за месяц не выгружен</t>
        </is>
      </c>
      <c r="E840" s="8" t="inlineStr">
        <is>
          <t>Выгрузка 1С</t>
        </is>
      </c>
      <c r="F840" s="8" t="inlineStr">
        <is>
          <t>B</t>
        </is>
      </c>
      <c r="G840" s="14" t="n">
        <v>0</v>
      </c>
      <c r="H840" s="14" t="n">
        <v>-116240.44</v>
      </c>
      <c r="I840" s="14" t="n">
        <v>116240.448</v>
      </c>
      <c r="J840" s="14" t="n">
        <v>-116240.44</v>
      </c>
      <c r="K840" s="21" t="n">
        <v>46152.48903935185</v>
      </c>
      <c r="L840" s="21" t="n"/>
      <c r="M840" s="8" t="inlineStr"/>
      <c r="N840" s="8" t="inlineStr">
        <is>
          <t>Бухгалтер: выгрузить акт</t>
        </is>
      </c>
      <c r="O840" s="8" t="inlineStr">
        <is>
          <t>e.satarov</t>
        </is>
      </c>
      <c r="P840" s="12" t="inlineStr">
        <is>
          <t>Операция есть в ETM, а акт 1С за этот (или следующий) месяц не выгружен — сначала получить акт</t>
        </is>
      </c>
      <c r="Q840" s="8" t="inlineStr">
        <is>
          <t>57270185,57270230,57270248,57270202</t>
        </is>
      </c>
    </row>
    <row r="841">
      <c r="A841" s="8" t="inlineStr">
        <is>
          <t>G13346</t>
        </is>
      </c>
      <c r="B841" s="8" t="inlineStr">
        <is>
          <t>Сатар уулу Санжар</t>
        </is>
      </c>
      <c r="C841" s="8" t="inlineStr">
        <is>
          <t>2559100779|2559100780|2559100781|2559100782</t>
        </is>
      </c>
      <c r="D841" s="8" t="inlineStr">
        <is>
          <t>ETM, акт 1С за месяц не выгружен</t>
        </is>
      </c>
      <c r="E841" s="8" t="inlineStr">
        <is>
          <t>Выгрузка 1С</t>
        </is>
      </c>
      <c r="F841" s="8" t="inlineStr">
        <is>
          <t>B</t>
        </is>
      </c>
      <c r="G841" s="14" t="n">
        <v>0</v>
      </c>
      <c r="H841" s="14" t="n">
        <v>-116120.4</v>
      </c>
      <c r="I841" s="14" t="n">
        <v>116120.4</v>
      </c>
      <c r="J841" s="14" t="n">
        <v>-116120.4</v>
      </c>
      <c r="K841" s="21" t="n">
        <v>46176.53041666667</v>
      </c>
      <c r="L841" s="21" t="n"/>
      <c r="M841" s="8" t="inlineStr"/>
      <c r="N841" s="8" t="inlineStr">
        <is>
          <t>Бухгалтер: выгрузить акт</t>
        </is>
      </c>
      <c r="O841" s="8" t="inlineStr">
        <is>
          <t>g.omurbekova|n.abdyldaeva</t>
        </is>
      </c>
      <c r="P841" s="12" t="inlineStr">
        <is>
          <t>Операция есть в ETM, а акт 1С за этот (или следующий) месяц не выгружен — сначала получить акт</t>
        </is>
      </c>
      <c r="Q841" s="8" t="inlineStr">
        <is>
          <t>57338617,57338689,57338708,57338652,57348323</t>
        </is>
      </c>
    </row>
    <row r="842">
      <c r="A842" s="8" t="inlineStr">
        <is>
          <t>G07153</t>
        </is>
      </c>
      <c r="B842" s="8" t="inlineStr">
        <is>
          <t>Жибек Эйр</t>
        </is>
      </c>
      <c r="C842" s="8" t="inlineStr">
        <is>
          <t>2416944220|2416944222|2416944223</t>
        </is>
      </c>
      <c r="D842" s="8" t="inlineStr">
        <is>
          <t>ETM, акт 1С за месяц не выгружен</t>
        </is>
      </c>
      <c r="E842" s="8" t="inlineStr">
        <is>
          <t>Выгрузка 1С</t>
        </is>
      </c>
      <c r="F842" s="8" t="inlineStr">
        <is>
          <t>B</t>
        </is>
      </c>
      <c r="G842" s="14" t="n">
        <v>0</v>
      </c>
      <c r="H842" s="14" t="n">
        <v>-110039.7</v>
      </c>
      <c r="I842" s="14" t="n">
        <v>110039.7</v>
      </c>
      <c r="J842" s="14" t="n">
        <v>-110039.7</v>
      </c>
      <c r="K842" s="21" t="n">
        <v>46131.6840625</v>
      </c>
      <c r="L842" s="21" t="n"/>
      <c r="M842" s="8" t="inlineStr"/>
      <c r="N842" s="8" t="inlineStr">
        <is>
          <t>Бухгалтер: выгрузить акт</t>
        </is>
      </c>
      <c r="O842" s="8" t="inlineStr">
        <is>
          <t>g.omurbekova</t>
        </is>
      </c>
      <c r="P842" s="12" t="inlineStr">
        <is>
          <t>Операция есть в ETM, а акт 1С за этот (или следующий) месяц не выгружен — сначала получить акт</t>
        </is>
      </c>
      <c r="Q842" s="8" t="inlineStr">
        <is>
          <t>57215875</t>
        </is>
      </c>
    </row>
    <row r="843">
      <c r="A843" s="8" t="inlineStr">
        <is>
          <t>G07228</t>
        </is>
      </c>
      <c r="B843" s="8" t="inlineStr">
        <is>
          <t>Жибек Эйр</t>
        </is>
      </c>
      <c r="C843" s="8" t="inlineStr">
        <is>
          <t>2459529304|2459529307|2459529308|2459529309</t>
        </is>
      </c>
      <c r="D843" s="8" t="inlineStr">
        <is>
          <t>ETM, акт 1С за месяц не выгружен</t>
        </is>
      </c>
      <c r="E843" s="8" t="inlineStr">
        <is>
          <t>Выгрузка 1С</t>
        </is>
      </c>
      <c r="F843" s="8" t="inlineStr">
        <is>
          <t>B</t>
        </is>
      </c>
      <c r="G843" s="14" t="n">
        <v>0</v>
      </c>
      <c r="H843" s="14" t="n">
        <v>-102908</v>
      </c>
      <c r="I843" s="14" t="n">
        <v>102908</v>
      </c>
      <c r="J843" s="14" t="n">
        <v>-102908</v>
      </c>
      <c r="K843" s="21" t="n">
        <v>46157.4002662037</v>
      </c>
      <c r="L843" s="21" t="n"/>
      <c r="M843" s="8" t="inlineStr"/>
      <c r="N843" s="8" t="inlineStr">
        <is>
          <t>Бухгалтер: выгрузить акт</t>
        </is>
      </c>
      <c r="O843" s="8" t="inlineStr">
        <is>
          <t>e.satarov|n.abdyldaeva</t>
        </is>
      </c>
      <c r="P843" s="12" t="inlineStr">
        <is>
          <t>Операция есть в ETM, а акт 1С за этот (или следующий) месяц не выгружен — сначала получить акт</t>
        </is>
      </c>
      <c r="Q843" s="8" t="inlineStr">
        <is>
          <t>57286794,57286763,57286797,57286753,57330231</t>
        </is>
      </c>
    </row>
    <row r="844">
      <c r="A844" s="8" t="inlineStr">
        <is>
          <t>G13375</t>
        </is>
      </c>
      <c r="B844" s="8" t="inlineStr">
        <is>
          <t>Сатар уулу Санжар</t>
        </is>
      </c>
      <c r="C844" s="8" t="inlineStr">
        <is>
          <t>2559103740|2559103741|2559103742</t>
        </is>
      </c>
      <c r="D844" s="8" t="inlineStr">
        <is>
          <t>ETM, акт 1С за месяц не выгружен</t>
        </is>
      </c>
      <c r="E844" s="8" t="inlineStr">
        <is>
          <t>Выгрузка 1С</t>
        </is>
      </c>
      <c r="F844" s="8" t="inlineStr">
        <is>
          <t>B</t>
        </is>
      </c>
      <c r="G844" s="14" t="n">
        <v>0</v>
      </c>
      <c r="H844" s="14" t="n">
        <v>-100566.24</v>
      </c>
      <c r="I844" s="14" t="n">
        <v>100566.24</v>
      </c>
      <c r="J844" s="14" t="n">
        <v>-100566.24</v>
      </c>
      <c r="K844" s="21" t="n">
        <v>46194.3383912037</v>
      </c>
      <c r="L844" s="21" t="n"/>
      <c r="M844" s="8" t="inlineStr"/>
      <c r="N844" s="8" t="inlineStr">
        <is>
          <t>Бухгалтер: выгрузить акт</t>
        </is>
      </c>
      <c r="O844" s="8" t="inlineStr">
        <is>
          <t>r.sydykov</t>
        </is>
      </c>
      <c r="P844" s="12" t="inlineStr">
        <is>
          <t>Операция есть в ETM, а акт 1С за этот (или следующий) месяц не выгружен — сначала получить акт</t>
        </is>
      </c>
      <c r="Q844" s="8" t="inlineStr">
        <is>
          <t>57387726,57387744,57387704</t>
        </is>
      </c>
    </row>
    <row r="845">
      <c r="A845" s="8" t="inlineStr">
        <is>
          <t>G08595</t>
        </is>
      </c>
      <c r="B845" s="8" t="inlineStr">
        <is>
          <t>ИП Токтосун кызы Н.</t>
        </is>
      </c>
      <c r="C845" s="8" t="inlineStr">
        <is>
          <t>2460738287|2460738289|2460738291|2460738293</t>
        </is>
      </c>
      <c r="D845" s="8" t="inlineStr">
        <is>
          <t>ETM, акт 1С за месяц не выгружен</t>
        </is>
      </c>
      <c r="E845" s="8" t="inlineStr">
        <is>
          <t>Выгрузка 1С</t>
        </is>
      </c>
      <c r="F845" s="8" t="inlineStr">
        <is>
          <t>B</t>
        </is>
      </c>
      <c r="G845" s="14" t="n">
        <v>0</v>
      </c>
      <c r="H845" s="14" t="n">
        <v>-98232</v>
      </c>
      <c r="I845" s="14" t="n">
        <v>98232</v>
      </c>
      <c r="J845" s="14" t="n">
        <v>-98232</v>
      </c>
      <c r="K845" s="21" t="n">
        <v>46062.62592592592</v>
      </c>
      <c r="L845" s="21" t="n"/>
      <c r="M845" s="8" t="inlineStr"/>
      <c r="N845" s="8" t="inlineStr">
        <is>
          <t>Бухгалтер: выгрузить акт</t>
        </is>
      </c>
      <c r="O845" s="8" t="inlineStr">
        <is>
          <t>k.dzhumaev</t>
        </is>
      </c>
      <c r="P845" s="12" t="inlineStr">
        <is>
          <t>Операция есть в ETM, а акт 1С за этот (или следующий) месяц не выгружен — сначала получить акт</t>
        </is>
      </c>
      <c r="Q845" s="8" t="inlineStr">
        <is>
          <t>57081857</t>
        </is>
      </c>
    </row>
    <row r="846">
      <c r="A846" s="8" t="inlineStr">
        <is>
          <t>G12928</t>
        </is>
      </c>
      <c r="B846" s="8" t="inlineStr">
        <is>
          <t>Сатар уулу Санжар</t>
        </is>
      </c>
      <c r="C846" s="8" t="inlineStr">
        <is>
          <t>2420843588|2420843590|2420843593|2420843595</t>
        </is>
      </c>
      <c r="D846" s="8" t="inlineStr">
        <is>
          <t>ETM, акт 1С за месяц не выгружен</t>
        </is>
      </c>
      <c r="E846" s="8" t="inlineStr">
        <is>
          <t>Выгрузка 1С</t>
        </is>
      </c>
      <c r="F846" s="8" t="inlineStr">
        <is>
          <t>B</t>
        </is>
      </c>
      <c r="G846" s="14" t="n">
        <v>0</v>
      </c>
      <c r="H846" s="14" t="n">
        <v>-98062.60000000001</v>
      </c>
      <c r="I846" s="14" t="n"/>
      <c r="J846" s="14" t="n">
        <v>-98062.60000000001</v>
      </c>
      <c r="K846" s="21" t="n">
        <v>46135.34863425926</v>
      </c>
      <c r="L846" s="21" t="n"/>
      <c r="M846" s="8" t="inlineStr"/>
      <c r="N846" s="8" t="inlineStr">
        <is>
          <t>Бухгалтер: выгрузить акт</t>
        </is>
      </c>
      <c r="O846" s="8" t="inlineStr">
        <is>
          <t>g.omurbekova</t>
        </is>
      </c>
      <c r="P846" s="12" t="inlineStr">
        <is>
          <t>Операция есть в ETM, а акт 1С за этот (или следующий) месяц не выгружен — сначала получить акт</t>
        </is>
      </c>
      <c r="Q846" s="8" t="inlineStr">
        <is>
          <t>57223700,57223731,57223678,57223669</t>
        </is>
      </c>
    </row>
    <row r="847">
      <c r="A847" s="8" t="inlineStr">
        <is>
          <t>G08541</t>
        </is>
      </c>
      <c r="B847" s="8" t="inlineStr">
        <is>
          <t>ИП Токтосун кызы Н.</t>
        </is>
      </c>
      <c r="C847" s="8" t="inlineStr">
        <is>
          <t>2459526541|2459526543|2459526545</t>
        </is>
      </c>
      <c r="D847" s="8" t="inlineStr">
        <is>
          <t>ETM, акт 1С за месяц не выгружен</t>
        </is>
      </c>
      <c r="E847" s="8" t="inlineStr">
        <is>
          <t>Выгрузка 1С</t>
        </is>
      </c>
      <c r="F847" s="8" t="inlineStr">
        <is>
          <t>B</t>
        </is>
      </c>
      <c r="G847" s="14" t="n">
        <v>0</v>
      </c>
      <c r="H847" s="14" t="n">
        <v>-97725</v>
      </c>
      <c r="I847" s="14" t="n">
        <v>97725</v>
      </c>
      <c r="J847" s="14" t="n">
        <v>-97725</v>
      </c>
      <c r="K847" s="21" t="n">
        <v>46078.37193287037</v>
      </c>
      <c r="L847" s="21" t="n"/>
      <c r="M847" s="8" t="inlineStr"/>
      <c r="N847" s="8" t="inlineStr">
        <is>
          <t>Бухгалтер: выгрузить акт</t>
        </is>
      </c>
      <c r="O847" s="8" t="inlineStr">
        <is>
          <t>a.toktosunova</t>
        </is>
      </c>
      <c r="P847" s="12" t="inlineStr">
        <is>
          <t>Операция есть в ETM, а акт 1С за этот (или следующий) месяц не выгружен — сначала получить акт</t>
        </is>
      </c>
      <c r="Q847" s="8" t="inlineStr">
        <is>
          <t>57108049,57108022,57108014</t>
        </is>
      </c>
    </row>
    <row r="848">
      <c r="A848" s="8" t="inlineStr">
        <is>
          <t>G09204</t>
        </is>
      </c>
      <c r="B848" s="8" t="inlineStr">
        <is>
          <t>ИССЫК ТРИП</t>
        </is>
      </c>
      <c r="C848" s="8" t="inlineStr">
        <is>
          <t>2476315887|2476315888|2476315889</t>
        </is>
      </c>
      <c r="D848" s="8" t="inlineStr">
        <is>
          <t>ETM, акт 1С за месяц не выгружен</t>
        </is>
      </c>
      <c r="E848" s="8" t="inlineStr">
        <is>
          <t>Выгрузка 1С</t>
        </is>
      </c>
      <c r="F848" s="8" t="inlineStr">
        <is>
          <t>B</t>
        </is>
      </c>
      <c r="G848" s="14" t="n">
        <v>0</v>
      </c>
      <c r="H848" s="14" t="n">
        <v>-97211.45999999999</v>
      </c>
      <c r="I848" s="14" t="n">
        <v>97211.45999999999</v>
      </c>
      <c r="J848" s="14" t="n">
        <v>-97211.45999999999</v>
      </c>
      <c r="K848" s="21" t="n">
        <v>46078.50469907407</v>
      </c>
      <c r="L848" s="21" t="n"/>
      <c r="M848" s="8" t="inlineStr"/>
      <c r="N848" s="8" t="inlineStr">
        <is>
          <t>Бухгалтер: выгрузить акт</t>
        </is>
      </c>
      <c r="O848" s="8" t="inlineStr">
        <is>
          <t>n.abdyldaeva</t>
        </is>
      </c>
      <c r="P848" s="12" t="inlineStr">
        <is>
          <t>Операция есть в ETM, а акт 1С за этот (или следующий) месяц не выгружен — сначала получить акт</t>
        </is>
      </c>
      <c r="Q848" s="8" t="inlineStr">
        <is>
          <t>57108509,57108472,57108496</t>
        </is>
      </c>
    </row>
    <row r="849">
      <c r="A849" s="8" t="inlineStr">
        <is>
          <t>G08677</t>
        </is>
      </c>
      <c r="B849" s="8" t="inlineStr">
        <is>
          <t>ИП Токтосун кызы Н.</t>
        </is>
      </c>
      <c r="C849" s="8" t="inlineStr">
        <is>
          <t>2552670050|2552670053</t>
        </is>
      </c>
      <c r="D849" s="8" t="inlineStr">
        <is>
          <t>ETM, акт 1С за месяц не выгружен</t>
        </is>
      </c>
      <c r="E849" s="8" t="inlineStr">
        <is>
          <t>Выгрузка 1С</t>
        </is>
      </c>
      <c r="F849" s="8" t="inlineStr">
        <is>
          <t>B</t>
        </is>
      </c>
      <c r="G849" s="14" t="n">
        <v>0</v>
      </c>
      <c r="H849" s="14" t="n">
        <v>-92387.3</v>
      </c>
      <c r="I849" s="14" t="n">
        <v>92387.29999999999</v>
      </c>
      <c r="J849" s="14" t="n">
        <v>-92387.3</v>
      </c>
      <c r="K849" s="21" t="n">
        <v>46054.47587962963</v>
      </c>
      <c r="L849" s="21" t="n"/>
      <c r="M849" s="8" t="inlineStr"/>
      <c r="N849" s="8" t="inlineStr">
        <is>
          <t>Бухгалтер: выгрузить акт</t>
        </is>
      </c>
      <c r="O849" s="8" t="inlineStr">
        <is>
          <t>a.toktosunova</t>
        </is>
      </c>
      <c r="P849" s="12" t="inlineStr">
        <is>
          <t>Операция есть в ETM, а акт 1С за этот (или следующий) месяц не выгружен — сначала получить акт</t>
        </is>
      </c>
      <c r="Q849" s="8" t="inlineStr">
        <is>
          <t>57067166,57067174</t>
        </is>
      </c>
    </row>
    <row r="850">
      <c r="A850" s="8" t="inlineStr">
        <is>
          <t>G14508</t>
        </is>
      </c>
      <c r="B850" s="8" t="inlineStr">
        <is>
          <t>Чолпон Тревел</t>
        </is>
      </c>
      <c r="C850" s="8" t="inlineStr">
        <is>
          <t>2559101005|2559101008</t>
        </is>
      </c>
      <c r="D850" s="8" t="inlineStr">
        <is>
          <t>ETM, акт 1С за месяц не выгружен</t>
        </is>
      </c>
      <c r="E850" s="8" t="inlineStr">
        <is>
          <t>Выгрузка 1С</t>
        </is>
      </c>
      <c r="F850" s="8" t="inlineStr">
        <is>
          <t>B</t>
        </is>
      </c>
      <c r="G850" s="14" t="n">
        <v>0</v>
      </c>
      <c r="H850" s="14" t="n">
        <v>-86975.06</v>
      </c>
      <c r="I850" s="14" t="n">
        <v>86975.06</v>
      </c>
      <c r="J850" s="14" t="n">
        <v>-86975.06</v>
      </c>
      <c r="K850" s="21" t="n">
        <v>46158.43099537037</v>
      </c>
      <c r="L850" s="21" t="n"/>
      <c r="M850" s="8" t="inlineStr"/>
      <c r="N850" s="8" t="inlineStr">
        <is>
          <t>Бухгалтер: выгрузить акт</t>
        </is>
      </c>
      <c r="O850" s="8" t="inlineStr">
        <is>
          <t>d.mambetova</t>
        </is>
      </c>
      <c r="P850" s="12" t="inlineStr">
        <is>
          <t>Операция есть в ETM, а акт 1С за этот (или следующий) месяц не выгружен — сначала получить акт</t>
        </is>
      </c>
      <c r="Q850" s="8" t="inlineStr">
        <is>
          <t>57289566,57289598</t>
        </is>
      </c>
    </row>
    <row r="851">
      <c r="A851" s="8" t="inlineStr">
        <is>
          <t>G00017</t>
        </is>
      </c>
      <c r="B851" s="8" t="inlineStr">
        <is>
          <t>Ak-Bulak Voyage</t>
        </is>
      </c>
      <c r="C851" s="8" t="inlineStr">
        <is>
          <t>2459531737|2459531739</t>
        </is>
      </c>
      <c r="D851" s="8" t="inlineStr">
        <is>
          <t>ETM, акт 1С за месяц не выгружен</t>
        </is>
      </c>
      <c r="E851" s="8" t="inlineStr">
        <is>
          <t>Выгрузка 1С</t>
        </is>
      </c>
      <c r="F851" s="8" t="inlineStr">
        <is>
          <t>B</t>
        </is>
      </c>
      <c r="G851" s="14" t="n">
        <v>0</v>
      </c>
      <c r="H851" s="14" t="n">
        <v>-86850</v>
      </c>
      <c r="I851" s="14" t="n">
        <v>86850</v>
      </c>
      <c r="J851" s="14" t="n">
        <v>-86850</v>
      </c>
      <c r="K851" s="21" t="n">
        <v>46068.56952546296</v>
      </c>
      <c r="L851" s="21" t="n"/>
      <c r="M851" s="8" t="inlineStr"/>
      <c r="N851" s="8" t="inlineStr">
        <is>
          <t>Бухгалтер: выгрузить акт</t>
        </is>
      </c>
      <c r="O851" s="8" t="inlineStr">
        <is>
          <t>n.abdyldaeva</t>
        </is>
      </c>
      <c r="P851" s="12" t="inlineStr">
        <is>
          <t>Операция есть в ETM, а акт 1С за этот (или следующий) месяц не выгружен — сначала получить акт</t>
        </is>
      </c>
      <c r="Q851" s="8" t="inlineStr">
        <is>
          <t>57092544,57092522</t>
        </is>
      </c>
    </row>
    <row r="852">
      <c r="A852" s="8" t="inlineStr">
        <is>
          <t>G09926</t>
        </is>
      </c>
      <c r="B852" s="8" t="inlineStr">
        <is>
          <t>МУРАС ТРИП</t>
        </is>
      </c>
      <c r="C852" s="8" t="inlineStr">
        <is>
          <t>2420846867|2420846868|2420846869</t>
        </is>
      </c>
      <c r="D852" s="8" t="inlineStr">
        <is>
          <t>ETM, акт 1С за месяц не выгружен</t>
        </is>
      </c>
      <c r="E852" s="8" t="inlineStr">
        <is>
          <t>Выгрузка 1С</t>
        </is>
      </c>
      <c r="F852" s="8" t="inlineStr">
        <is>
          <t>B</t>
        </is>
      </c>
      <c r="G852" s="14" t="n">
        <v>0</v>
      </c>
      <c r="H852" s="14" t="n">
        <v>-86815.53</v>
      </c>
      <c r="I852" s="14" t="n">
        <v>86815.53690000001</v>
      </c>
      <c r="J852" s="14" t="n">
        <v>-86815.53</v>
      </c>
      <c r="K852" s="21" t="n">
        <v>46197.68913194445</v>
      </c>
      <c r="L852" s="21" t="n"/>
      <c r="M852" s="8" t="inlineStr"/>
      <c r="N852" s="8" t="inlineStr">
        <is>
          <t>Бухгалтер: выгрузить акт</t>
        </is>
      </c>
      <c r="O852" s="8" t="inlineStr">
        <is>
          <t>a.toktosunova</t>
        </is>
      </c>
      <c r="P852" s="12" t="inlineStr">
        <is>
          <t>Операция есть в ETM, а акт 1С за этот (или следующий) месяц не выгружен — сначала получить акт</t>
        </is>
      </c>
      <c r="Q852" s="8" t="inlineStr">
        <is>
          <t>57397063</t>
        </is>
      </c>
    </row>
    <row r="853">
      <c r="A853" s="8" t="inlineStr">
        <is>
          <t>G08543</t>
        </is>
      </c>
      <c r="B853" s="8" t="inlineStr">
        <is>
          <t>ИП Токтосун кызы Н.</t>
        </is>
      </c>
      <c r="C853" s="8" t="inlineStr">
        <is>
          <t>2459527289|2459527292</t>
        </is>
      </c>
      <c r="D853" s="8" t="inlineStr">
        <is>
          <t>ETM, акт 1С за месяц не выгружен</t>
        </is>
      </c>
      <c r="E853" s="8" t="inlineStr">
        <is>
          <t>Выгрузка 1С</t>
        </is>
      </c>
      <c r="F853" s="8" t="inlineStr">
        <is>
          <t>B</t>
        </is>
      </c>
      <c r="G853" s="14" t="n">
        <v>0</v>
      </c>
      <c r="H853" s="14" t="n">
        <v>-86310</v>
      </c>
      <c r="I853" s="14" t="n"/>
      <c r="J853" s="14" t="n">
        <v>-86310</v>
      </c>
      <c r="K853" s="21" t="n">
        <v>46076.60667824074</v>
      </c>
      <c r="L853" s="21" t="n"/>
      <c r="M853" s="8" t="inlineStr"/>
      <c r="N853" s="8" t="inlineStr">
        <is>
          <t>Бухгалтер: выгрузить акт</t>
        </is>
      </c>
      <c r="O853" s="8" t="inlineStr"/>
      <c r="P853" s="12" t="inlineStr">
        <is>
          <t>Операция есть в ETM, а акт 1С за этот (или следующий) месяц не выгружен — сначала получить акт</t>
        </is>
      </c>
      <c r="Q853" s="8" t="inlineStr">
        <is>
          <t>57104476</t>
        </is>
      </c>
    </row>
    <row r="854">
      <c r="A854" s="8" t="inlineStr">
        <is>
          <t>G08869</t>
        </is>
      </c>
      <c r="B854" s="8" t="inlineStr">
        <is>
          <t>ИССЫК ТРИП</t>
        </is>
      </c>
      <c r="C854" s="8" t="inlineStr">
        <is>
          <t>2416942847|2416942848|2416942850</t>
        </is>
      </c>
      <c r="D854" s="8" t="inlineStr">
        <is>
          <t>ETM, акт 1С за месяц не выгружен</t>
        </is>
      </c>
      <c r="E854" s="8" t="inlineStr">
        <is>
          <t>Выгрузка 1С</t>
        </is>
      </c>
      <c r="F854" s="8" t="inlineStr">
        <is>
          <t>B</t>
        </is>
      </c>
      <c r="G854" s="14" t="n">
        <v>0</v>
      </c>
      <c r="H854" s="14" t="n">
        <v>-85343.19</v>
      </c>
      <c r="I854" s="14" t="n">
        <v>85343.19</v>
      </c>
      <c r="J854" s="14" t="n">
        <v>-85343.19</v>
      </c>
      <c r="K854" s="21" t="n">
        <v>46068.37652777778</v>
      </c>
      <c r="L854" s="21" t="n"/>
      <c r="M854" s="8" t="inlineStr"/>
      <c r="N854" s="8" t="inlineStr">
        <is>
          <t>Бухгалтер: выгрузить акт</t>
        </is>
      </c>
      <c r="O854" s="8" t="inlineStr">
        <is>
          <t>r.sydykov</t>
        </is>
      </c>
      <c r="P854" s="12" t="inlineStr">
        <is>
          <t>Операция есть в ETM, а акт 1С за этот (или следующий) месяц не выгружен — сначала получить акт</t>
        </is>
      </c>
      <c r="Q854" s="8" t="inlineStr">
        <is>
          <t>57091842</t>
        </is>
      </c>
    </row>
    <row r="855">
      <c r="A855" s="8" t="inlineStr">
        <is>
          <t>G14254</t>
        </is>
      </c>
      <c r="B855" s="8" t="inlineStr">
        <is>
          <t>ЧОЛПОН ТУР</t>
        </is>
      </c>
      <c r="C855" s="8" t="inlineStr">
        <is>
          <t>2420843003|2420843006|2420843007</t>
        </is>
      </c>
      <c r="D855" s="8" t="inlineStr">
        <is>
          <t>ETM, акт 1С за месяц не выгружен</t>
        </is>
      </c>
      <c r="E855" s="8" t="inlineStr">
        <is>
          <t>Выгрузка 1С</t>
        </is>
      </c>
      <c r="F855" s="8" t="inlineStr">
        <is>
          <t>B</t>
        </is>
      </c>
      <c r="G855" s="14" t="n">
        <v>0</v>
      </c>
      <c r="H855" s="14" t="n">
        <v>-85231.64999999999</v>
      </c>
      <c r="I855" s="14" t="n">
        <v>85231.6488</v>
      </c>
      <c r="J855" s="14" t="n">
        <v>-85231.64999999999</v>
      </c>
      <c r="K855" s="21" t="n">
        <v>46108.39784722222</v>
      </c>
      <c r="L855" s="21" t="n"/>
      <c r="M855" s="8" t="inlineStr"/>
      <c r="N855" s="8" t="inlineStr">
        <is>
          <t>Бухгалтер: выгрузить акт</t>
        </is>
      </c>
      <c r="O855" s="8" t="inlineStr">
        <is>
          <t>e.satarov</t>
        </is>
      </c>
      <c r="P855" s="12" t="inlineStr">
        <is>
          <t>Операция есть в ETM, а акт 1С за этот (или следующий) месяц не выгружен — сначала получить акт</t>
        </is>
      </c>
      <c r="Q855" s="8" t="inlineStr">
        <is>
          <t>57174529</t>
        </is>
      </c>
    </row>
    <row r="856">
      <c r="A856" s="8" t="inlineStr">
        <is>
          <t>G14522</t>
        </is>
      </c>
      <c r="B856" s="8" t="inlineStr">
        <is>
          <t>Чынар уулу Эмир</t>
        </is>
      </c>
      <c r="C856" s="8" t="inlineStr">
        <is>
          <t>2420847118|2420847120|2420847123</t>
        </is>
      </c>
      <c r="D856" s="8" t="inlineStr">
        <is>
          <t>ETM, акт 1С за месяц не выгружен</t>
        </is>
      </c>
      <c r="E856" s="8" t="inlineStr">
        <is>
          <t>Выгрузка 1С</t>
        </is>
      </c>
      <c r="F856" s="8" t="inlineStr">
        <is>
          <t>B</t>
        </is>
      </c>
      <c r="G856" s="14" t="n">
        <v>0</v>
      </c>
      <c r="H856" s="14" t="n">
        <v>-85072.41</v>
      </c>
      <c r="I856" s="14" t="n">
        <v>85451.55809999999</v>
      </c>
      <c r="J856" s="14" t="n">
        <v>-85072.41</v>
      </c>
      <c r="K856" s="21" t="n">
        <v>46107.42708333334</v>
      </c>
      <c r="L856" s="21" t="n"/>
      <c r="M856" s="8" t="inlineStr"/>
      <c r="N856" s="8" t="inlineStr">
        <is>
          <t>Бухгалтер: выгрузить акт</t>
        </is>
      </c>
      <c r="O856" s="8" t="inlineStr">
        <is>
          <t>a.toktosunova</t>
        </is>
      </c>
      <c r="P856" s="12" t="inlineStr">
        <is>
          <t>Операция есть в ETM, а акт 1С за этот (или следующий) месяц не выгружен — сначала получить акт</t>
        </is>
      </c>
      <c r="Q856" s="8" t="inlineStr">
        <is>
          <t>57171241,57171256,57171245</t>
        </is>
      </c>
    </row>
    <row r="857">
      <c r="A857" s="8" t="inlineStr">
        <is>
          <t>G08851</t>
        </is>
      </c>
      <c r="B857" s="8" t="inlineStr">
        <is>
          <t>ИССЫК ТРИП</t>
        </is>
      </c>
      <c r="C857" s="8" t="inlineStr">
        <is>
          <t>2416941090</t>
        </is>
      </c>
      <c r="D857" s="8" t="inlineStr">
        <is>
          <t>ETM, акт 1С за месяц не выгружен</t>
        </is>
      </c>
      <c r="E857" s="8" t="inlineStr">
        <is>
          <t>Выгрузка 1С</t>
        </is>
      </c>
      <c r="F857" s="8" t="inlineStr">
        <is>
          <t>B</t>
        </is>
      </c>
      <c r="G857" s="14" t="n">
        <v>0</v>
      </c>
      <c r="H857" s="14" t="n">
        <v>-83866.94</v>
      </c>
      <c r="I857" s="14" t="n">
        <v>41933.475</v>
      </c>
      <c r="J857" s="14" t="n">
        <v>-83866.94</v>
      </c>
      <c r="K857" s="21" t="n">
        <v>46080.43641203704</v>
      </c>
      <c r="L857" s="21" t="n"/>
      <c r="M857" s="8" t="inlineStr"/>
      <c r="N857" s="8" t="inlineStr">
        <is>
          <t>Бухгалтер: выгрузить акт</t>
        </is>
      </c>
      <c r="O857" s="8" t="inlineStr">
        <is>
          <t>e.satarov</t>
        </is>
      </c>
      <c r="P857" s="12" t="inlineStr">
        <is>
          <t>Операция есть в ETM, а акт 1С за этот (или следующий) месяц не выгружен — сначала получить акт</t>
        </is>
      </c>
      <c r="Q857" s="8" t="inlineStr">
        <is>
          <t>57111722,57111738</t>
        </is>
      </c>
    </row>
    <row r="858">
      <c r="A858" s="8" t="inlineStr">
        <is>
          <t>G12917</t>
        </is>
      </c>
      <c r="B858" s="8" t="inlineStr">
        <is>
          <t>Сатар уулу Санжар</t>
        </is>
      </c>
      <c r="C858" s="8" t="inlineStr">
        <is>
          <t>2416945990|2416945992|2416945995</t>
        </is>
      </c>
      <c r="D858" s="8" t="inlineStr">
        <is>
          <t>ETM, акт 1С за месяц не выгружен</t>
        </is>
      </c>
      <c r="E858" s="8" t="inlineStr">
        <is>
          <t>Выгрузка 1С</t>
        </is>
      </c>
      <c r="F858" s="8" t="inlineStr">
        <is>
          <t>B</t>
        </is>
      </c>
      <c r="G858" s="14" t="n">
        <v>0</v>
      </c>
      <c r="H858" s="14" t="n">
        <v>-81789.66</v>
      </c>
      <c r="I858" s="14" t="n">
        <v>81789.65999999999</v>
      </c>
      <c r="J858" s="14" t="n">
        <v>-81789.66</v>
      </c>
      <c r="K858" s="21" t="n">
        <v>46116.61146990741</v>
      </c>
      <c r="L858" s="21" t="n"/>
      <c r="M858" s="8" t="inlineStr"/>
      <c r="N858" s="8" t="inlineStr">
        <is>
          <t>Бухгалтер: выгрузить акт</t>
        </is>
      </c>
      <c r="O858" s="8" t="inlineStr">
        <is>
          <t>a.toktosunova</t>
        </is>
      </c>
      <c r="P858" s="12" t="inlineStr">
        <is>
          <t>Операция есть в ETM, а акт 1С за этот (или следующий) месяц не выгружен — сначала получить акт</t>
        </is>
      </c>
      <c r="Q858" s="8" t="inlineStr">
        <is>
          <t>57190819,57190839,57190814</t>
        </is>
      </c>
    </row>
    <row r="859">
      <c r="A859" s="8" t="inlineStr">
        <is>
          <t>G09991</t>
        </is>
      </c>
      <c r="B859" s="8" t="inlineStr">
        <is>
          <t>МУРАС ТРИП</t>
        </is>
      </c>
      <c r="C859" s="8" t="inlineStr">
        <is>
          <t>2559098870|2559098872</t>
        </is>
      </c>
      <c r="D859" s="8" t="inlineStr">
        <is>
          <t>ETM, акт 1С за месяц не выгружен</t>
        </is>
      </c>
      <c r="E859" s="8" t="inlineStr">
        <is>
          <t>Выгрузка 1С</t>
        </is>
      </c>
      <c r="F859" s="8" t="inlineStr">
        <is>
          <t>B</t>
        </is>
      </c>
      <c r="G859" s="14" t="n">
        <v>0</v>
      </c>
      <c r="H859" s="14" t="n">
        <v>-81658.72</v>
      </c>
      <c r="I859" s="14" t="n">
        <v>81658.71999999999</v>
      </c>
      <c r="J859" s="14" t="n">
        <v>-81658.72</v>
      </c>
      <c r="K859" s="21" t="n">
        <v>46198.54306712963</v>
      </c>
      <c r="L859" s="21" t="n"/>
      <c r="M859" s="8" t="inlineStr"/>
      <c r="N859" s="8" t="inlineStr">
        <is>
          <t>Бухгалтер: выгрузить акт</t>
        </is>
      </c>
      <c r="O859" s="8" t="inlineStr">
        <is>
          <t>d.mambetova</t>
        </is>
      </c>
      <c r="P859" s="12" t="inlineStr">
        <is>
          <t>Операция есть в ETM, а акт 1С за этот (или следующий) месяц не выгружен — сначала получить акт</t>
        </is>
      </c>
      <c r="Q859" s="8" t="inlineStr">
        <is>
          <t>57398319</t>
        </is>
      </c>
    </row>
    <row r="860">
      <c r="A860" s="8" t="inlineStr">
        <is>
          <t>G12897</t>
        </is>
      </c>
      <c r="B860" s="8" t="inlineStr">
        <is>
          <t>Сатар уулу Санжар</t>
        </is>
      </c>
      <c r="C860" s="8" t="inlineStr">
        <is>
          <t>2416944667|2416944669</t>
        </is>
      </c>
      <c r="D860" s="8" t="inlineStr">
        <is>
          <t>ETM, акт 1С за месяц не выгружен</t>
        </is>
      </c>
      <c r="E860" s="8" t="inlineStr">
        <is>
          <t>Выгрузка 1С</t>
        </is>
      </c>
      <c r="F860" s="8" t="inlineStr">
        <is>
          <t>B</t>
        </is>
      </c>
      <c r="G860" s="14" t="n">
        <v>0</v>
      </c>
      <c r="H860" s="14" t="n">
        <v>-80062.28</v>
      </c>
      <c r="I860" s="14" t="n">
        <v>80062.27</v>
      </c>
      <c r="J860" s="14" t="n">
        <v>-80062.28</v>
      </c>
      <c r="K860" s="21" t="n">
        <v>46189.63778935185</v>
      </c>
      <c r="L860" s="21" t="n"/>
      <c r="M860" s="8" t="inlineStr"/>
      <c r="N860" s="8" t="inlineStr">
        <is>
          <t>Бухгалтер: выгрузить акт</t>
        </is>
      </c>
      <c r="O860" s="8" t="inlineStr">
        <is>
          <t>b.isakov</t>
        </is>
      </c>
      <c r="P860" s="12" t="inlineStr">
        <is>
          <t>Операция есть в ETM, а акт 1С за этот (или следующий) месяц не выгружен — сначала получить акт</t>
        </is>
      </c>
      <c r="Q860" s="8" t="inlineStr">
        <is>
          <t>57373557</t>
        </is>
      </c>
    </row>
    <row r="861">
      <c r="A861" s="8" t="inlineStr">
        <is>
          <t>G07412</t>
        </is>
      </c>
      <c r="B861" s="8" t="inlineStr">
        <is>
          <t>Жибек Эйр</t>
        </is>
      </c>
      <c r="C861" s="8" t="inlineStr">
        <is>
          <t>2552673006|2552673008</t>
        </is>
      </c>
      <c r="D861" s="8" t="inlineStr">
        <is>
          <t>ETM, акт 1С за месяц не выгружен</t>
        </is>
      </c>
      <c r="E861" s="8" t="inlineStr">
        <is>
          <t>Выгрузка 1С</t>
        </is>
      </c>
      <c r="F861" s="8" t="inlineStr">
        <is>
          <t>B</t>
        </is>
      </c>
      <c r="G861" s="14" t="n">
        <v>0</v>
      </c>
      <c r="H861" s="14" t="n">
        <v>-79520.74000000001</v>
      </c>
      <c r="I861" s="14" t="n">
        <v>79520.74500000001</v>
      </c>
      <c r="J861" s="14" t="n">
        <v>-79520.74000000001</v>
      </c>
      <c r="K861" s="21" t="n">
        <v>46156.54697916667</v>
      </c>
      <c r="L861" s="21" t="n"/>
      <c r="M861" s="8" t="inlineStr"/>
      <c r="N861" s="8" t="inlineStr">
        <is>
          <t>Бухгалтер: выгрузить акт</t>
        </is>
      </c>
      <c r="O861" s="8" t="inlineStr">
        <is>
          <t>e.satarov</t>
        </is>
      </c>
      <c r="P861" s="12" t="inlineStr">
        <is>
          <t>Операция есть в ETM, а акт 1С за этот (или следующий) месяц не выгружен — сначала получить акт</t>
        </is>
      </c>
      <c r="Q861" s="8" t="inlineStr">
        <is>
          <t>57285007,57285045</t>
        </is>
      </c>
    </row>
    <row r="862">
      <c r="A862" s="8" t="inlineStr">
        <is>
          <t>G10700</t>
        </is>
      </c>
      <c r="B862" s="8" t="inlineStr">
        <is>
          <t>Манас Туризм</t>
        </is>
      </c>
      <c r="C862" s="8" t="inlineStr">
        <is>
          <t>2552671148|2552671151|2552671153</t>
        </is>
      </c>
      <c r="D862" s="8" t="inlineStr">
        <is>
          <t>ETM, акт 1С за месяц не выгружен</t>
        </is>
      </c>
      <c r="E862" s="8" t="inlineStr">
        <is>
          <t>Выгрузка 1С</t>
        </is>
      </c>
      <c r="F862" s="8" t="inlineStr">
        <is>
          <t>B</t>
        </is>
      </c>
      <c r="G862" s="14" t="n">
        <v>0</v>
      </c>
      <c r="H862" s="14" t="n">
        <v>-78483.54000000001</v>
      </c>
      <c r="I862" s="14" t="n">
        <v>78483.52499999999</v>
      </c>
      <c r="J862" s="14" t="n">
        <v>-78483.54000000001</v>
      </c>
      <c r="K862" s="21" t="n">
        <v>46186.53515046297</v>
      </c>
      <c r="L862" s="21" t="n"/>
      <c r="M862" s="8" t="inlineStr"/>
      <c r="N862" s="8" t="inlineStr">
        <is>
          <t>Бухгалтер: выгрузить акт</t>
        </is>
      </c>
      <c r="O862" s="8" t="inlineStr">
        <is>
          <t>d.mambetova</t>
        </is>
      </c>
      <c r="P862" s="12" t="inlineStr">
        <is>
          <t>Операция есть в ETM, а акт 1С за этот (или следующий) месяц не выгружен — сначала получить акт</t>
        </is>
      </c>
      <c r="Q862" s="8" t="inlineStr">
        <is>
          <t>57364754,57364717,57364709</t>
        </is>
      </c>
    </row>
    <row r="863">
      <c r="A863" s="8" t="inlineStr">
        <is>
          <t>G09012</t>
        </is>
      </c>
      <c r="B863" s="8" t="inlineStr">
        <is>
          <t>ИССЫК ТРИП</t>
        </is>
      </c>
      <c r="C863" s="8" t="inlineStr">
        <is>
          <t>2459528570|2459528572|2459528575</t>
        </is>
      </c>
      <c r="D863" s="8" t="inlineStr">
        <is>
          <t>ETM, акт 1С за месяц не выгружен</t>
        </is>
      </c>
      <c r="E863" s="8" t="inlineStr">
        <is>
          <t>Выгрузка 1С</t>
        </is>
      </c>
      <c r="F863" s="8" t="inlineStr">
        <is>
          <t>B</t>
        </is>
      </c>
      <c r="G863" s="14" t="n">
        <v>0</v>
      </c>
      <c r="H863" s="14" t="n">
        <v>-77382</v>
      </c>
      <c r="I863" s="14" t="n">
        <v>77382</v>
      </c>
      <c r="J863" s="14" t="n">
        <v>-77382</v>
      </c>
      <c r="K863" s="21" t="n">
        <v>46064.7515162037</v>
      </c>
      <c r="L863" s="21" t="n"/>
      <c r="M863" s="8" t="inlineStr"/>
      <c r="N863" s="8" t="inlineStr">
        <is>
          <t>Бухгалтер: выгрузить акт</t>
        </is>
      </c>
      <c r="O863" s="8" t="inlineStr">
        <is>
          <t>a.toktosunova</t>
        </is>
      </c>
      <c r="P863" s="12" t="inlineStr">
        <is>
          <t>Операция есть в ETM, а акт 1С за этот (или следующий) месяц не выгружен — сначала получить акт</t>
        </is>
      </c>
      <c r="Q863" s="8" t="inlineStr">
        <is>
          <t>57085088</t>
        </is>
      </c>
    </row>
    <row r="864">
      <c r="A864" s="8" t="inlineStr">
        <is>
          <t>G00020</t>
        </is>
      </c>
      <c r="B864" s="8" t="inlineStr">
        <is>
          <t>Ak-Bulak Voyage</t>
        </is>
      </c>
      <c r="C864" s="8" t="inlineStr">
        <is>
          <t>2460733507|2460733510|2460733512</t>
        </is>
      </c>
      <c r="D864" s="8" t="inlineStr">
        <is>
          <t>ETM, акт 1С за месяц не выгружен</t>
        </is>
      </c>
      <c r="E864" s="8" t="inlineStr">
        <is>
          <t>Выгрузка 1С</t>
        </is>
      </c>
      <c r="F864" s="8" t="inlineStr">
        <is>
          <t>B</t>
        </is>
      </c>
      <c r="G864" s="14" t="n">
        <v>0</v>
      </c>
      <c r="H864" s="14" t="n">
        <v>-77223</v>
      </c>
      <c r="I864" s="14" t="n">
        <v>77223</v>
      </c>
      <c r="J864" s="14" t="n">
        <v>-77223</v>
      </c>
      <c r="K864" s="21" t="n">
        <v>46057.38494212963</v>
      </c>
      <c r="L864" s="21" t="n"/>
      <c r="M864" s="8" t="inlineStr"/>
      <c r="N864" s="8" t="inlineStr">
        <is>
          <t>Бухгалтер: выгрузить акт</t>
        </is>
      </c>
      <c r="O864" s="8" t="inlineStr">
        <is>
          <t>n.abdyldaeva</t>
        </is>
      </c>
      <c r="P864" s="12" t="inlineStr">
        <is>
          <t>Операция есть в ETM, а акт 1С за этот (или следующий) месяц не выгружен — сначала получить акт</t>
        </is>
      </c>
      <c r="Q864" s="8" t="inlineStr">
        <is>
          <t>57072675,57072655,57072657</t>
        </is>
      </c>
    </row>
    <row r="865">
      <c r="A865" s="8" t="inlineStr">
        <is>
          <t>G13014</t>
        </is>
      </c>
      <c r="B865" s="8" t="inlineStr">
        <is>
          <t>Сатар уулу Санжар</t>
        </is>
      </c>
      <c r="C865" s="8" t="inlineStr">
        <is>
          <t>2459529284|2459529285|2459529287|2459529290</t>
        </is>
      </c>
      <c r="D865" s="8" t="inlineStr">
        <is>
          <t>ETM, акт 1С за месяц не выгружен</t>
        </is>
      </c>
      <c r="E865" s="8" t="inlineStr">
        <is>
          <t>Выгрузка 1С</t>
        </is>
      </c>
      <c r="F865" s="8" t="inlineStr">
        <is>
          <t>B</t>
        </is>
      </c>
      <c r="G865" s="14" t="n">
        <v>0</v>
      </c>
      <c r="H865" s="14" t="n">
        <v>-76372</v>
      </c>
      <c r="I865" s="14" t="n"/>
      <c r="J865" s="14" t="n">
        <v>-76372</v>
      </c>
      <c r="K865" s="21" t="n">
        <v>46188.59015046297</v>
      </c>
      <c r="L865" s="21" t="n"/>
      <c r="M865" s="8" t="inlineStr"/>
      <c r="N865" s="8" t="inlineStr">
        <is>
          <t>Бухгалтер: выгрузить акт</t>
        </is>
      </c>
      <c r="O865" s="8" t="inlineStr"/>
      <c r="P865" s="12" t="inlineStr">
        <is>
          <t>Операция есть в ETM, а акт 1С за этот (или следующий) месяц не выгружен — сначала получить акт</t>
        </is>
      </c>
      <c r="Q865" s="8" t="inlineStr">
        <is>
          <t>57369896</t>
        </is>
      </c>
    </row>
    <row r="866">
      <c r="A866" s="8" t="inlineStr">
        <is>
          <t>G13108</t>
        </is>
      </c>
      <c r="B866" s="8" t="inlineStr">
        <is>
          <t>Сатар уулу Санжар</t>
        </is>
      </c>
      <c r="C866" s="8" t="inlineStr">
        <is>
          <t>2460737161|2460737164|2460737166</t>
        </is>
      </c>
      <c r="D866" s="8" t="inlineStr">
        <is>
          <t>ETM, акт 1С за месяц не выгружен</t>
        </is>
      </c>
      <c r="E866" s="8" t="inlineStr">
        <is>
          <t>Выгрузка 1С</t>
        </is>
      </c>
      <c r="F866" s="8" t="inlineStr">
        <is>
          <t>B</t>
        </is>
      </c>
      <c r="G866" s="14" t="n">
        <v>0</v>
      </c>
      <c r="H866" s="14" t="n">
        <v>-76209</v>
      </c>
      <c r="I866" s="14" t="n"/>
      <c r="J866" s="14" t="n">
        <v>-76209</v>
      </c>
      <c r="K866" s="21" t="n">
        <v>46198.61521990741</v>
      </c>
      <c r="L866" s="21" t="n"/>
      <c r="M866" s="8" t="inlineStr"/>
      <c r="N866" s="8" t="inlineStr">
        <is>
          <t>Бухгалтер: выгрузить акт</t>
        </is>
      </c>
      <c r="O866" s="8" t="inlineStr"/>
      <c r="P866" s="12" t="inlineStr">
        <is>
          <t>Операция есть в ETM, а акт 1С за этот (или следующий) месяц не выгружен — сначала получить акт</t>
        </is>
      </c>
      <c r="Q866" s="8" t="inlineStr">
        <is>
          <t>57400507</t>
        </is>
      </c>
    </row>
    <row r="867">
      <c r="A867" s="8" t="inlineStr">
        <is>
          <t>G12930</t>
        </is>
      </c>
      <c r="B867" s="8" t="inlineStr">
        <is>
          <t>Сатар уулу Санжар</t>
        </is>
      </c>
      <c r="C867" s="8" t="inlineStr">
        <is>
          <t>2420843865|2420843868|2420843871|2420843874</t>
        </is>
      </c>
      <c r="D867" s="8" t="inlineStr">
        <is>
          <t>ETM, акт 1С за месяц не выгружен</t>
        </is>
      </c>
      <c r="E867" s="8" t="inlineStr">
        <is>
          <t>Выгрузка 1С</t>
        </is>
      </c>
      <c r="F867" s="8" t="inlineStr">
        <is>
          <t>B</t>
        </is>
      </c>
      <c r="G867" s="14" t="n">
        <v>0</v>
      </c>
      <c r="H867" s="14" t="n">
        <v>-75547.92</v>
      </c>
      <c r="I867" s="14" t="n">
        <v>75547.9344</v>
      </c>
      <c r="J867" s="14" t="n">
        <v>-75547.92</v>
      </c>
      <c r="K867" s="21" t="n">
        <v>46182.75129629629</v>
      </c>
      <c r="L867" s="21" t="n"/>
      <c r="M867" s="8" t="inlineStr"/>
      <c r="N867" s="8" t="inlineStr">
        <is>
          <t>Бухгалтер: выгрузить акт</t>
        </is>
      </c>
      <c r="O867" s="8" t="inlineStr">
        <is>
          <t>r.sydykov</t>
        </is>
      </c>
      <c r="P867" s="12" t="inlineStr">
        <is>
          <t>Операция есть в ETM, а акт 1С за этот (или следующий) месяц не выгружен — сначала получить акт</t>
        </is>
      </c>
      <c r="Q867" s="8" t="inlineStr">
        <is>
          <t>57353997</t>
        </is>
      </c>
    </row>
    <row r="868">
      <c r="A868" s="8" t="inlineStr">
        <is>
          <t>G14317</t>
        </is>
      </c>
      <c r="B868" s="8" t="inlineStr">
        <is>
          <t>ЧОЛПОН ТУР</t>
        </is>
      </c>
      <c r="C868" s="8" t="inlineStr">
        <is>
          <t>2476316165|2476316166|2476316168|2476316171</t>
        </is>
      </c>
      <c r="D868" s="8" t="inlineStr">
        <is>
          <t>ETM, акт 1С за месяц не выгружен</t>
        </is>
      </c>
      <c r="E868" s="8" t="inlineStr">
        <is>
          <t>Выгрузка 1С</t>
        </is>
      </c>
      <c r="F868" s="8" t="inlineStr">
        <is>
          <t>B</t>
        </is>
      </c>
      <c r="G868" s="14" t="n">
        <v>0</v>
      </c>
      <c r="H868" s="14" t="n">
        <v>-74698.24000000001</v>
      </c>
      <c r="I868" s="14" t="n">
        <v>74698.23999999999</v>
      </c>
      <c r="J868" s="14" t="n">
        <v>-74698.24000000001</v>
      </c>
      <c r="K868" s="21" t="n">
        <v>46100.35893518518</v>
      </c>
      <c r="L868" s="21" t="n"/>
      <c r="M868" s="8" t="inlineStr"/>
      <c r="N868" s="8" t="inlineStr">
        <is>
          <t>Бухгалтер: выгрузить акт</t>
        </is>
      </c>
      <c r="O868" s="8" t="inlineStr">
        <is>
          <t>k.dzhumaev</t>
        </is>
      </c>
      <c r="P868" s="12" t="inlineStr">
        <is>
          <t>Операция есть в ETM, а акт 1С за этот (или следующий) месяц не выгружен — сначала получить акт</t>
        </is>
      </c>
      <c r="Q868" s="8" t="inlineStr">
        <is>
          <t>57157678,57157652,57157732,57157715</t>
        </is>
      </c>
    </row>
    <row r="869">
      <c r="A869" s="8" t="inlineStr">
        <is>
          <t>G07205</t>
        </is>
      </c>
      <c r="B869" s="8" t="inlineStr">
        <is>
          <t>Жибек Эйр</t>
        </is>
      </c>
      <c r="C869" s="8" t="inlineStr">
        <is>
          <t>2420848848|2420848851|2420848854</t>
        </is>
      </c>
      <c r="D869" s="8" t="inlineStr">
        <is>
          <t>ETM, акт 1С за месяц не выгружен</t>
        </is>
      </c>
      <c r="E869" s="8" t="inlineStr">
        <is>
          <t>Выгрузка 1С</t>
        </is>
      </c>
      <c r="F869" s="8" t="inlineStr">
        <is>
          <t>B</t>
        </is>
      </c>
      <c r="G869" s="14" t="n">
        <v>0</v>
      </c>
      <c r="H869" s="14" t="n">
        <v>-73507.23</v>
      </c>
      <c r="I869" s="14" t="n">
        <v>73507.23599999999</v>
      </c>
      <c r="J869" s="14" t="n">
        <v>-73507.23</v>
      </c>
      <c r="K869" s="21" t="n">
        <v>46162.56956018518</v>
      </c>
      <c r="L869" s="21" t="n"/>
      <c r="M869" s="8" t="inlineStr"/>
      <c r="N869" s="8" t="inlineStr">
        <is>
          <t>Бухгалтер: выгрузить акт</t>
        </is>
      </c>
      <c r="O869" s="8" t="inlineStr">
        <is>
          <t>a.toktosunova</t>
        </is>
      </c>
      <c r="P869" s="12" t="inlineStr">
        <is>
          <t>Операция есть в ETM, а акт 1С за этот (или следующий) месяц не выгружен — сначала получить акт</t>
        </is>
      </c>
      <c r="Q869" s="8" t="inlineStr">
        <is>
          <t>57302850,57302898,57302886</t>
        </is>
      </c>
    </row>
    <row r="870">
      <c r="A870" s="8" t="inlineStr">
        <is>
          <t>G09916</t>
        </is>
      </c>
      <c r="B870" s="8" t="inlineStr">
        <is>
          <t>МУРАС ТРИП</t>
        </is>
      </c>
      <c r="C870" s="8" t="inlineStr">
        <is>
          <t>2416946349|2416946351</t>
        </is>
      </c>
      <c r="D870" s="8" t="inlineStr">
        <is>
          <t>ETM, акт 1С за месяц не выгружен</t>
        </is>
      </c>
      <c r="E870" s="8" t="inlineStr">
        <is>
          <t>Выгрузка 1С</t>
        </is>
      </c>
      <c r="F870" s="8" t="inlineStr">
        <is>
          <t>B</t>
        </is>
      </c>
      <c r="G870" s="14" t="n">
        <v>0</v>
      </c>
      <c r="H870" s="14" t="n">
        <v>-72820.39999999999</v>
      </c>
      <c r="I870" s="14" t="n">
        <v>72820.40999999999</v>
      </c>
      <c r="J870" s="14" t="n">
        <v>-72820.39999999999</v>
      </c>
      <c r="K870" s="21" t="n">
        <v>46197.39739583333</v>
      </c>
      <c r="L870" s="21" t="n"/>
      <c r="M870" s="8" t="inlineStr"/>
      <c r="N870" s="8" t="inlineStr">
        <is>
          <t>Бухгалтер: выгрузить акт</t>
        </is>
      </c>
      <c r="O870" s="8" t="inlineStr">
        <is>
          <t>a.toktosunova</t>
        </is>
      </c>
      <c r="P870" s="12" t="inlineStr">
        <is>
          <t>Операция есть в ETM, а акт 1С за этот (или следующий) месяц не выгружен — сначала получить акт</t>
        </is>
      </c>
      <c r="Q870" s="8" t="inlineStr">
        <is>
          <t>57397646,57397610</t>
        </is>
      </c>
    </row>
    <row r="871">
      <c r="A871" s="8" t="inlineStr">
        <is>
          <t>G07399</t>
        </is>
      </c>
      <c r="B871" s="8" t="inlineStr">
        <is>
          <t>Жибек Эйр</t>
        </is>
      </c>
      <c r="C871" s="8" t="inlineStr">
        <is>
          <t>2552670672|2552670675</t>
        </is>
      </c>
      <c r="D871" s="8" t="inlineStr">
        <is>
          <t>ETM, акт 1С за месяц не выгружен</t>
        </is>
      </c>
      <c r="E871" s="8" t="inlineStr">
        <is>
          <t>Выгрузка 1С</t>
        </is>
      </c>
      <c r="F871" s="8" t="inlineStr">
        <is>
          <t>B</t>
        </is>
      </c>
      <c r="G871" s="14" t="n">
        <v>0</v>
      </c>
      <c r="H871" s="14" t="n">
        <v>-72431.08</v>
      </c>
      <c r="I871" s="14" t="n">
        <v>72431.08500000001</v>
      </c>
      <c r="J871" s="14" t="n">
        <v>-72431.08</v>
      </c>
      <c r="K871" s="21" t="n">
        <v>46135.69951388889</v>
      </c>
      <c r="L871" s="21" t="n"/>
      <c r="M871" s="8" t="inlineStr"/>
      <c r="N871" s="8" t="inlineStr">
        <is>
          <t>Бухгалтер: выгрузить акт</t>
        </is>
      </c>
      <c r="O871" s="8" t="inlineStr">
        <is>
          <t>b.isakov</t>
        </is>
      </c>
      <c r="P871" s="12" t="inlineStr">
        <is>
          <t>Операция есть в ETM, а акт 1С за этот (или следующий) месяц не выгружен — сначала получить акт</t>
        </is>
      </c>
      <c r="Q871" s="8" t="inlineStr">
        <is>
          <t>57224646,57224652</t>
        </is>
      </c>
    </row>
    <row r="872">
      <c r="A872" s="8" t="inlineStr">
        <is>
          <t>G09985</t>
        </is>
      </c>
      <c r="B872" s="8" t="inlineStr">
        <is>
          <t>МУРАС ТРИП</t>
        </is>
      </c>
      <c r="C872" s="8" t="inlineStr">
        <is>
          <t>2552669782|2552669783|2552669786</t>
        </is>
      </c>
      <c r="D872" s="8" t="inlineStr">
        <is>
          <t>ETM, акт 1С за месяц не выгружен</t>
        </is>
      </c>
      <c r="E872" s="8" t="inlineStr">
        <is>
          <t>Выгрузка 1С</t>
        </is>
      </c>
      <c r="F872" s="8" t="inlineStr">
        <is>
          <t>B</t>
        </is>
      </c>
      <c r="G872" s="14" t="n">
        <v>0</v>
      </c>
      <c r="H872" s="14" t="n">
        <v>-72390.14999999999</v>
      </c>
      <c r="I872" s="14" t="n">
        <v>72390.14999999999</v>
      </c>
      <c r="J872" s="14" t="n">
        <v>-72390.14999999999</v>
      </c>
      <c r="K872" s="21" t="n">
        <v>46185.41353009259</v>
      </c>
      <c r="L872" s="21" t="n"/>
      <c r="M872" s="8" t="inlineStr"/>
      <c r="N872" s="8" t="inlineStr">
        <is>
          <t>Бухгалтер: выгрузить акт</t>
        </is>
      </c>
      <c r="O872" s="8" t="inlineStr">
        <is>
          <t>e.satarov</t>
        </is>
      </c>
      <c r="P872" s="12" t="inlineStr">
        <is>
          <t>Операция есть в ETM, а акт 1С за этот (или следующий) месяц не выгружен — сначала получить акт</t>
        </is>
      </c>
      <c r="Q872" s="8" t="inlineStr">
        <is>
          <t>57361846,57361877,57361858</t>
        </is>
      </c>
    </row>
    <row r="873">
      <c r="A873" s="8" t="inlineStr">
        <is>
          <t>G06949</t>
        </is>
      </c>
      <c r="B873" s="8" t="inlineStr">
        <is>
          <t>Жибек Авиакасса</t>
        </is>
      </c>
      <c r="C873" s="8" t="inlineStr">
        <is>
          <t>2460734696</t>
        </is>
      </c>
      <c r="D873" s="8" t="inlineStr">
        <is>
          <t>Сумма не сходится</t>
        </is>
      </c>
      <c r="E873" s="8" t="inlineStr">
        <is>
          <t>1С</t>
        </is>
      </c>
      <c r="F873" s="8" t="inlineStr">
        <is>
          <t>B</t>
        </is>
      </c>
      <c r="G873" s="14" t="n">
        <v>91382</v>
      </c>
      <c r="H873" s="14" t="n">
        <v>-19382</v>
      </c>
      <c r="I873" s="14" t="n"/>
      <c r="J873" s="14" t="n">
        <v>72000</v>
      </c>
      <c r="K873" s="21" t="n">
        <v>46135.50118055556</v>
      </c>
      <c r="L873" s="21" t="n">
        <v>46135</v>
      </c>
      <c r="M873" s="8" t="inlineStr">
        <is>
          <t>TRANSPOSITION</t>
        </is>
      </c>
      <c r="N873" s="8" t="inlineStr">
        <is>
          <t>Бухгалтер 1С</t>
        </is>
      </c>
      <c r="O873" s="8" t="inlineStr"/>
      <c r="P873" s="12" t="inlineStr">
        <is>
          <t>Суммы 1С (91,382.00) и ETM (19,382.00) отличаются перестановкой — похоже на ручную опечатку при вводе акта в 1С (гипотеза, подтвердить у бухгалтера)</t>
        </is>
      </c>
      <c r="Q873" s="8" t="inlineStr">
        <is>
          <t>57224112</t>
        </is>
      </c>
    </row>
    <row r="874">
      <c r="A874" s="8" t="inlineStr">
        <is>
          <t>G09014</t>
        </is>
      </c>
      <c r="B874" s="8" t="inlineStr">
        <is>
          <t>ИССЫК ТРИП</t>
        </is>
      </c>
      <c r="C874" s="8" t="inlineStr">
        <is>
          <t>2459528862</t>
        </is>
      </c>
      <c r="D874" s="8" t="inlineStr">
        <is>
          <t>Сумма не сходится</t>
        </is>
      </c>
      <c r="E874" s="8" t="inlineStr">
        <is>
          <t>1С</t>
        </is>
      </c>
      <c r="F874" s="8" t="inlineStr">
        <is>
          <t>B</t>
        </is>
      </c>
      <c r="G874" s="14" t="n">
        <v>91280</v>
      </c>
      <c r="H874" s="14" t="n">
        <v>-19280</v>
      </c>
      <c r="I874" s="14" t="n"/>
      <c r="J874" s="14" t="n">
        <v>72000</v>
      </c>
      <c r="K874" s="21" t="n">
        <v>46178.64113425926</v>
      </c>
      <c r="L874" s="21" t="n">
        <v>46178</v>
      </c>
      <c r="M874" s="8" t="inlineStr">
        <is>
          <t>TRANSPOSITION</t>
        </is>
      </c>
      <c r="N874" s="8" t="inlineStr">
        <is>
          <t>Бухгалтер 1С</t>
        </is>
      </c>
      <c r="O874" s="8" t="inlineStr"/>
      <c r="P874" s="12" t="inlineStr">
        <is>
          <t>Суммы 1С (91,280.00) и ETM (19,280.00) отличаются перестановкой — похоже на ручную опечатку при вводе акта в 1С (гипотеза, подтвердить у бухгалтера)</t>
        </is>
      </c>
      <c r="Q874" s="8" t="inlineStr">
        <is>
          <t>57343775</t>
        </is>
      </c>
    </row>
    <row r="875">
      <c r="A875" s="8" t="inlineStr">
        <is>
          <t>G08135</t>
        </is>
      </c>
      <c r="B875" s="8" t="inlineStr">
        <is>
          <t>ИП Жумабекова Б. Н.</t>
        </is>
      </c>
      <c r="C875" s="8" t="inlineStr">
        <is>
          <t>2416943483|2416943486</t>
        </is>
      </c>
      <c r="D875" s="8" t="inlineStr">
        <is>
          <t>ETM, акт 1С за месяц не выгружен</t>
        </is>
      </c>
      <c r="E875" s="8" t="inlineStr">
        <is>
          <t>Выгрузка 1С</t>
        </is>
      </c>
      <c r="F875" s="8" t="inlineStr">
        <is>
          <t>B</t>
        </is>
      </c>
      <c r="G875" s="14" t="n">
        <v>0</v>
      </c>
      <c r="H875" s="14" t="n">
        <v>-71312.39999999999</v>
      </c>
      <c r="I875" s="14" t="n">
        <v>71312.40000000001</v>
      </c>
      <c r="J875" s="14" t="n">
        <v>-71312.39999999999</v>
      </c>
      <c r="K875" s="21" t="n">
        <v>46154.35202546296</v>
      </c>
      <c r="L875" s="21" t="n"/>
      <c r="M875" s="8" t="inlineStr"/>
      <c r="N875" s="8" t="inlineStr">
        <is>
          <t>Бухгалтер: выгрузить акт</t>
        </is>
      </c>
      <c r="O875" s="8" t="inlineStr">
        <is>
          <t>e.satarov</t>
        </is>
      </c>
      <c r="P875" s="12" t="inlineStr">
        <is>
          <t>Операция есть в ETM, а акт 1С за этот (или следующий) месяц не выгружен — сначала получить акт</t>
        </is>
      </c>
      <c r="Q875" s="8" t="inlineStr">
        <is>
          <t>57276449,57276489</t>
        </is>
      </c>
    </row>
    <row r="876">
      <c r="A876" s="8" t="inlineStr">
        <is>
          <t>G12887</t>
        </is>
      </c>
      <c r="B876" s="8" t="inlineStr">
        <is>
          <t>Сатар уулу Санжар</t>
        </is>
      </c>
      <c r="C876" s="8" t="inlineStr">
        <is>
          <t>2416943879|2416943881</t>
        </is>
      </c>
      <c r="D876" s="8" t="inlineStr">
        <is>
          <t>ETM, акт 1С за месяц не выгружен</t>
        </is>
      </c>
      <c r="E876" s="8" t="inlineStr">
        <is>
          <t>Выгрузка 1С</t>
        </is>
      </c>
      <c r="F876" s="8" t="inlineStr">
        <is>
          <t>B</t>
        </is>
      </c>
      <c r="G876" s="14" t="n">
        <v>0</v>
      </c>
      <c r="H876" s="14" t="n">
        <v>-69807</v>
      </c>
      <c r="I876" s="14" t="n"/>
      <c r="J876" s="14" t="n">
        <v>-69807</v>
      </c>
      <c r="K876" s="21" t="n">
        <v>46119.66315972222</v>
      </c>
      <c r="L876" s="21" t="n"/>
      <c r="M876" s="8" t="inlineStr"/>
      <c r="N876" s="8" t="inlineStr">
        <is>
          <t>Бухгалтер: выгрузить акт</t>
        </is>
      </c>
      <c r="O876" s="8" t="inlineStr">
        <is>
          <t>n.abdyldaeva</t>
        </is>
      </c>
      <c r="P876" s="12" t="inlineStr">
        <is>
          <t>Операция есть в ETM, а акт 1С за этот (или следующий) месяц не выгружен — сначала получить акт</t>
        </is>
      </c>
      <c r="Q876" s="8" t="inlineStr">
        <is>
          <t>57194699</t>
        </is>
      </c>
    </row>
    <row r="877">
      <c r="A877" s="8" t="inlineStr">
        <is>
          <t>G07121</t>
        </is>
      </c>
      <c r="B877" s="8" t="inlineStr">
        <is>
          <t>Жибек Вояж</t>
        </is>
      </c>
      <c r="C877" s="8" t="inlineStr">
        <is>
          <t>2552672499|2552672501</t>
        </is>
      </c>
      <c r="D877" s="8" t="inlineStr">
        <is>
          <t>ETM, акт 1С за месяц не выгружен</t>
        </is>
      </c>
      <c r="E877" s="8" t="inlineStr">
        <is>
          <t>Выгрузка 1С</t>
        </is>
      </c>
      <c r="F877" s="8" t="inlineStr">
        <is>
          <t>B</t>
        </is>
      </c>
      <c r="G877" s="14" t="n">
        <v>0</v>
      </c>
      <c r="H877" s="14" t="n">
        <v>-67751.24000000001</v>
      </c>
      <c r="I877" s="14" t="n">
        <v>67751.24000000001</v>
      </c>
      <c r="J877" s="14" t="n">
        <v>-67751.24000000001</v>
      </c>
      <c r="K877" s="21" t="n">
        <v>46135.8227662037</v>
      </c>
      <c r="L877" s="21" t="n"/>
      <c r="M877" s="8" t="inlineStr"/>
      <c r="N877" s="8" t="inlineStr">
        <is>
          <t>Бухгалтер: выгрузить акт</t>
        </is>
      </c>
      <c r="O877" s="8" t="inlineStr">
        <is>
          <t>d.mambetova</t>
        </is>
      </c>
      <c r="P877" s="12" t="inlineStr">
        <is>
          <t>Операция есть в ETM, а акт 1С за этот (или следующий) месяц не выгружен — сначала получить акт</t>
        </is>
      </c>
      <c r="Q877" s="8" t="inlineStr">
        <is>
          <t>57225344</t>
        </is>
      </c>
    </row>
    <row r="878">
      <c r="A878" s="8" t="inlineStr">
        <is>
          <t>G08208</t>
        </is>
      </c>
      <c r="B878" s="8" t="inlineStr">
        <is>
          <t>ИП Жумабекова Б. Н.</t>
        </is>
      </c>
      <c r="C878" s="8" t="inlineStr">
        <is>
          <t>2476318282|2476318283|2476318284</t>
        </is>
      </c>
      <c r="D878" s="8" t="inlineStr">
        <is>
          <t>ETM, акт 1С за месяц не выгружен</t>
        </is>
      </c>
      <c r="E878" s="8" t="inlineStr">
        <is>
          <t>Выгрузка 1С</t>
        </is>
      </c>
      <c r="F878" s="8" t="inlineStr">
        <is>
          <t>B</t>
        </is>
      </c>
      <c r="G878" s="14" t="n">
        <v>0</v>
      </c>
      <c r="H878" s="14" t="n">
        <v>-67231.62</v>
      </c>
      <c r="I878" s="14" t="n">
        <v>67231.62</v>
      </c>
      <c r="J878" s="14" t="n">
        <v>-67231.62</v>
      </c>
      <c r="K878" s="21" t="n">
        <v>46155.35204861111</v>
      </c>
      <c r="L878" s="21" t="n"/>
      <c r="M878" s="8" t="inlineStr"/>
      <c r="N878" s="8" t="inlineStr">
        <is>
          <t>Бухгалтер: выгрузить акт</t>
        </is>
      </c>
      <c r="O878" s="8" t="inlineStr">
        <is>
          <t>n.abdyldaeva</t>
        </is>
      </c>
      <c r="P878" s="12" t="inlineStr">
        <is>
          <t>Операция есть в ETM, а акт 1С за этот (или следующий) месяц не выгружен — сначала получить акт</t>
        </is>
      </c>
      <c r="Q878" s="8" t="inlineStr">
        <is>
          <t>57280891,57280873,57280857</t>
        </is>
      </c>
    </row>
    <row r="879">
      <c r="A879" s="8" t="inlineStr">
        <is>
          <t>G13188</t>
        </is>
      </c>
      <c r="B879" s="8" t="inlineStr">
        <is>
          <t>Сатар уулу Санжар</t>
        </is>
      </c>
      <c r="C879" s="8" t="inlineStr">
        <is>
          <t>2476314012|2476314013</t>
        </is>
      </c>
      <c r="D879" s="8" t="inlineStr">
        <is>
          <t>ETM, акт 1С за месяц не выгружен</t>
        </is>
      </c>
      <c r="E879" s="8" t="inlineStr">
        <is>
          <t>Выгрузка 1С</t>
        </is>
      </c>
      <c r="F879" s="8" t="inlineStr">
        <is>
          <t>B</t>
        </is>
      </c>
      <c r="G879" s="14" t="n">
        <v>0</v>
      </c>
      <c r="H879" s="14" t="n">
        <v>-66825</v>
      </c>
      <c r="I879" s="14" t="n">
        <v>66825</v>
      </c>
      <c r="J879" s="14" t="n">
        <v>-66825</v>
      </c>
      <c r="K879" s="21" t="n">
        <v>46142.53737268518</v>
      </c>
      <c r="L879" s="21" t="n"/>
      <c r="M879" s="8" t="inlineStr"/>
      <c r="N879" s="8" t="inlineStr">
        <is>
          <t>Бухгалтер: выгрузить акт</t>
        </is>
      </c>
      <c r="O879" s="8" t="inlineStr">
        <is>
          <t>b.isakov</t>
        </is>
      </c>
      <c r="P879" s="12" t="inlineStr">
        <is>
          <t>Операция есть в ETM, а акт 1С за этот (или следующий) месяц не выгружен — сначала получить акт</t>
        </is>
      </c>
      <c r="Q879" s="8" t="inlineStr">
        <is>
          <t>57238777,57238753</t>
        </is>
      </c>
    </row>
    <row r="880">
      <c r="A880" s="8" t="inlineStr">
        <is>
          <t>G08582</t>
        </is>
      </c>
      <c r="B880" s="8" t="inlineStr">
        <is>
          <t>ИП Токтосун кызы Н.</t>
        </is>
      </c>
      <c r="C880" s="8" t="inlineStr">
        <is>
          <t>2460735102|2460735103</t>
        </is>
      </c>
      <c r="D880" s="8" t="inlineStr">
        <is>
          <t>ETM, акт 1С за месяц не выгружен</t>
        </is>
      </c>
      <c r="E880" s="8" t="inlineStr">
        <is>
          <t>Выгрузка 1С</t>
        </is>
      </c>
      <c r="F880" s="8" t="inlineStr">
        <is>
          <t>B</t>
        </is>
      </c>
      <c r="G880" s="14" t="n">
        <v>0</v>
      </c>
      <c r="H880" s="14" t="n">
        <v>-65236</v>
      </c>
      <c r="I880" s="14" t="n">
        <v>65236</v>
      </c>
      <c r="J880" s="14" t="n">
        <v>-65236</v>
      </c>
      <c r="K880" s="21" t="n">
        <v>46068.4419212963</v>
      </c>
      <c r="L880" s="21" t="n"/>
      <c r="M880" s="8" t="inlineStr"/>
      <c r="N880" s="8" t="inlineStr">
        <is>
          <t>Бухгалтер: выгрузить акт</t>
        </is>
      </c>
      <c r="O880" s="8" t="inlineStr">
        <is>
          <t>k.dzhumaev</t>
        </is>
      </c>
      <c r="P880" s="12" t="inlineStr">
        <is>
          <t>Операция есть в ETM, а акт 1С за этот (или следующий) месяц не выгружен — сначала получить акт</t>
        </is>
      </c>
      <c r="Q880" s="8" t="inlineStr">
        <is>
          <t>57091887,57091894</t>
        </is>
      </c>
    </row>
    <row r="881">
      <c r="A881" s="8" t="inlineStr">
        <is>
          <t>G12861</t>
        </is>
      </c>
      <c r="B881" s="8" t="inlineStr">
        <is>
          <t>Сатар уулу Санжар</t>
        </is>
      </c>
      <c r="C881" s="8" t="inlineStr">
        <is>
          <t>2416940785</t>
        </is>
      </c>
      <c r="D881" s="8" t="inlineStr">
        <is>
          <t>ETM, акт 1С за месяц не выгружен</t>
        </is>
      </c>
      <c r="E881" s="8" t="inlineStr">
        <is>
          <t>Выгрузка 1С</t>
        </is>
      </c>
      <c r="F881" s="8" t="inlineStr">
        <is>
          <t>B</t>
        </is>
      </c>
      <c r="G881" s="14" t="n">
        <v>0</v>
      </c>
      <c r="H881" s="14" t="n">
        <v>-65052.2</v>
      </c>
      <c r="I881" s="14" t="n">
        <v>65052.2</v>
      </c>
      <c r="J881" s="14" t="n">
        <v>-65052.2</v>
      </c>
      <c r="K881" s="21" t="n">
        <v>46191.42351851852</v>
      </c>
      <c r="L881" s="21" t="n"/>
      <c r="M881" s="8" t="inlineStr"/>
      <c r="N881" s="8" t="inlineStr">
        <is>
          <t>Бухгалтер: выгрузить акт</t>
        </is>
      </c>
      <c r="O881" s="8" t="inlineStr">
        <is>
          <t>k.dzhumaev</t>
        </is>
      </c>
      <c r="P881" s="12" t="inlineStr">
        <is>
          <t>Операция есть в ETM, а акт 1С за этот (или следующий) месяц не выгружен — сначала получить акт</t>
        </is>
      </c>
      <c r="Q881" s="8" t="inlineStr">
        <is>
          <t>57377546</t>
        </is>
      </c>
    </row>
    <row r="882">
      <c r="A882" s="8" t="inlineStr">
        <is>
          <t>G10636</t>
        </is>
      </c>
      <c r="B882" s="8" t="inlineStr">
        <is>
          <t>Манас Туризм</t>
        </is>
      </c>
      <c r="C882" s="8" t="inlineStr">
        <is>
          <t>2416946110|2416946112</t>
        </is>
      </c>
      <c r="D882" s="8" t="inlineStr">
        <is>
          <t>ETM, акт 1С за месяц не выгружен</t>
        </is>
      </c>
      <c r="E882" s="8" t="inlineStr">
        <is>
          <t>Выгрузка 1С</t>
        </is>
      </c>
      <c r="F882" s="8" t="inlineStr">
        <is>
          <t>B</t>
        </is>
      </c>
      <c r="G882" s="14" t="n">
        <v>0</v>
      </c>
      <c r="H882" s="14" t="n">
        <v>-64870.4</v>
      </c>
      <c r="I882" s="14" t="n">
        <v>64870.39999999999</v>
      </c>
      <c r="J882" s="14" t="n">
        <v>-64870.4</v>
      </c>
      <c r="K882" s="21" t="n">
        <v>46196.52976851852</v>
      </c>
      <c r="L882" s="21" t="n"/>
      <c r="M882" s="8" t="inlineStr"/>
      <c r="N882" s="8" t="inlineStr">
        <is>
          <t>Бухгалтер: выгрузить акт</t>
        </is>
      </c>
      <c r="O882" s="8" t="inlineStr">
        <is>
          <t>b.isakov</t>
        </is>
      </c>
      <c r="P882" s="12" t="inlineStr">
        <is>
          <t>Операция есть в ETM, а акт 1С за этот (или следующий) месяц не выгружен — сначала получить акт</t>
        </is>
      </c>
      <c r="Q882" s="8" t="inlineStr">
        <is>
          <t>57394388</t>
        </is>
      </c>
    </row>
    <row r="883">
      <c r="A883" s="8" t="inlineStr">
        <is>
          <t>G13361</t>
        </is>
      </c>
      <c r="B883" s="8" t="inlineStr">
        <is>
          <t>Сатар уулу Санжар</t>
        </is>
      </c>
      <c r="C883" s="8" t="inlineStr">
        <is>
          <t>2559102353|2559102354</t>
        </is>
      </c>
      <c r="D883" s="8" t="inlineStr">
        <is>
          <t>ETM, акт 1С за месяц не выгружен</t>
        </is>
      </c>
      <c r="E883" s="8" t="inlineStr">
        <is>
          <t>Выгрузка 1С</t>
        </is>
      </c>
      <c r="F883" s="8" t="inlineStr">
        <is>
          <t>B</t>
        </is>
      </c>
      <c r="G883" s="14" t="n">
        <v>0</v>
      </c>
      <c r="H883" s="14" t="n">
        <v>-64665.3</v>
      </c>
      <c r="I883" s="14" t="n">
        <v>64665.3</v>
      </c>
      <c r="J883" s="14" t="n">
        <v>-64665.3</v>
      </c>
      <c r="K883" s="21" t="n">
        <v>46113.78467592593</v>
      </c>
      <c r="L883" s="21" t="n"/>
      <c r="M883" s="8" t="inlineStr"/>
      <c r="N883" s="8" t="inlineStr">
        <is>
          <t>Бухгалтер: выгрузить акт</t>
        </is>
      </c>
      <c r="O883" s="8" t="inlineStr">
        <is>
          <t>k.dzhumaev</t>
        </is>
      </c>
      <c r="P883" s="12" t="inlineStr">
        <is>
          <t>Операция есть в ETM, а акт 1С за этот (или следующий) месяц не выгружен — сначала получить акт</t>
        </is>
      </c>
      <c r="Q883" s="8" t="inlineStr">
        <is>
          <t>57184922</t>
        </is>
      </c>
    </row>
    <row r="884">
      <c r="A884" s="8" t="inlineStr">
        <is>
          <t>G13119</t>
        </is>
      </c>
      <c r="B884" s="8" t="inlineStr">
        <is>
          <t>Сатар уулу Санжар</t>
        </is>
      </c>
      <c r="C884" s="8" t="inlineStr">
        <is>
          <t>2460737984|2460737985|2460737988|2460737989</t>
        </is>
      </c>
      <c r="D884" s="8" t="inlineStr">
        <is>
          <t>ETM, акт 1С за месяц не выгружен</t>
        </is>
      </c>
      <c r="E884" s="8" t="inlineStr">
        <is>
          <t>Выгрузка 1С</t>
        </is>
      </c>
      <c r="F884" s="8" t="inlineStr">
        <is>
          <t>B</t>
        </is>
      </c>
      <c r="G884" s="14" t="n">
        <v>0</v>
      </c>
      <c r="H884" s="14" t="n">
        <v>-64536</v>
      </c>
      <c r="I884" s="14" t="n">
        <v>64536</v>
      </c>
      <c r="J884" s="14" t="n">
        <v>-64536</v>
      </c>
      <c r="K884" s="21" t="n">
        <v>46134.42053240741</v>
      </c>
      <c r="L884" s="21" t="n"/>
      <c r="M884" s="8" t="inlineStr"/>
      <c r="N884" s="8" t="inlineStr">
        <is>
          <t>Бухгалтер: выгрузить акт</t>
        </is>
      </c>
      <c r="O884" s="8" t="inlineStr">
        <is>
          <t>g.omurbekova</t>
        </is>
      </c>
      <c r="P884" s="12" t="inlineStr">
        <is>
          <t>Операция есть в ETM, а акт 1С за этот (или следующий) месяц не выгружен — сначала получить акт</t>
        </is>
      </c>
      <c r="Q884" s="8" t="inlineStr">
        <is>
          <t>57222817,57222802,57222833,57222847</t>
        </is>
      </c>
    </row>
    <row r="885">
      <c r="A885" s="8" t="inlineStr">
        <is>
          <t>G13367</t>
        </is>
      </c>
      <c r="B885" s="8" t="inlineStr">
        <is>
          <t>Сатар уулу Санжар</t>
        </is>
      </c>
      <c r="C885" s="8" t="inlineStr">
        <is>
          <t>2559102809</t>
        </is>
      </c>
      <c r="D885" s="8" t="inlineStr">
        <is>
          <t>ETM, акт 1С за месяц не выгружен</t>
        </is>
      </c>
      <c r="E885" s="8" t="inlineStr">
        <is>
          <t>Выгрузка 1С</t>
        </is>
      </c>
      <c r="F885" s="8" t="inlineStr">
        <is>
          <t>B</t>
        </is>
      </c>
      <c r="G885" s="14" t="n">
        <v>0</v>
      </c>
      <c r="H885" s="14" t="n">
        <v>-64348.86</v>
      </c>
      <c r="I885" s="14" t="n">
        <v>64348.86</v>
      </c>
      <c r="J885" s="14" t="n">
        <v>-64348.86</v>
      </c>
      <c r="K885" s="21" t="n">
        <v>46192.73206018518</v>
      </c>
      <c r="L885" s="21" t="n"/>
      <c r="M885" s="8" t="inlineStr"/>
      <c r="N885" s="8" t="inlineStr">
        <is>
          <t>Бухгалтер: выгрузить акт</t>
        </is>
      </c>
      <c r="O885" s="8" t="inlineStr">
        <is>
          <t>r.sydykov</t>
        </is>
      </c>
      <c r="P885" s="12" t="inlineStr">
        <is>
          <t>Операция есть в ETM, а акт 1С за этот (или следующий) месяц не выгружен — сначала получить акт</t>
        </is>
      </c>
      <c r="Q885" s="8" t="inlineStr">
        <is>
          <t>57381860</t>
        </is>
      </c>
    </row>
    <row r="886">
      <c r="A886" s="8" t="inlineStr">
        <is>
          <t>G09970</t>
        </is>
      </c>
      <c r="B886" s="8" t="inlineStr">
        <is>
          <t>МУРАС ТРИП</t>
        </is>
      </c>
      <c r="C886" s="8" t="inlineStr">
        <is>
          <t>2461886503|2461886506|2461886508|2461886509</t>
        </is>
      </c>
      <c r="D886" s="8" t="inlineStr">
        <is>
          <t>ETM, акт 1С за месяц не выгружен</t>
        </is>
      </c>
      <c r="E886" s="8" t="inlineStr">
        <is>
          <t>Выгрузка 1С</t>
        </is>
      </c>
      <c r="F886" s="8" t="inlineStr">
        <is>
          <t>B</t>
        </is>
      </c>
      <c r="G886" s="14" t="n">
        <v>0</v>
      </c>
      <c r="H886" s="14" t="n">
        <v>-64344</v>
      </c>
      <c r="I886" s="14" t="n">
        <v>64344</v>
      </c>
      <c r="J886" s="14" t="n">
        <v>-64344</v>
      </c>
      <c r="K886" s="21" t="n">
        <v>46192.68225694444</v>
      </c>
      <c r="L886" s="21" t="n"/>
      <c r="M886" s="8" t="inlineStr"/>
      <c r="N886" s="8" t="inlineStr">
        <is>
          <t>Бухгалтер: выгрузить акт</t>
        </is>
      </c>
      <c r="O886" s="8" t="inlineStr">
        <is>
          <t>a.toktosunova</t>
        </is>
      </c>
      <c r="P886" s="12" t="inlineStr">
        <is>
          <t>Операция есть в ETM, а акт 1С за этот (или следующий) месяц не выгружен — сначала получить акт</t>
        </is>
      </c>
      <c r="Q886" s="8" t="inlineStr">
        <is>
          <t>57382415</t>
        </is>
      </c>
    </row>
    <row r="887">
      <c r="A887" s="8" t="inlineStr">
        <is>
          <t>G13573</t>
        </is>
      </c>
      <c r="B887" s="8" t="inlineStr">
        <is>
          <t>Сыдыков С. У.</t>
        </is>
      </c>
      <c r="C887" s="8" t="inlineStr">
        <is>
          <t>2552670312|2552670315|2552670318</t>
        </is>
      </c>
      <c r="D887" s="8" t="inlineStr">
        <is>
          <t>ETM, акт 1С за месяц не выгружен</t>
        </is>
      </c>
      <c r="E887" s="8" t="inlineStr">
        <is>
          <t>Выгрузка 1С</t>
        </is>
      </c>
      <c r="F887" s="8" t="inlineStr">
        <is>
          <t>B</t>
        </is>
      </c>
      <c r="G887" s="14" t="n">
        <v>0</v>
      </c>
      <c r="H887" s="14" t="n">
        <v>-63398.79</v>
      </c>
      <c r="I887" s="14" t="n"/>
      <c r="J887" s="14" t="n">
        <v>-63398.79</v>
      </c>
      <c r="K887" s="21" t="n">
        <v>46165.73884259259</v>
      </c>
      <c r="L887" s="21" t="n"/>
      <c r="M887" s="8" t="inlineStr"/>
      <c r="N887" s="8" t="inlineStr">
        <is>
          <t>Бухгалтер: выгрузить акт</t>
        </is>
      </c>
      <c r="O887" s="8" t="inlineStr"/>
      <c r="P887" s="12" t="inlineStr">
        <is>
          <t>Операция есть в ETM, а акт 1С за этот (или следующий) месяц не выгружен — сначала получить акт</t>
        </is>
      </c>
      <c r="Q887" s="8" t="inlineStr">
        <is>
          <t>57310585</t>
        </is>
      </c>
    </row>
    <row r="888">
      <c r="A888" s="8" t="inlineStr">
        <is>
          <t>G08379</t>
        </is>
      </c>
      <c r="B888" s="8" t="inlineStr">
        <is>
          <t>ИП Муратов Э. У.</t>
        </is>
      </c>
      <c r="C888" s="8" t="inlineStr">
        <is>
          <t>2459530316|2459530318</t>
        </is>
      </c>
      <c r="D888" s="8" t="inlineStr">
        <is>
          <t>ETM, акт 1С за месяц не выгружен</t>
        </is>
      </c>
      <c r="E888" s="8" t="inlineStr">
        <is>
          <t>Выгрузка 1С</t>
        </is>
      </c>
      <c r="F888" s="8" t="inlineStr">
        <is>
          <t>B</t>
        </is>
      </c>
      <c r="G888" s="14" t="n">
        <v>0</v>
      </c>
      <c r="H888" s="14" t="n">
        <v>-63382</v>
      </c>
      <c r="I888" s="14" t="n">
        <v>63382</v>
      </c>
      <c r="J888" s="14" t="n">
        <v>-63382</v>
      </c>
      <c r="K888" s="21" t="n">
        <v>46097.5040625</v>
      </c>
      <c r="L888" s="21" t="n"/>
      <c r="M888" s="8" t="inlineStr"/>
      <c r="N888" s="8" t="inlineStr">
        <is>
          <t>Бухгалтер: выгрузить акт</t>
        </is>
      </c>
      <c r="O888" s="8" t="inlineStr">
        <is>
          <t>a.toktosunova</t>
        </is>
      </c>
      <c r="P888" s="12" t="inlineStr">
        <is>
          <t>Операция есть в ETM, а акт 1С за этот (или следующий) месяц не выгружен — сначала получить акт</t>
        </is>
      </c>
      <c r="Q888" s="8" t="inlineStr">
        <is>
          <t>57152163,57152140</t>
        </is>
      </c>
    </row>
    <row r="889">
      <c r="A889" s="8" t="inlineStr">
        <is>
          <t>G14342</t>
        </is>
      </c>
      <c r="B889" s="8" t="inlineStr">
        <is>
          <t>ЧОЛПОН ТУР</t>
        </is>
      </c>
      <c r="C889" s="8" t="inlineStr">
        <is>
          <t>2559099886</t>
        </is>
      </c>
      <c r="D889" s="8" t="inlineStr">
        <is>
          <t>ETM, акт 1С за месяц не выгружен</t>
        </is>
      </c>
      <c r="E889" s="8" t="inlineStr">
        <is>
          <t>Выгрузка 1С</t>
        </is>
      </c>
      <c r="F889" s="8" t="inlineStr">
        <is>
          <t>B</t>
        </is>
      </c>
      <c r="G889" s="14" t="n">
        <v>0</v>
      </c>
      <c r="H889" s="14" t="n">
        <v>-62953</v>
      </c>
      <c r="I889" s="14" t="n"/>
      <c r="J889" s="14" t="n">
        <v>-62953</v>
      </c>
      <c r="K889" s="21" t="n">
        <v>46094.36391203704</v>
      </c>
      <c r="L889" s="21" t="n"/>
      <c r="M889" s="8" t="inlineStr"/>
      <c r="N889" s="8" t="inlineStr">
        <is>
          <t>Бухгалтер: выгрузить акт</t>
        </is>
      </c>
      <c r="O889" s="8" t="inlineStr"/>
      <c r="P889" s="12" t="inlineStr">
        <is>
          <t>Операция есть в ETM, а акт 1С за этот (или следующий) месяц не выгружен — сначала получить акт</t>
        </is>
      </c>
      <c r="Q889" s="8" t="inlineStr">
        <is>
          <t>57144925</t>
        </is>
      </c>
    </row>
    <row r="890">
      <c r="A890" s="8" t="inlineStr">
        <is>
          <t>G13322</t>
        </is>
      </c>
      <c r="B890" s="8" t="inlineStr">
        <is>
          <t>Сатар уулу Санжар</t>
        </is>
      </c>
      <c r="C890" s="8" t="inlineStr">
        <is>
          <t>2559098849</t>
        </is>
      </c>
      <c r="D890" s="8" t="inlineStr">
        <is>
          <t>ETM, акт 1С за месяц не выгружен</t>
        </is>
      </c>
      <c r="E890" s="8" t="inlineStr">
        <is>
          <t>Выгрузка 1С</t>
        </is>
      </c>
      <c r="F890" s="8" t="inlineStr">
        <is>
          <t>B</t>
        </is>
      </c>
      <c r="G890" s="14" t="n">
        <v>0</v>
      </c>
      <c r="H890" s="14" t="n">
        <v>-62797.16</v>
      </c>
      <c r="I890" s="14" t="n"/>
      <c r="J890" s="14" t="n">
        <v>-62797.16</v>
      </c>
      <c r="K890" s="21" t="n">
        <v>46127.42944444445</v>
      </c>
      <c r="L890" s="21" t="n"/>
      <c r="M890" s="8" t="inlineStr"/>
      <c r="N890" s="8" t="inlineStr">
        <is>
          <t>Бухгалтер: выгрузить акт</t>
        </is>
      </c>
      <c r="O890" s="8" t="inlineStr"/>
      <c r="P890" s="12" t="inlineStr">
        <is>
          <t>Операция есть в ETM, а акт 1С за этот (или следующий) месяц не выгружен — сначала получить акт</t>
        </is>
      </c>
      <c r="Q890" s="8" t="inlineStr">
        <is>
          <t>57208554</t>
        </is>
      </c>
    </row>
    <row r="891">
      <c r="A891" s="8" t="inlineStr">
        <is>
          <t>G10692</t>
        </is>
      </c>
      <c r="B891" s="8" t="inlineStr">
        <is>
          <t>Манас Туризм</t>
        </is>
      </c>
      <c r="C891" s="8" t="inlineStr">
        <is>
          <t>2552667424|2552667425</t>
        </is>
      </c>
      <c r="D891" s="8" t="inlineStr">
        <is>
          <t>ETM, акт 1С за месяц не выгружен</t>
        </is>
      </c>
      <c r="E891" s="8" t="inlineStr">
        <is>
          <t>Выгрузка 1С</t>
        </is>
      </c>
      <c r="F891" s="8" t="inlineStr">
        <is>
          <t>B</t>
        </is>
      </c>
      <c r="G891" s="14" t="n">
        <v>0</v>
      </c>
      <c r="H891" s="14" t="n">
        <v>-62538.92</v>
      </c>
      <c r="I891" s="14" t="n">
        <v>62538.92</v>
      </c>
      <c r="J891" s="14" t="n">
        <v>-62538.92</v>
      </c>
      <c r="K891" s="21" t="n">
        <v>46176.67284722222</v>
      </c>
      <c r="L891" s="21" t="n"/>
      <c r="M891" s="8" t="inlineStr"/>
      <c r="N891" s="8" t="inlineStr">
        <is>
          <t>Бухгалтер: выгрузить акт</t>
        </is>
      </c>
      <c r="O891" s="8" t="inlineStr">
        <is>
          <t>r.sydykov</t>
        </is>
      </c>
      <c r="P891" s="12" t="inlineStr">
        <is>
          <t>Операция есть в ETM, а акт 1С за этот (или следующий) месяц не выгружен — сначала получить акт</t>
        </is>
      </c>
      <c r="Q891" s="8" t="inlineStr">
        <is>
          <t>57338030,57338051</t>
        </is>
      </c>
    </row>
    <row r="892">
      <c r="A892" s="8" t="inlineStr">
        <is>
          <t>G14496</t>
        </is>
      </c>
      <c r="B892" s="8" t="inlineStr">
        <is>
          <t>Чолпон Тревел</t>
        </is>
      </c>
      <c r="C892" s="8" t="inlineStr">
        <is>
          <t>2476318446|2476318449|2476318451|2476318452</t>
        </is>
      </c>
      <c r="D892" s="8" t="inlineStr">
        <is>
          <t>ETM, акт 1С за месяц не выгружен</t>
        </is>
      </c>
      <c r="E892" s="8" t="inlineStr">
        <is>
          <t>Выгрузка 1С</t>
        </is>
      </c>
      <c r="F892" s="8" t="inlineStr">
        <is>
          <t>B</t>
        </is>
      </c>
      <c r="G892" s="14" t="n">
        <v>0</v>
      </c>
      <c r="H892" s="14" t="n">
        <v>-62134.8</v>
      </c>
      <c r="I892" s="14" t="n">
        <v>62134.8</v>
      </c>
      <c r="J892" s="14" t="n">
        <v>-62134.8</v>
      </c>
      <c r="K892" s="21" t="n">
        <v>46154.48112268518</v>
      </c>
      <c r="L892" s="21" t="n"/>
      <c r="M892" s="8" t="inlineStr"/>
      <c r="N892" s="8" t="inlineStr">
        <is>
          <t>Бухгалтер: выгрузить акт</t>
        </is>
      </c>
      <c r="O892" s="8" t="inlineStr">
        <is>
          <t>a.toktosunova</t>
        </is>
      </c>
      <c r="P892" s="12" t="inlineStr">
        <is>
          <t>Операция есть в ETM, а акт 1С за этот (или следующий) месяц не выгружен — сначала получить акт</t>
        </is>
      </c>
      <c r="Q892" s="8" t="inlineStr">
        <is>
          <t>57277090,57277061,57277095,57277064</t>
        </is>
      </c>
    </row>
    <row r="893">
      <c r="A893" s="8" t="inlineStr">
        <is>
          <t>G13320</t>
        </is>
      </c>
      <c r="B893" s="8" t="inlineStr">
        <is>
          <t>Сатар уулу Санжар</t>
        </is>
      </c>
      <c r="C893" s="8" t="inlineStr">
        <is>
          <t>2559098556|2559098557</t>
        </is>
      </c>
      <c r="D893" s="8" t="inlineStr">
        <is>
          <t>ETM, акт 1С за месяц не выгружен</t>
        </is>
      </c>
      <c r="E893" s="8" t="inlineStr">
        <is>
          <t>Выгрузка 1С</t>
        </is>
      </c>
      <c r="F893" s="8" t="inlineStr">
        <is>
          <t>B</t>
        </is>
      </c>
      <c r="G893" s="14" t="n">
        <v>0</v>
      </c>
      <c r="H893" s="14" t="n">
        <v>-62129.66</v>
      </c>
      <c r="I893" s="14" t="n">
        <v>62129.67</v>
      </c>
      <c r="J893" s="14" t="n">
        <v>-62129.66</v>
      </c>
      <c r="K893" s="21" t="n">
        <v>46116.5658912037</v>
      </c>
      <c r="L893" s="21" t="n"/>
      <c r="M893" s="8" t="inlineStr"/>
      <c r="N893" s="8" t="inlineStr">
        <is>
          <t>Бухгалтер: выгрузить акт</t>
        </is>
      </c>
      <c r="O893" s="8" t="inlineStr">
        <is>
          <t>b.isakov</t>
        </is>
      </c>
      <c r="P893" s="12" t="inlineStr">
        <is>
          <t>Операция есть в ETM, а акт 1С за этот (или следующий) месяц не выгружен — сначала получить акт</t>
        </is>
      </c>
      <c r="Q893" s="8" t="inlineStr">
        <is>
          <t>57189542,57189524</t>
        </is>
      </c>
    </row>
    <row r="894">
      <c r="A894" s="8" t="inlineStr">
        <is>
          <t>G09262</t>
        </is>
      </c>
      <c r="B894" s="8" t="inlineStr">
        <is>
          <t>ИССЫК ТРИП</t>
        </is>
      </c>
      <c r="C894" s="8" t="inlineStr">
        <is>
          <t>2552667687</t>
        </is>
      </c>
      <c r="D894" s="8" t="inlineStr">
        <is>
          <t>ETM, акт 1С за месяц не выгружен</t>
        </is>
      </c>
      <c r="E894" s="8" t="inlineStr">
        <is>
          <t>Выгрузка 1С</t>
        </is>
      </c>
      <c r="F894" s="8" t="inlineStr">
        <is>
          <t>B</t>
        </is>
      </c>
      <c r="G894" s="14" t="n">
        <v>0</v>
      </c>
      <c r="H894" s="14" t="n">
        <v>-61679.03</v>
      </c>
      <c r="I894" s="14" t="n"/>
      <c r="J894" s="14" t="n">
        <v>-61679.03</v>
      </c>
      <c r="K894" s="21" t="n">
        <v>46076.38431712963</v>
      </c>
      <c r="L894" s="21" t="n"/>
      <c r="M894" s="8" t="inlineStr"/>
      <c r="N894" s="8" t="inlineStr">
        <is>
          <t>Бухгалтер: выгрузить акт</t>
        </is>
      </c>
      <c r="O894" s="8" t="inlineStr"/>
      <c r="P894" s="12" t="inlineStr">
        <is>
          <t>Операция есть в ETM, а акт 1С за этот (или следующий) месяц не выгружен — сначала получить акт</t>
        </is>
      </c>
      <c r="Q894" s="8" t="inlineStr">
        <is>
          <t>57104278</t>
        </is>
      </c>
    </row>
    <row r="895">
      <c r="A895" s="8" t="inlineStr">
        <is>
          <t>G07179</t>
        </is>
      </c>
      <c r="B895" s="8" t="inlineStr">
        <is>
          <t>Жибек Эйр</t>
        </is>
      </c>
      <c r="C895" s="8" t="inlineStr">
        <is>
          <t>2420844314|2420844316|2420844319|2420844321</t>
        </is>
      </c>
      <c r="D895" s="8" t="inlineStr">
        <is>
          <t>ETM, акт 1С за месяц не выгружен</t>
        </is>
      </c>
      <c r="E895" s="8" t="inlineStr">
        <is>
          <t>Выгрузка 1С</t>
        </is>
      </c>
      <c r="F895" s="8" t="inlineStr">
        <is>
          <t>B</t>
        </is>
      </c>
      <c r="G895" s="14" t="n">
        <v>0</v>
      </c>
      <c r="H895" s="14" t="n">
        <v>-61591.92</v>
      </c>
      <c r="I895" s="14" t="n">
        <v>61591.9296</v>
      </c>
      <c r="J895" s="14" t="n">
        <v>-61591.92</v>
      </c>
      <c r="K895" s="21" t="n">
        <v>46121.42575231481</v>
      </c>
      <c r="L895" s="21" t="n"/>
      <c r="M895" s="8" t="inlineStr"/>
      <c r="N895" s="8" t="inlineStr">
        <is>
          <t>Бухгалтер: выгрузить акт</t>
        </is>
      </c>
      <c r="O895" s="8" t="inlineStr">
        <is>
          <t>b.isakov</t>
        </is>
      </c>
      <c r="P895" s="12" t="inlineStr">
        <is>
          <t>Операция есть в ETM, а акт 1С за этот (или следующий) месяц не выгружен — сначала получить акт</t>
        </is>
      </c>
      <c r="Q895" s="8" t="inlineStr">
        <is>
          <t>57198365,57198354,57198345,57198372</t>
        </is>
      </c>
    </row>
    <row r="896">
      <c r="A896" s="8" t="inlineStr">
        <is>
          <t>G07499</t>
        </is>
      </c>
      <c r="B896" s="8" t="inlineStr">
        <is>
          <t>Жолчу кызы А.</t>
        </is>
      </c>
      <c r="C896" s="8" t="inlineStr">
        <is>
          <t>2460733028|2460733031|2460733033</t>
        </is>
      </c>
      <c r="D896" s="8" t="inlineStr">
        <is>
          <t>ETM, акт 1С за месяц не выгружен</t>
        </is>
      </c>
      <c r="E896" s="8" t="inlineStr">
        <is>
          <t>Выгрузка 1С</t>
        </is>
      </c>
      <c r="F896" s="8" t="inlineStr">
        <is>
          <t>B</t>
        </is>
      </c>
      <c r="G896" s="14" t="n">
        <v>0</v>
      </c>
      <c r="H896" s="14" t="n">
        <v>-61500</v>
      </c>
      <c r="I896" s="14" t="n">
        <v>61500</v>
      </c>
      <c r="J896" s="14" t="n">
        <v>-61500</v>
      </c>
      <c r="K896" s="21" t="n">
        <v>46179.44863425926</v>
      </c>
      <c r="L896" s="21" t="n"/>
      <c r="M896" s="8" t="inlineStr"/>
      <c r="N896" s="8" t="inlineStr">
        <is>
          <t>Бухгалтер: выгрузить акт</t>
        </is>
      </c>
      <c r="O896" s="8" t="inlineStr">
        <is>
          <t>n.abdyldaeva</t>
        </is>
      </c>
      <c r="P896" s="12" t="inlineStr">
        <is>
          <t>Операция есть в ETM, а акт 1С за этот (или следующий) месяц не выгружен — сначала получить акт</t>
        </is>
      </c>
      <c r="Q896" s="8" t="inlineStr">
        <is>
          <t>57345728,57345713,57345675</t>
        </is>
      </c>
    </row>
    <row r="897">
      <c r="A897" s="8" t="inlineStr">
        <is>
          <t>G13985</t>
        </is>
      </c>
      <c r="B897" s="8" t="inlineStr">
        <is>
          <t>Тянь-Шань Тур</t>
        </is>
      </c>
      <c r="C897" s="8" t="inlineStr">
        <is>
          <t>2416945962</t>
        </is>
      </c>
      <c r="D897" s="8" t="inlineStr">
        <is>
          <t>ETM, акт 1С за месяц не выгружен</t>
        </is>
      </c>
      <c r="E897" s="8" t="inlineStr">
        <is>
          <t>Выгрузка 1С</t>
        </is>
      </c>
      <c r="F897" s="8" t="inlineStr">
        <is>
          <t>B</t>
        </is>
      </c>
      <c r="G897" s="14" t="n">
        <v>0</v>
      </c>
      <c r="H897" s="14" t="n">
        <v>-60663.95</v>
      </c>
      <c r="I897" s="14" t="n">
        <v>60663.94500000001</v>
      </c>
      <c r="J897" s="14" t="n">
        <v>-60663.95</v>
      </c>
      <c r="K897" s="21" t="n">
        <v>46163.40454861111</v>
      </c>
      <c r="L897" s="21" t="n"/>
      <c r="M897" s="8" t="inlineStr"/>
      <c r="N897" s="8" t="inlineStr">
        <is>
          <t>Бухгалтер: выгрузить акт</t>
        </is>
      </c>
      <c r="O897" s="8" t="inlineStr">
        <is>
          <t>e.satarov</t>
        </is>
      </c>
      <c r="P897" s="12" t="inlineStr">
        <is>
          <t>Операция есть в ETM, а акт 1С за этот (или следующий) месяц не выгружен — сначала получить акт</t>
        </is>
      </c>
      <c r="Q897" s="8" t="inlineStr">
        <is>
          <t>57305787</t>
        </is>
      </c>
    </row>
    <row r="898">
      <c r="A898" s="8" t="inlineStr">
        <is>
          <t>G10637</t>
        </is>
      </c>
      <c r="B898" s="8" t="inlineStr">
        <is>
          <t>Манас Туризм</t>
        </is>
      </c>
      <c r="C898" s="8" t="inlineStr">
        <is>
          <t>2420843476|2420843477</t>
        </is>
      </c>
      <c r="D898" s="8" t="inlineStr">
        <is>
          <t>ETM, акт 1С за месяц не выгружен</t>
        </is>
      </c>
      <c r="E898" s="8" t="inlineStr">
        <is>
          <t>Выгрузка 1С</t>
        </is>
      </c>
      <c r="F898" s="8" t="inlineStr">
        <is>
          <t>B</t>
        </is>
      </c>
      <c r="G898" s="14" t="n">
        <v>0</v>
      </c>
      <c r="H898" s="14" t="n">
        <v>-60446.64</v>
      </c>
      <c r="I898" s="14" t="n">
        <v>60446.6344</v>
      </c>
      <c r="J898" s="14" t="n">
        <v>-60446.64</v>
      </c>
      <c r="K898" s="21" t="n">
        <v>46202.72686342592</v>
      </c>
      <c r="L898" s="21" t="n"/>
      <c r="M898" s="8" t="inlineStr"/>
      <c r="N898" s="8" t="inlineStr">
        <is>
          <t>Бухгалтер: выгрузить акт</t>
        </is>
      </c>
      <c r="O898" s="8" t="inlineStr">
        <is>
          <t>g.omurbekova</t>
        </is>
      </c>
      <c r="P898" s="12" t="inlineStr">
        <is>
          <t>Операция есть в ETM, а акт 1С за этот (или следующий) месяц не выгружен — сначала получить акт</t>
        </is>
      </c>
      <c r="Q898" s="8" t="inlineStr">
        <is>
          <t>57410799</t>
        </is>
      </c>
    </row>
    <row r="899">
      <c r="A899" s="8" t="inlineStr">
        <is>
          <t>G08684</t>
        </is>
      </c>
      <c r="B899" s="8" t="inlineStr">
        <is>
          <t>ИП Токтосун кызы Н.</t>
        </is>
      </c>
      <c r="C899" s="8" t="inlineStr">
        <is>
          <t>2552671039</t>
        </is>
      </c>
      <c r="D899" s="8" t="inlineStr">
        <is>
          <t>ETM, акт 1С за месяц не выгружен</t>
        </is>
      </c>
      <c r="E899" s="8" t="inlineStr">
        <is>
          <t>Выгрузка 1С</t>
        </is>
      </c>
      <c r="F899" s="8" t="inlineStr">
        <is>
          <t>B</t>
        </is>
      </c>
      <c r="G899" s="14" t="n">
        <v>0</v>
      </c>
      <c r="H899" s="14" t="n">
        <v>-60280.76</v>
      </c>
      <c r="I899" s="14" t="n"/>
      <c r="J899" s="14" t="n">
        <v>-60280.76</v>
      </c>
      <c r="K899" s="21" t="n">
        <v>46079.42547453703</v>
      </c>
      <c r="L899" s="21" t="n"/>
      <c r="M899" s="8" t="inlineStr"/>
      <c r="N899" s="8" t="inlineStr">
        <is>
          <t>Бухгалтер: выгрузить акт</t>
        </is>
      </c>
      <c r="O899" s="8" t="inlineStr"/>
      <c r="P899" s="12" t="inlineStr">
        <is>
          <t>Операция есть в ETM, а акт 1С за этот (или следующий) месяц не выгружен — сначала получить акт</t>
        </is>
      </c>
      <c r="Q899" s="8" t="inlineStr">
        <is>
          <t>57110756</t>
        </is>
      </c>
    </row>
    <row r="900">
      <c r="A900" s="8" t="inlineStr">
        <is>
          <t>G12992</t>
        </is>
      </c>
      <c r="B900" s="8" t="inlineStr">
        <is>
          <t>Сатар уулу Санжар</t>
        </is>
      </c>
      <c r="C900" s="8" t="inlineStr">
        <is>
          <t>2459526820|2459526822|2459526824</t>
        </is>
      </c>
      <c r="D900" s="8" t="inlineStr">
        <is>
          <t>ETM, акт 1С за месяц не выгружен</t>
        </is>
      </c>
      <c r="E900" s="8" t="inlineStr">
        <is>
          <t>Выгрузка 1С</t>
        </is>
      </c>
      <c r="F900" s="8" t="inlineStr">
        <is>
          <t>B</t>
        </is>
      </c>
      <c r="G900" s="14" t="n">
        <v>0</v>
      </c>
      <c r="H900" s="14" t="n">
        <v>-60279</v>
      </c>
      <c r="I900" s="14" t="n">
        <v>60279</v>
      </c>
      <c r="J900" s="14" t="n">
        <v>-60279</v>
      </c>
      <c r="K900" s="21" t="n">
        <v>46133.39693287037</v>
      </c>
      <c r="L900" s="21" t="n"/>
      <c r="M900" s="8" t="inlineStr"/>
      <c r="N900" s="8" t="inlineStr">
        <is>
          <t>Бухгалтер: выгрузить акт</t>
        </is>
      </c>
      <c r="O900" s="8" t="inlineStr">
        <is>
          <t>n.abdyldaeva</t>
        </is>
      </c>
      <c r="P900" s="12" t="inlineStr">
        <is>
          <t>Операция есть в ETM, а акт 1С за этот (или следующий) месяц не выгружен — сначала получить акт</t>
        </is>
      </c>
      <c r="Q900" s="8" t="inlineStr">
        <is>
          <t>57219189,57219250,57219223</t>
        </is>
      </c>
    </row>
    <row r="901">
      <c r="A901" s="8" t="inlineStr">
        <is>
          <t>G07424</t>
        </is>
      </c>
      <c r="B901" s="8" t="inlineStr">
        <is>
          <t>Жибек Эйр</t>
        </is>
      </c>
      <c r="C901" s="8" t="inlineStr">
        <is>
          <t>2559099959</t>
        </is>
      </c>
      <c r="D901" s="8" t="inlineStr">
        <is>
          <t>ETM, акт 1С за месяц не выгружен</t>
        </is>
      </c>
      <c r="E901" s="8" t="inlineStr">
        <is>
          <t>Выгрузка 1С</t>
        </is>
      </c>
      <c r="F901" s="8" t="inlineStr">
        <is>
          <t>B</t>
        </is>
      </c>
      <c r="G901" s="14" t="n">
        <v>0</v>
      </c>
      <c r="H901" s="14" t="n">
        <v>-60181.25</v>
      </c>
      <c r="I901" s="14" t="n"/>
      <c r="J901" s="14" t="n">
        <v>-60181.25</v>
      </c>
      <c r="K901" s="21" t="n">
        <v>46126.39</v>
      </c>
      <c r="L901" s="21" t="n"/>
      <c r="M901" s="8" t="inlineStr"/>
      <c r="N901" s="8" t="inlineStr">
        <is>
          <t>Бухгалтер: выгрузить акт</t>
        </is>
      </c>
      <c r="O901" s="8" t="inlineStr"/>
      <c r="P901" s="12" t="inlineStr">
        <is>
          <t>Операция есть в ETM, а акт 1С за этот (или следующий) месяц не выгружен — сначала получить акт</t>
        </is>
      </c>
      <c r="Q901" s="8" t="inlineStr">
        <is>
          <t>57206827</t>
        </is>
      </c>
    </row>
    <row r="902">
      <c r="A902" s="8" t="inlineStr">
        <is>
          <t>G08130</t>
        </is>
      </c>
      <c r="B902" s="8" t="inlineStr">
        <is>
          <t>ИП Жумабекова Б. Н.</t>
        </is>
      </c>
      <c r="C902" s="8" t="inlineStr">
        <is>
          <t>2416942427</t>
        </is>
      </c>
      <c r="D902" s="8" t="inlineStr">
        <is>
          <t>ETM, акт 1С за месяц не выгружен</t>
        </is>
      </c>
      <c r="E902" s="8" t="inlineStr">
        <is>
          <t>Выгрузка 1С</t>
        </is>
      </c>
      <c r="F902" s="8" t="inlineStr">
        <is>
          <t>B</t>
        </is>
      </c>
      <c r="G902" s="14" t="n">
        <v>0</v>
      </c>
      <c r="H902" s="14" t="n">
        <v>-59958.56</v>
      </c>
      <c r="I902" s="14" t="n"/>
      <c r="J902" s="14" t="n">
        <v>-59958.56</v>
      </c>
      <c r="K902" s="21" t="n">
        <v>46161.7002662037</v>
      </c>
      <c r="L902" s="21" t="n"/>
      <c r="M902" s="8" t="inlineStr"/>
      <c r="N902" s="8" t="inlineStr">
        <is>
          <t>Бухгалтер: выгрузить акт</t>
        </is>
      </c>
      <c r="O902" s="8" t="inlineStr"/>
      <c r="P902" s="12" t="inlineStr">
        <is>
          <t>Операция есть в ETM, а акт 1С за этот (или следующий) месяц не выгружен — сначала получить акт</t>
        </is>
      </c>
      <c r="Q902" s="8" t="inlineStr">
        <is>
          <t>57297948</t>
        </is>
      </c>
    </row>
    <row r="903">
      <c r="A903" s="8" t="inlineStr">
        <is>
          <t>G08131</t>
        </is>
      </c>
      <c r="B903" s="8" t="inlineStr">
        <is>
          <t>ИП Жумабекова Б. Н.</t>
        </is>
      </c>
      <c r="C903" s="8" t="inlineStr">
        <is>
          <t>2416942428</t>
        </is>
      </c>
      <c r="D903" s="8" t="inlineStr">
        <is>
          <t>ETM, акт 1С за месяц не выгружен</t>
        </is>
      </c>
      <c r="E903" s="8" t="inlineStr">
        <is>
          <t>Выгрузка 1С</t>
        </is>
      </c>
      <c r="F903" s="8" t="inlineStr">
        <is>
          <t>B</t>
        </is>
      </c>
      <c r="G903" s="14" t="n">
        <v>0</v>
      </c>
      <c r="H903" s="14" t="n">
        <v>-59958.56</v>
      </c>
      <c r="I903" s="14" t="n"/>
      <c r="J903" s="14" t="n">
        <v>-59958.56</v>
      </c>
      <c r="K903" s="21" t="n">
        <v>46161.40247685185</v>
      </c>
      <c r="L903" s="21" t="n"/>
      <c r="M903" s="8" t="inlineStr"/>
      <c r="N903" s="8" t="inlineStr">
        <is>
          <t>Бухгалтер: выгрузить акт</t>
        </is>
      </c>
      <c r="O903" s="8" t="inlineStr"/>
      <c r="P903" s="12" t="inlineStr">
        <is>
          <t>Операция есть в ETM, а акт 1С за этот (или следующий) месяц не выгружен — сначала получить акт</t>
        </is>
      </c>
      <c r="Q903" s="8" t="inlineStr">
        <is>
          <t>57297965</t>
        </is>
      </c>
    </row>
    <row r="904">
      <c r="A904" s="8" t="inlineStr">
        <is>
          <t>G13075</t>
        </is>
      </c>
      <c r="B904" s="8" t="inlineStr">
        <is>
          <t>Сатар уулу Санжар</t>
        </is>
      </c>
      <c r="C904" s="8" t="inlineStr">
        <is>
          <t>2460733428|2460733429|2460733430</t>
        </is>
      </c>
      <c r="D904" s="8" t="inlineStr">
        <is>
          <t>ETM, акт 1С за месяц не выгружен</t>
        </is>
      </c>
      <c r="E904" s="8" t="inlineStr">
        <is>
          <t>Выгрузка 1С</t>
        </is>
      </c>
      <c r="F904" s="8" t="inlineStr">
        <is>
          <t>B</t>
        </is>
      </c>
      <c r="G904" s="14" t="n">
        <v>0</v>
      </c>
      <c r="H904" s="14" t="n">
        <v>-59205</v>
      </c>
      <c r="I904" s="14" t="n">
        <v>59205</v>
      </c>
      <c r="J904" s="14" t="n">
        <v>-59205</v>
      </c>
      <c r="K904" s="21" t="n">
        <v>46196.36240740741</v>
      </c>
      <c r="L904" s="21" t="n"/>
      <c r="M904" s="8" t="inlineStr"/>
      <c r="N904" s="8" t="inlineStr">
        <is>
          <t>Бухгалтер: выгрузить акт</t>
        </is>
      </c>
      <c r="O904" s="8" t="inlineStr">
        <is>
          <t>r.sydykov</t>
        </is>
      </c>
      <c r="P904" s="12" t="inlineStr">
        <is>
          <t>Операция есть в ETM, а акт 1С за этот (или следующий) месяц не выгружен — сначала получить акт</t>
        </is>
      </c>
      <c r="Q904" s="8" t="inlineStr">
        <is>
          <t>57391912,57391880,57391888</t>
        </is>
      </c>
    </row>
    <row r="905">
      <c r="A905" s="8" t="inlineStr">
        <is>
          <t>G13010</t>
        </is>
      </c>
      <c r="B905" s="8" t="inlineStr">
        <is>
          <t>Сатар уулу Санжар</t>
        </is>
      </c>
      <c r="C905" s="8" t="inlineStr">
        <is>
          <t>2459528829|2459528830|2459528832</t>
        </is>
      </c>
      <c r="D905" s="8" t="inlineStr">
        <is>
          <t>ETM, акт 1С за месяц не выгружен</t>
        </is>
      </c>
      <c r="E905" s="8" t="inlineStr">
        <is>
          <t>Выгрузка 1С</t>
        </is>
      </c>
      <c r="F905" s="8" t="inlineStr">
        <is>
          <t>B</t>
        </is>
      </c>
      <c r="G905" s="14" t="n">
        <v>0</v>
      </c>
      <c r="H905" s="14" t="n">
        <v>-58860</v>
      </c>
      <c r="I905" s="14" t="n">
        <v>58860</v>
      </c>
      <c r="J905" s="14" t="n">
        <v>-58860</v>
      </c>
      <c r="K905" s="21" t="n">
        <v>46185.60256944445</v>
      </c>
      <c r="L905" s="21" t="n"/>
      <c r="M905" s="8" t="inlineStr"/>
      <c r="N905" s="8" t="inlineStr">
        <is>
          <t>Бухгалтер: выгрузить акт</t>
        </is>
      </c>
      <c r="O905" s="8" t="inlineStr">
        <is>
          <t>g.omurbekova</t>
        </is>
      </c>
      <c r="P905" s="12" t="inlineStr">
        <is>
          <t>Операция есть в ETM, а акт 1С за этот (или следующий) месяц не выгружен — сначала получить акт</t>
        </is>
      </c>
      <c r="Q905" s="8" t="inlineStr">
        <is>
          <t>57361748,57361732,57361711</t>
        </is>
      </c>
    </row>
    <row r="906">
      <c r="A906" s="8" t="inlineStr">
        <is>
          <t>G09316</t>
        </is>
      </c>
      <c r="B906" s="8" t="inlineStr">
        <is>
          <t>ИССЫК ТРИП</t>
        </is>
      </c>
      <c r="C906" s="8" t="inlineStr">
        <is>
          <t>2552672428</t>
        </is>
      </c>
      <c r="D906" s="8" t="inlineStr">
        <is>
          <t>ETM, акт 1С за месяц не выгружен</t>
        </is>
      </c>
      <c r="E906" s="8" t="inlineStr">
        <is>
          <t>Выгрузка 1С</t>
        </is>
      </c>
      <c r="F906" s="8" t="inlineStr">
        <is>
          <t>B</t>
        </is>
      </c>
      <c r="G906" s="14" t="n">
        <v>0</v>
      </c>
      <c r="H906" s="14" t="n">
        <v>-58820.37</v>
      </c>
      <c r="I906" s="14" t="n"/>
      <c r="J906" s="14" t="n">
        <v>-58820.37</v>
      </c>
      <c r="K906" s="21" t="n">
        <v>46058.59028935185</v>
      </c>
      <c r="L906" s="21" t="n"/>
      <c r="M906" s="8" t="inlineStr"/>
      <c r="N906" s="8" t="inlineStr">
        <is>
          <t>Бухгалтер: выгрузить акт</t>
        </is>
      </c>
      <c r="O906" s="8" t="inlineStr"/>
      <c r="P906" s="12" t="inlineStr">
        <is>
          <t>Операция есть в ETM, а акт 1С за этот (или следующий) месяц не выгружен — сначала получить акт</t>
        </is>
      </c>
      <c r="Q906" s="8" t="inlineStr">
        <is>
          <t>57075487</t>
        </is>
      </c>
    </row>
    <row r="907">
      <c r="A907" s="8" t="inlineStr">
        <is>
          <t>G09993</t>
        </is>
      </c>
      <c r="B907" s="8" t="inlineStr">
        <is>
          <t>МУРАС ТРИП</t>
        </is>
      </c>
      <c r="C907" s="8" t="inlineStr">
        <is>
          <t>2559099836</t>
        </is>
      </c>
      <c r="D907" s="8" t="inlineStr">
        <is>
          <t>ETM, акт 1С за месяц не выгружен</t>
        </is>
      </c>
      <c r="E907" s="8" t="inlineStr">
        <is>
          <t>Выгрузка 1С</t>
        </is>
      </c>
      <c r="F907" s="8" t="inlineStr">
        <is>
          <t>B</t>
        </is>
      </c>
      <c r="G907" s="14" t="n">
        <v>0</v>
      </c>
      <c r="H907" s="14" t="n">
        <v>-58168.5</v>
      </c>
      <c r="I907" s="14" t="n"/>
      <c r="J907" s="14" t="n">
        <v>-58168.5</v>
      </c>
      <c r="K907" s="21" t="n">
        <v>46188.67901620371</v>
      </c>
      <c r="L907" s="21" t="n"/>
      <c r="M907" s="8" t="inlineStr"/>
      <c r="N907" s="8" t="inlineStr">
        <is>
          <t>Бухгалтер: выгрузить акт</t>
        </is>
      </c>
      <c r="O907" s="8" t="inlineStr"/>
      <c r="P907" s="12" t="inlineStr">
        <is>
          <t>Операция есть в ETM, а акт 1С за этот (или следующий) месяц не выгружен — сначала получить акт</t>
        </is>
      </c>
      <c r="Q907" s="8" t="inlineStr">
        <is>
          <t>57369062</t>
        </is>
      </c>
    </row>
    <row r="908">
      <c r="A908" s="8" t="inlineStr">
        <is>
          <t>G09994</t>
        </is>
      </c>
      <c r="B908" s="8" t="inlineStr">
        <is>
          <t>МУРАС ТРИП</t>
        </is>
      </c>
      <c r="C908" s="8" t="inlineStr">
        <is>
          <t>2559099839</t>
        </is>
      </c>
      <c r="D908" s="8" t="inlineStr">
        <is>
          <t>ETM, акт 1С за месяц не выгружен</t>
        </is>
      </c>
      <c r="E908" s="8" t="inlineStr">
        <is>
          <t>Выгрузка 1С</t>
        </is>
      </c>
      <c r="F908" s="8" t="inlineStr">
        <is>
          <t>B</t>
        </is>
      </c>
      <c r="G908" s="14" t="n">
        <v>0</v>
      </c>
      <c r="H908" s="14" t="n">
        <v>-58168.5</v>
      </c>
      <c r="I908" s="14" t="n"/>
      <c r="J908" s="14" t="n">
        <v>-58168.5</v>
      </c>
      <c r="K908" s="21" t="n">
        <v>46188.53868055555</v>
      </c>
      <c r="L908" s="21" t="n"/>
      <c r="M908" s="8" t="inlineStr"/>
      <c r="N908" s="8" t="inlineStr">
        <is>
          <t>Бухгалтер: выгрузить акт</t>
        </is>
      </c>
      <c r="O908" s="8" t="inlineStr"/>
      <c r="P908" s="12" t="inlineStr">
        <is>
          <t>Операция есть в ETM, а акт 1С за этот (или следующий) месяц не выгружен — сначала получить акт</t>
        </is>
      </c>
      <c r="Q908" s="8" t="inlineStr">
        <is>
          <t>57369088</t>
        </is>
      </c>
    </row>
    <row r="909">
      <c r="A909" s="8" t="inlineStr">
        <is>
          <t>G07162</t>
        </is>
      </c>
      <c r="B909" s="8" t="inlineStr">
        <is>
          <t>Жибек Эйр</t>
        </is>
      </c>
      <c r="C909" s="8" t="inlineStr">
        <is>
          <t>2416944971</t>
        </is>
      </c>
      <c r="D909" s="8" t="inlineStr">
        <is>
          <t>ETM, акт 1С за месяц не выгружен</t>
        </is>
      </c>
      <c r="E909" s="8" t="inlineStr">
        <is>
          <t>Выгрузка 1С</t>
        </is>
      </c>
      <c r="F909" s="8" t="inlineStr">
        <is>
          <t>B</t>
        </is>
      </c>
      <c r="G909" s="14" t="n">
        <v>0</v>
      </c>
      <c r="H909" s="14" t="n">
        <v>-57502.83</v>
      </c>
      <c r="I909" s="14" t="n"/>
      <c r="J909" s="14" t="n">
        <v>-57502.83</v>
      </c>
      <c r="K909" s="21" t="n">
        <v>46173.39261574074</v>
      </c>
      <c r="L909" s="21" t="n"/>
      <c r="M909" s="8" t="inlineStr"/>
      <c r="N909" s="8" t="inlineStr">
        <is>
          <t>Бухгалтер: выгрузить акт</t>
        </is>
      </c>
      <c r="O909" s="8" t="inlineStr"/>
      <c r="P909" s="12" t="inlineStr">
        <is>
          <t>Операция есть в ETM, а акт 1С за этот (или следующий) месяц не выгружен — сначала получить акт</t>
        </is>
      </c>
      <c r="Q909" s="8" t="inlineStr">
        <is>
          <t>57331507</t>
        </is>
      </c>
    </row>
    <row r="910">
      <c r="A910" s="8" t="inlineStr">
        <is>
          <t>G07400</t>
        </is>
      </c>
      <c r="B910" s="8" t="inlineStr">
        <is>
          <t>Жибек Эйр</t>
        </is>
      </c>
      <c r="C910" s="8" t="inlineStr">
        <is>
          <t>2552670719</t>
        </is>
      </c>
      <c r="D910" s="8" t="inlineStr">
        <is>
          <t>ETM, акт 1С за месяц не выгружен</t>
        </is>
      </c>
      <c r="E910" s="8" t="inlineStr">
        <is>
          <t>Выгрузка 1С</t>
        </is>
      </c>
      <c r="F910" s="8" t="inlineStr">
        <is>
          <t>B</t>
        </is>
      </c>
      <c r="G910" s="14" t="n">
        <v>0</v>
      </c>
      <c r="H910" s="14" t="n">
        <v>-57402.56</v>
      </c>
      <c r="I910" s="14" t="n"/>
      <c r="J910" s="14" t="n">
        <v>-57402.56</v>
      </c>
      <c r="K910" s="21" t="n">
        <v>46172.56511574074</v>
      </c>
      <c r="L910" s="21" t="n"/>
      <c r="M910" s="8" t="inlineStr"/>
      <c r="N910" s="8" t="inlineStr">
        <is>
          <t>Бухгалтер: выгрузить акт</t>
        </is>
      </c>
      <c r="O910" s="8" t="inlineStr"/>
      <c r="P910" s="12" t="inlineStr">
        <is>
          <t>Операция есть в ETM, а акт 1С за этот (или следующий) месяц не выгружен — сначала получить акт</t>
        </is>
      </c>
      <c r="Q910" s="8" t="inlineStr">
        <is>
          <t>57326375</t>
        </is>
      </c>
    </row>
    <row r="911">
      <c r="A911" s="8" t="inlineStr">
        <is>
          <t>G07401</t>
        </is>
      </c>
      <c r="B911" s="8" t="inlineStr">
        <is>
          <t>Жибек Эйр</t>
        </is>
      </c>
      <c r="C911" s="8" t="inlineStr">
        <is>
          <t>2552670720</t>
        </is>
      </c>
      <c r="D911" s="8" t="inlineStr">
        <is>
          <t>ETM, акт 1С за месяц не выгружен</t>
        </is>
      </c>
      <c r="E911" s="8" t="inlineStr">
        <is>
          <t>Выгрузка 1С</t>
        </is>
      </c>
      <c r="F911" s="8" t="inlineStr">
        <is>
          <t>B</t>
        </is>
      </c>
      <c r="G911" s="14" t="n">
        <v>0</v>
      </c>
      <c r="H911" s="14" t="n">
        <v>-57402.56</v>
      </c>
      <c r="I911" s="14" t="n"/>
      <c r="J911" s="14" t="n">
        <v>-57402.56</v>
      </c>
      <c r="K911" s="21" t="n">
        <v>46172.70471064815</v>
      </c>
      <c r="L911" s="21" t="n"/>
      <c r="M911" s="8" t="inlineStr"/>
      <c r="N911" s="8" t="inlineStr">
        <is>
          <t>Бухгалтер: выгрузить акт</t>
        </is>
      </c>
      <c r="O911" s="8" t="inlineStr"/>
      <c r="P911" s="12" t="inlineStr">
        <is>
          <t>Операция есть в ETM, а акт 1С за этот (или следующий) месяц не выгружен — сначала получить акт</t>
        </is>
      </c>
      <c r="Q911" s="8" t="inlineStr">
        <is>
          <t>57326380</t>
        </is>
      </c>
    </row>
    <row r="912">
      <c r="A912" s="8" t="inlineStr">
        <is>
          <t>G07402</t>
        </is>
      </c>
      <c r="B912" s="8" t="inlineStr">
        <is>
          <t>Жибек Эйр</t>
        </is>
      </c>
      <c r="C912" s="8" t="inlineStr">
        <is>
          <t>2552670723</t>
        </is>
      </c>
      <c r="D912" s="8" t="inlineStr">
        <is>
          <t>ETM, акт 1С за месяц не выгружен</t>
        </is>
      </c>
      <c r="E912" s="8" t="inlineStr">
        <is>
          <t>Выгрузка 1С</t>
        </is>
      </c>
      <c r="F912" s="8" t="inlineStr">
        <is>
          <t>B</t>
        </is>
      </c>
      <c r="G912" s="14" t="n">
        <v>0</v>
      </c>
      <c r="H912" s="14" t="n">
        <v>-57402.56</v>
      </c>
      <c r="I912" s="14" t="n"/>
      <c r="J912" s="14" t="n">
        <v>-57402.56</v>
      </c>
      <c r="K912" s="21" t="n">
        <v>46172.62605324074</v>
      </c>
      <c r="L912" s="21" t="n"/>
      <c r="M912" s="8" t="inlineStr"/>
      <c r="N912" s="8" t="inlineStr">
        <is>
          <t>Бухгалтер: выгрузить акт</t>
        </is>
      </c>
      <c r="O912" s="8" t="inlineStr"/>
      <c r="P912" s="12" t="inlineStr">
        <is>
          <t>Операция есть в ETM, а акт 1С за этот (или следующий) месяц не выгружен — сначала получить акт</t>
        </is>
      </c>
      <c r="Q912" s="8" t="inlineStr">
        <is>
          <t>57326395</t>
        </is>
      </c>
    </row>
    <row r="913">
      <c r="A913" s="8" t="inlineStr">
        <is>
          <t>G07148</t>
        </is>
      </c>
      <c r="B913" s="8" t="inlineStr">
        <is>
          <t>Жибек Эйр</t>
        </is>
      </c>
      <c r="C913" s="8" t="inlineStr">
        <is>
          <t>2416943248</t>
        </is>
      </c>
      <c r="D913" s="8" t="inlineStr">
        <is>
          <t>ETM, акт 1С за месяц не выгружен</t>
        </is>
      </c>
      <c r="E913" s="8" t="inlineStr">
        <is>
          <t>Выгрузка 1С</t>
        </is>
      </c>
      <c r="F913" s="8" t="inlineStr">
        <is>
          <t>B</t>
        </is>
      </c>
      <c r="G913" s="14" t="n">
        <v>0</v>
      </c>
      <c r="H913" s="14" t="n">
        <v>-57207.39</v>
      </c>
      <c r="I913" s="14" t="n">
        <v>875.4000000000015</v>
      </c>
      <c r="J913" s="14" t="n">
        <v>-57207.39</v>
      </c>
      <c r="K913" s="21" t="n">
        <v>46146.58021990741</v>
      </c>
      <c r="L913" s="21" t="n"/>
      <c r="M913" s="8" t="inlineStr"/>
      <c r="N913" s="8" t="inlineStr">
        <is>
          <t>Бухгалтер: выгрузить акт</t>
        </is>
      </c>
      <c r="O913" s="8" t="inlineStr">
        <is>
          <t>e.satarov|g.omurbekova</t>
        </is>
      </c>
      <c r="P913" s="12" t="inlineStr">
        <is>
          <t>Операция есть в ETM, а акт 1С за этот (или следующий) месяц не выгружен — сначала получить акт</t>
        </is>
      </c>
      <c r="Q913" s="8" t="inlineStr">
        <is>
          <t>57251099</t>
        </is>
      </c>
    </row>
    <row r="914">
      <c r="A914" s="8" t="inlineStr">
        <is>
          <t>G09291</t>
        </is>
      </c>
      <c r="B914" s="8" t="inlineStr">
        <is>
          <t>ИССЫК ТРИП</t>
        </is>
      </c>
      <c r="C914" s="8" t="inlineStr">
        <is>
          <t>2552670084</t>
        </is>
      </c>
      <c r="D914" s="8" t="inlineStr">
        <is>
          <t>ETM, акт 1С за месяц не выгружен</t>
        </is>
      </c>
      <c r="E914" s="8" t="inlineStr">
        <is>
          <t>Выгрузка 1С</t>
        </is>
      </c>
      <c r="F914" s="8" t="inlineStr">
        <is>
          <t>B</t>
        </is>
      </c>
      <c r="G914" s="14" t="n">
        <v>0</v>
      </c>
      <c r="H914" s="14" t="n">
        <v>-57131.85</v>
      </c>
      <c r="I914" s="14" t="n"/>
      <c r="J914" s="14" t="n">
        <v>-57131.85</v>
      </c>
      <c r="K914" s="21" t="n">
        <v>46079.44891203703</v>
      </c>
      <c r="L914" s="21" t="n"/>
      <c r="M914" s="8" t="inlineStr"/>
      <c r="N914" s="8" t="inlineStr">
        <is>
          <t>Бухгалтер: выгрузить акт</t>
        </is>
      </c>
      <c r="O914" s="8" t="inlineStr"/>
      <c r="P914" s="12" t="inlineStr">
        <is>
          <t>Операция есть в ETM, а акт 1С за этот (или следующий) месяц не выгружен — сначала получить акт</t>
        </is>
      </c>
      <c r="Q914" s="8" t="inlineStr">
        <is>
          <t>57110616</t>
        </is>
      </c>
    </row>
    <row r="915">
      <c r="A915" s="8" t="inlineStr">
        <is>
          <t>G07117</t>
        </is>
      </c>
      <c r="B915" s="8" t="inlineStr">
        <is>
          <t>Жибек Вояж</t>
        </is>
      </c>
      <c r="C915" s="8" t="inlineStr">
        <is>
          <t>2552670462</t>
        </is>
      </c>
      <c r="D915" s="8" t="inlineStr">
        <is>
          <t>ETM, акт 1С за месяц не выгружен</t>
        </is>
      </c>
      <c r="E915" s="8" t="inlineStr">
        <is>
          <t>Выгрузка 1С</t>
        </is>
      </c>
      <c r="F915" s="8" t="inlineStr">
        <is>
          <t>B</t>
        </is>
      </c>
      <c r="G915" s="14" t="n">
        <v>0</v>
      </c>
      <c r="H915" s="14" t="n">
        <v>-56780.53</v>
      </c>
      <c r="I915" s="14" t="n">
        <v>56780.5275</v>
      </c>
      <c r="J915" s="14" t="n">
        <v>-56780.53</v>
      </c>
      <c r="K915" s="21" t="n">
        <v>46132.38480324074</v>
      </c>
      <c r="L915" s="21" t="n"/>
      <c r="M915" s="8" t="inlineStr"/>
      <c r="N915" s="8" t="inlineStr">
        <is>
          <t>Бухгалтер: выгрузить акт</t>
        </is>
      </c>
      <c r="O915" s="8" t="inlineStr">
        <is>
          <t>r.sydykov</t>
        </is>
      </c>
      <c r="P915" s="12" t="inlineStr">
        <is>
          <t>Операция есть в ETM, а акт 1С за этот (или следующий) месяц не выгружен — сначала получить акт</t>
        </is>
      </c>
      <c r="Q915" s="8" t="inlineStr">
        <is>
          <t>57217905</t>
        </is>
      </c>
    </row>
    <row r="916">
      <c r="A916" s="8" t="inlineStr">
        <is>
          <t>G08526</t>
        </is>
      </c>
      <c r="B916" s="8" t="inlineStr">
        <is>
          <t>ИП Токтосун кызы Н.</t>
        </is>
      </c>
      <c r="C916" s="8" t="inlineStr">
        <is>
          <t>2420845594|2420845596</t>
        </is>
      </c>
      <c r="D916" s="8" t="inlineStr">
        <is>
          <t>ETM, акт 1С за месяц не выгружен</t>
        </is>
      </c>
      <c r="E916" s="8" t="inlineStr">
        <is>
          <t>Выгрузка 1С</t>
        </is>
      </c>
      <c r="F916" s="8" t="inlineStr">
        <is>
          <t>B</t>
        </is>
      </c>
      <c r="G916" s="14" t="n">
        <v>0</v>
      </c>
      <c r="H916" s="14" t="n">
        <v>-56759.28</v>
      </c>
      <c r="I916" s="14" t="n">
        <v>56759.2888</v>
      </c>
      <c r="J916" s="14" t="n">
        <v>-56759.28</v>
      </c>
      <c r="K916" s="21" t="n">
        <v>46054.52902777777</v>
      </c>
      <c r="L916" s="21" t="n"/>
      <c r="M916" s="8" t="inlineStr"/>
      <c r="N916" s="8" t="inlineStr">
        <is>
          <t>Бухгалтер: выгрузить акт</t>
        </is>
      </c>
      <c r="O916" s="8" t="inlineStr">
        <is>
          <t>k.dzhumaev</t>
        </is>
      </c>
      <c r="P916" s="12" t="inlineStr">
        <is>
          <t>Операция есть в ETM, а акт 1С за этот (или следующий) месяц не выгружен — сначала получить акт</t>
        </is>
      </c>
      <c r="Q916" s="8" t="inlineStr">
        <is>
          <t>57067274,57067241</t>
        </is>
      </c>
    </row>
    <row r="917">
      <c r="A917" s="8" t="inlineStr">
        <is>
          <t>G07468</t>
        </is>
      </c>
      <c r="B917" s="8" t="inlineStr">
        <is>
          <t>Жолчу кызы А.</t>
        </is>
      </c>
      <c r="C917" s="8" t="inlineStr">
        <is>
          <t>2420844126|2420844128|2420844131</t>
        </is>
      </c>
      <c r="D917" s="8" t="inlineStr">
        <is>
          <t>ETM, акт 1С за месяц не выгружен</t>
        </is>
      </c>
      <c r="E917" s="8" t="inlineStr">
        <is>
          <t>Выгрузка 1С</t>
        </is>
      </c>
      <c r="F917" s="8" t="inlineStr">
        <is>
          <t>B</t>
        </is>
      </c>
      <c r="G917" s="14" t="n">
        <v>0</v>
      </c>
      <c r="H917" s="14" t="n">
        <v>-56389.74000000001</v>
      </c>
      <c r="I917" s="14" t="n">
        <v>56389.7304</v>
      </c>
      <c r="J917" s="14" t="n">
        <v>-56389.74000000001</v>
      </c>
      <c r="K917" s="21" t="n">
        <v>46188.36900462963</v>
      </c>
      <c r="L917" s="21" t="n"/>
      <c r="M917" s="8" t="inlineStr"/>
      <c r="N917" s="8" t="inlineStr">
        <is>
          <t>Бухгалтер: выгрузить акт</t>
        </is>
      </c>
      <c r="O917" s="8" t="inlineStr">
        <is>
          <t>d.mambetova</t>
        </is>
      </c>
      <c r="P917" s="12" t="inlineStr">
        <is>
          <t>Операция есть в ETM, а акт 1С за этот (или следующий) месяц не выгружен — сначала получить акт</t>
        </is>
      </c>
      <c r="Q917" s="8" t="inlineStr">
        <is>
          <t>57368952,57368971,57368977</t>
        </is>
      </c>
    </row>
    <row r="918">
      <c r="A918" s="8" t="inlineStr">
        <is>
          <t>G09311</t>
        </is>
      </c>
      <c r="B918" s="8" t="inlineStr">
        <is>
          <t>ИССЫК ТРИП</t>
        </is>
      </c>
      <c r="C918" s="8" t="inlineStr">
        <is>
          <t>2552671746</t>
        </is>
      </c>
      <c r="D918" s="8" t="inlineStr">
        <is>
          <t>ETM, акт 1С за месяц не выгружен</t>
        </is>
      </c>
      <c r="E918" s="8" t="inlineStr">
        <is>
          <t>Выгрузка 1С</t>
        </is>
      </c>
      <c r="F918" s="8" t="inlineStr">
        <is>
          <t>B</t>
        </is>
      </c>
      <c r="G918" s="14" t="n">
        <v>0</v>
      </c>
      <c r="H918" s="14" t="n">
        <v>-55742.57</v>
      </c>
      <c r="I918" s="14" t="n">
        <v>55742.57</v>
      </c>
      <c r="J918" s="14" t="n">
        <v>-55742.57</v>
      </c>
      <c r="K918" s="21" t="n">
        <v>46062.78675925926</v>
      </c>
      <c r="L918" s="21" t="n"/>
      <c r="M918" s="8" t="inlineStr"/>
      <c r="N918" s="8" t="inlineStr">
        <is>
          <t>Бухгалтер: выгрузить акт</t>
        </is>
      </c>
      <c r="O918" s="8" t="inlineStr">
        <is>
          <t>d.mambetova</t>
        </is>
      </c>
      <c r="P918" s="12" t="inlineStr">
        <is>
          <t>Операция есть в ETM, а акт 1С за этот (или следующий) месяц не выгружен — сначала получить акт</t>
        </is>
      </c>
      <c r="Q918" s="8" t="inlineStr">
        <is>
          <t>57081415</t>
        </is>
      </c>
    </row>
    <row r="919">
      <c r="A919" s="8" t="inlineStr">
        <is>
          <t>G13288</t>
        </is>
      </c>
      <c r="B919" s="8" t="inlineStr">
        <is>
          <t>Сатар уулу Санжар</t>
        </is>
      </c>
      <c r="C919" s="8" t="inlineStr">
        <is>
          <t>2552670126</t>
        </is>
      </c>
      <c r="D919" s="8" t="inlineStr">
        <is>
          <t>ETM, акт 1С за месяц не выгружен</t>
        </is>
      </c>
      <c r="E919" s="8" t="inlineStr">
        <is>
          <t>Выгрузка 1С</t>
        </is>
      </c>
      <c r="F919" s="8" t="inlineStr">
        <is>
          <t>B</t>
        </is>
      </c>
      <c r="G919" s="14" t="n">
        <v>0</v>
      </c>
      <c r="H919" s="14" t="n">
        <v>-55548.51</v>
      </c>
      <c r="I919" s="14" t="n">
        <v>55548.5125</v>
      </c>
      <c r="J919" s="14" t="n">
        <v>-55548.51</v>
      </c>
      <c r="K919" s="21" t="n">
        <v>46199.68651620371</v>
      </c>
      <c r="L919" s="21" t="n"/>
      <c r="M919" s="8" t="inlineStr"/>
      <c r="N919" s="8" t="inlineStr">
        <is>
          <t>Бухгалтер: выгрузить акт</t>
        </is>
      </c>
      <c r="O919" s="8" t="inlineStr">
        <is>
          <t>k.dzhumaev</t>
        </is>
      </c>
      <c r="P919" s="12" t="inlineStr">
        <is>
          <t>Операция есть в ETM, а акт 1С за этот (или следующий) месяц не выгружен — сначала получить акт</t>
        </is>
      </c>
      <c r="Q919" s="8" t="inlineStr">
        <is>
          <t>57402784</t>
        </is>
      </c>
    </row>
    <row r="920">
      <c r="A920" s="8" t="inlineStr">
        <is>
          <t>G08920</t>
        </is>
      </c>
      <c r="B920" s="8" t="inlineStr">
        <is>
          <t>ИССЫК ТРИП</t>
        </is>
      </c>
      <c r="C920" s="8" t="inlineStr">
        <is>
          <t>2420844101|2420844103</t>
        </is>
      </c>
      <c r="D920" s="8" t="inlineStr">
        <is>
          <t>ETM, акт 1С за месяц не выгружен</t>
        </is>
      </c>
      <c r="E920" s="8" t="inlineStr">
        <is>
          <t>Выгрузка 1С</t>
        </is>
      </c>
      <c r="F920" s="8" t="inlineStr">
        <is>
          <t>B</t>
        </is>
      </c>
      <c r="G920" s="14" t="n">
        <v>0</v>
      </c>
      <c r="H920" s="14" t="n">
        <v>-54496.72</v>
      </c>
      <c r="I920" s="14" t="n">
        <v>54496.7262</v>
      </c>
      <c r="J920" s="14" t="n">
        <v>-54496.72</v>
      </c>
      <c r="K920" s="21" t="n">
        <v>46055.37417824074</v>
      </c>
      <c r="L920" s="21" t="n"/>
      <c r="M920" s="8" t="inlineStr"/>
      <c r="N920" s="8" t="inlineStr">
        <is>
          <t>Бухгалтер: выгрузить акт</t>
        </is>
      </c>
      <c r="O920" s="8" t="inlineStr">
        <is>
          <t>e.satarov</t>
        </is>
      </c>
      <c r="P920" s="12" t="inlineStr">
        <is>
          <t>Операция есть в ETM, а акт 1С за этот (или следующий) месяц не выгружен — сначала получить акт</t>
        </is>
      </c>
      <c r="Q920" s="8" t="inlineStr">
        <is>
          <t>57068455,57068430</t>
        </is>
      </c>
    </row>
    <row r="921">
      <c r="A921" s="8" t="inlineStr">
        <is>
          <t>G08536</t>
        </is>
      </c>
      <c r="B921" s="8" t="inlineStr">
        <is>
          <t>ИП Токтосун кызы Н.</t>
        </is>
      </c>
      <c r="C921" s="8" t="inlineStr">
        <is>
          <t>2420847717|2420847719</t>
        </is>
      </c>
      <c r="D921" s="8" t="inlineStr">
        <is>
          <t>ETM, акт 1С за месяц не выгружен</t>
        </is>
      </c>
      <c r="E921" s="8" t="inlineStr">
        <is>
          <t>Выгрузка 1С</t>
        </is>
      </c>
      <c r="F921" s="8" t="inlineStr">
        <is>
          <t>B</t>
        </is>
      </c>
      <c r="G921" s="14" t="n">
        <v>0</v>
      </c>
      <c r="H921" s="14" t="n">
        <v>-54032.74</v>
      </c>
      <c r="I921" s="14" t="n">
        <v>54032.7402</v>
      </c>
      <c r="J921" s="14" t="n">
        <v>-54032.74</v>
      </c>
      <c r="K921" s="21" t="n">
        <v>46058.39842592592</v>
      </c>
      <c r="L921" s="21" t="n"/>
      <c r="M921" s="8" t="inlineStr"/>
      <c r="N921" s="8" t="inlineStr">
        <is>
          <t>Бухгалтер: выгрузить акт</t>
        </is>
      </c>
      <c r="O921" s="8" t="inlineStr">
        <is>
          <t>a.toktosunova</t>
        </is>
      </c>
      <c r="P921" s="12" t="inlineStr">
        <is>
          <t>Операция есть в ETM, а акт 1С за этот (или следующий) месяц не выгружен — сначала получить акт</t>
        </is>
      </c>
      <c r="Q921" s="8" t="inlineStr">
        <is>
          <t>57075386,57075385</t>
        </is>
      </c>
    </row>
    <row r="922">
      <c r="A922" s="8" t="inlineStr">
        <is>
          <t>G06122</t>
        </is>
      </c>
      <c r="B922" s="8" t="inlineStr">
        <is>
          <t>Байтур Трип</t>
        </is>
      </c>
      <c r="C922" s="8" t="inlineStr">
        <is>
          <t>2552669393</t>
        </is>
      </c>
      <c r="D922" s="8" t="inlineStr">
        <is>
          <t>Сумма не сходится</t>
        </is>
      </c>
      <c r="E922" s="8" t="inlineStr">
        <is>
          <t>1С</t>
        </is>
      </c>
      <c r="F922" s="8" t="inlineStr">
        <is>
          <t>B</t>
        </is>
      </c>
      <c r="G922" s="14" t="n">
        <v>93572.49000000001</v>
      </c>
      <c r="H922" s="14" t="n">
        <v>-39572.49</v>
      </c>
      <c r="I922" s="14" t="n"/>
      <c r="J922" s="14" t="n">
        <v>54000.00000000001</v>
      </c>
      <c r="K922" s="21" t="n">
        <v>46143.5828587963</v>
      </c>
      <c r="L922" s="21" t="n">
        <v>46143</v>
      </c>
      <c r="M922" s="8" t="inlineStr">
        <is>
          <t>TRANSPOSITION</t>
        </is>
      </c>
      <c r="N922" s="8" t="inlineStr">
        <is>
          <t>Бухгалтер 1С</t>
        </is>
      </c>
      <c r="O922" s="8" t="inlineStr"/>
      <c r="P922" s="12" t="inlineStr">
        <is>
          <t>Суммы 1С (93,572.49) и ETM (39,572.49) отличаются перестановкой — похоже на ручную опечатку при вводе акта в 1С (гипотеза, подтвердить у бухгалтера)</t>
        </is>
      </c>
      <c r="Q922" s="8" t="inlineStr">
        <is>
          <t>57241913</t>
        </is>
      </c>
    </row>
    <row r="923">
      <c r="A923" s="8" t="inlineStr">
        <is>
          <t>G09299</t>
        </is>
      </c>
      <c r="B923" s="8" t="inlineStr">
        <is>
          <t>ИССЫК ТРИП</t>
        </is>
      </c>
      <c r="C923" s="8" t="inlineStr">
        <is>
          <t>2552670817</t>
        </is>
      </c>
      <c r="D923" s="8" t="inlineStr">
        <is>
          <t>ETM, акт 1С за месяц не выгружен</t>
        </is>
      </c>
      <c r="E923" s="8" t="inlineStr">
        <is>
          <t>Выгрузка 1С</t>
        </is>
      </c>
      <c r="F923" s="8" t="inlineStr">
        <is>
          <t>B</t>
        </is>
      </c>
      <c r="G923" s="14" t="n">
        <v>0</v>
      </c>
      <c r="H923" s="14" t="n">
        <v>-53837.65</v>
      </c>
      <c r="I923" s="14" t="n">
        <v>53837.6475</v>
      </c>
      <c r="J923" s="14" t="n">
        <v>-53837.65</v>
      </c>
      <c r="K923" s="21" t="n">
        <v>46072.68168981482</v>
      </c>
      <c r="L923" s="21" t="n"/>
      <c r="M923" s="8" t="inlineStr"/>
      <c r="N923" s="8" t="inlineStr">
        <is>
          <t>Бухгалтер: выгрузить акт</t>
        </is>
      </c>
      <c r="O923" s="8" t="inlineStr">
        <is>
          <t>n.abdyldaeva</t>
        </is>
      </c>
      <c r="P923" s="12" t="inlineStr">
        <is>
          <t>Операция есть в ETM, а акт 1С за этот (или следующий) месяц не выгружен — сначала получить акт</t>
        </is>
      </c>
      <c r="Q923" s="8" t="inlineStr">
        <is>
          <t>57098607</t>
        </is>
      </c>
    </row>
    <row r="924">
      <c r="A924" s="8" t="inlineStr">
        <is>
          <t>G08690</t>
        </is>
      </c>
      <c r="B924" s="8" t="inlineStr">
        <is>
          <t>ИП Токтосун кызы Н.</t>
        </is>
      </c>
      <c r="C924" s="8" t="inlineStr">
        <is>
          <t>2552672577</t>
        </is>
      </c>
      <c r="D924" s="8" t="inlineStr">
        <is>
          <t>ETM, акт 1С за месяц не выгружен</t>
        </is>
      </c>
      <c r="E924" s="8" t="inlineStr">
        <is>
          <t>Выгрузка 1С</t>
        </is>
      </c>
      <c r="F924" s="8" t="inlineStr">
        <is>
          <t>B</t>
        </is>
      </c>
      <c r="G924" s="14" t="n">
        <v>0</v>
      </c>
      <c r="H924" s="14" t="n">
        <v>-53823.34</v>
      </c>
      <c r="I924" s="14" t="n"/>
      <c r="J924" s="14" t="n">
        <v>-53823.34</v>
      </c>
      <c r="K924" s="21" t="n">
        <v>46079.76997685185</v>
      </c>
      <c r="L924" s="21" t="n"/>
      <c r="M924" s="8" t="inlineStr"/>
      <c r="N924" s="8" t="inlineStr">
        <is>
          <t>Бухгалтер: выгрузить акт</t>
        </is>
      </c>
      <c r="O924" s="8" t="inlineStr"/>
      <c r="P924" s="12" t="inlineStr">
        <is>
          <t>Операция есть в ETM, а акт 1С за этот (или следующий) месяц не выгружен — сначала получить акт</t>
        </is>
      </c>
      <c r="Q924" s="8" t="inlineStr">
        <is>
          <t>57109442</t>
        </is>
      </c>
    </row>
    <row r="925">
      <c r="A925" s="8" t="inlineStr">
        <is>
          <t>G13309</t>
        </is>
      </c>
      <c r="B925" s="8" t="inlineStr">
        <is>
          <t>Сатар уулу Санжар</t>
        </is>
      </c>
      <c r="C925" s="8" t="inlineStr">
        <is>
          <t>2552671862</t>
        </is>
      </c>
      <c r="D925" s="8" t="inlineStr">
        <is>
          <t>ETM, акт 1С за месяц не выгружен</t>
        </is>
      </c>
      <c r="E925" s="8" t="inlineStr">
        <is>
          <t>Выгрузка 1С</t>
        </is>
      </c>
      <c r="F925" s="8" t="inlineStr">
        <is>
          <t>B</t>
        </is>
      </c>
      <c r="G925" s="14" t="n">
        <v>0</v>
      </c>
      <c r="H925" s="14" t="n">
        <v>-53785.66</v>
      </c>
      <c r="I925" s="14" t="n"/>
      <c r="J925" s="14" t="n">
        <v>-53785.66</v>
      </c>
      <c r="K925" s="21" t="n">
        <v>46178.48049768519</v>
      </c>
      <c r="L925" s="21" t="n"/>
      <c r="M925" s="8" t="inlineStr"/>
      <c r="N925" s="8" t="inlineStr">
        <is>
          <t>Бухгалтер: выгрузить акт</t>
        </is>
      </c>
      <c r="O925" s="8" t="inlineStr"/>
      <c r="P925" s="12" t="inlineStr">
        <is>
          <t>Операция есть в ETM, а акт 1С за этот (или следующий) месяц не выгружен — сначала получить акт</t>
        </is>
      </c>
      <c r="Q925" s="8" t="inlineStr">
        <is>
          <t>57344714</t>
        </is>
      </c>
    </row>
    <row r="926">
      <c r="A926" s="8" t="inlineStr">
        <is>
          <t>G08970</t>
        </is>
      </c>
      <c r="B926" s="8" t="inlineStr">
        <is>
          <t>ИССЫК ТРИП</t>
        </is>
      </c>
      <c r="C926" s="8" t="inlineStr">
        <is>
          <t>2420847813|2420847814|2420847816</t>
        </is>
      </c>
      <c r="D926" s="8" t="inlineStr">
        <is>
          <t>ETM, акт 1С за месяц не выгружен</t>
        </is>
      </c>
      <c r="E926" s="8" t="inlineStr">
        <is>
          <t>Выгрузка 1С</t>
        </is>
      </c>
      <c r="F926" s="8" t="inlineStr">
        <is>
          <t>B</t>
        </is>
      </c>
      <c r="G926" s="14" t="n">
        <v>0</v>
      </c>
      <c r="H926" s="14" t="n">
        <v>-53698.77</v>
      </c>
      <c r="I926" s="14" t="n">
        <v>53698.7649</v>
      </c>
      <c r="J926" s="14" t="n">
        <v>-53698.77</v>
      </c>
      <c r="K926" s="21" t="n">
        <v>46066.33559027778</v>
      </c>
      <c r="L926" s="21" t="n"/>
      <c r="M926" s="8" t="inlineStr"/>
      <c r="N926" s="8" t="inlineStr">
        <is>
          <t>Бухгалтер: выгрузить акт</t>
        </is>
      </c>
      <c r="O926" s="8" t="inlineStr">
        <is>
          <t>k.dzhumaev</t>
        </is>
      </c>
      <c r="P926" s="12" t="inlineStr">
        <is>
          <t>Операция есть в ETM, а акт 1С за этот (или следующий) месяц не выгружен — сначала получить акт</t>
        </is>
      </c>
      <c r="Q926" s="8" t="inlineStr">
        <is>
          <t>57089295,57089322,57089330</t>
        </is>
      </c>
    </row>
    <row r="927">
      <c r="A927" s="8" t="inlineStr">
        <is>
          <t>G08715</t>
        </is>
      </c>
      <c r="B927" s="8" t="inlineStr">
        <is>
          <t>ИП Токтосун кызы Н.</t>
        </is>
      </c>
      <c r="C927" s="8" t="inlineStr">
        <is>
          <t>2559103169</t>
        </is>
      </c>
      <c r="D927" s="8" t="inlineStr">
        <is>
          <t>ETM, акт 1С за месяц не выгружен</t>
        </is>
      </c>
      <c r="E927" s="8" t="inlineStr">
        <is>
          <t>Выгрузка 1С</t>
        </is>
      </c>
      <c r="F927" s="8" t="inlineStr">
        <is>
          <t>B</t>
        </is>
      </c>
      <c r="G927" s="14" t="n">
        <v>0</v>
      </c>
      <c r="H927" s="14" t="n">
        <v>-53494.56</v>
      </c>
      <c r="I927" s="14" t="n">
        <v>53494.56</v>
      </c>
      <c r="J927" s="14" t="n">
        <v>-53494.56</v>
      </c>
      <c r="K927" s="21" t="n">
        <v>46059.34240740741</v>
      </c>
      <c r="L927" s="21" t="n"/>
      <c r="M927" s="8" t="inlineStr"/>
      <c r="N927" s="8" t="inlineStr">
        <is>
          <t>Бухгалтер: выгрузить акт</t>
        </is>
      </c>
      <c r="O927" s="8" t="inlineStr">
        <is>
          <t>r.sydykov</t>
        </is>
      </c>
      <c r="P927" s="12" t="inlineStr">
        <is>
          <t>Операция есть в ETM, а акт 1С за этот (или следующий) месяц не выгружен — сначала получить акт</t>
        </is>
      </c>
      <c r="Q927" s="8" t="inlineStr">
        <is>
          <t>57076873</t>
        </is>
      </c>
    </row>
    <row r="928">
      <c r="A928" s="8" t="inlineStr">
        <is>
          <t>G07446</t>
        </is>
      </c>
      <c r="B928" s="8" t="inlineStr">
        <is>
          <t>Жибек Эйр</t>
        </is>
      </c>
      <c r="C928" s="8" t="inlineStr">
        <is>
          <t>2559103438|2559103441</t>
        </is>
      </c>
      <c r="D928" s="8" t="inlineStr">
        <is>
          <t>ETM, акт 1С за месяц не выгружен</t>
        </is>
      </c>
      <c r="E928" s="8" t="inlineStr">
        <is>
          <t>Выгрузка 1С</t>
        </is>
      </c>
      <c r="F928" s="8" t="inlineStr">
        <is>
          <t>B</t>
        </is>
      </c>
      <c r="G928" s="14" t="n">
        <v>0</v>
      </c>
      <c r="H928" s="14" t="n">
        <v>-52999.2</v>
      </c>
      <c r="I928" s="14" t="n">
        <v>52999.2</v>
      </c>
      <c r="J928" s="14" t="n">
        <v>-52999.2</v>
      </c>
      <c r="K928" s="21" t="n">
        <v>46128.70831018518</v>
      </c>
      <c r="L928" s="21" t="n"/>
      <c r="M928" s="8" t="inlineStr"/>
      <c r="N928" s="8" t="inlineStr">
        <is>
          <t>Бухгалтер: выгрузить акт</t>
        </is>
      </c>
      <c r="O928" s="8" t="inlineStr">
        <is>
          <t>g.omurbekova</t>
        </is>
      </c>
      <c r="P928" s="12" t="inlineStr">
        <is>
          <t>Операция есть в ETM, а акт 1С за этот (или следующий) месяц не выгружен — сначала получить акт</t>
        </is>
      </c>
      <c r="Q928" s="8" t="inlineStr">
        <is>
          <t>57211282,57211299</t>
        </is>
      </c>
    </row>
    <row r="929">
      <c r="A929" s="8" t="inlineStr">
        <is>
          <t>G00000</t>
        </is>
      </c>
      <c r="B929" s="8" t="inlineStr">
        <is>
          <t>Ak-Bulak Voyage</t>
        </is>
      </c>
      <c r="C929" s="8" t="inlineStr">
        <is>
          <t>2416941389|2416941391</t>
        </is>
      </c>
      <c r="D929" s="8" t="inlineStr">
        <is>
          <t>ETM, акт 1С за месяц не выгружен</t>
        </is>
      </c>
      <c r="E929" s="8" t="inlineStr">
        <is>
          <t>Выгрузка 1С</t>
        </is>
      </c>
      <c r="F929" s="8" t="inlineStr">
        <is>
          <t>B</t>
        </is>
      </c>
      <c r="G929" s="14" t="n">
        <v>0</v>
      </c>
      <c r="H929" s="14" t="n">
        <v>-52816.34</v>
      </c>
      <c r="I929" s="14" t="n">
        <v>52816.34</v>
      </c>
      <c r="J929" s="14" t="n">
        <v>-52816.34</v>
      </c>
      <c r="K929" s="21" t="n">
        <v>46074.40236111111</v>
      </c>
      <c r="L929" s="21" t="n"/>
      <c r="M929" s="8" t="inlineStr"/>
      <c r="N929" s="8" t="inlineStr">
        <is>
          <t>Бухгалтер: выгрузить акт</t>
        </is>
      </c>
      <c r="O929" s="8" t="inlineStr">
        <is>
          <t>d.mambetova</t>
        </is>
      </c>
      <c r="P929" s="12" t="inlineStr">
        <is>
          <t>Операция есть в ETM, а акт 1С за этот (или следующий) месяц не выгружен — сначала получить акт</t>
        </is>
      </c>
      <c r="Q929" s="8" t="inlineStr">
        <is>
          <t>57101548</t>
        </is>
      </c>
    </row>
    <row r="930">
      <c r="A930" s="8" t="inlineStr">
        <is>
          <t>G08464</t>
        </is>
      </c>
      <c r="B930" s="8" t="inlineStr">
        <is>
          <t>ИП Муратов Э. У.</t>
        </is>
      </c>
      <c r="C930" s="8" t="inlineStr">
        <is>
          <t>2552672714</t>
        </is>
      </c>
      <c r="D930" s="8" t="inlineStr">
        <is>
          <t>ETM, акт 1С за месяц не выгружен</t>
        </is>
      </c>
      <c r="E930" s="8" t="inlineStr">
        <is>
          <t>Выгрузка 1С</t>
        </is>
      </c>
      <c r="F930" s="8" t="inlineStr">
        <is>
          <t>B</t>
        </is>
      </c>
      <c r="G930" s="14" t="n">
        <v>0</v>
      </c>
      <c r="H930" s="14" t="n">
        <v>-52529.51</v>
      </c>
      <c r="I930" s="14" t="n"/>
      <c r="J930" s="14" t="n">
        <v>-52529.51</v>
      </c>
      <c r="K930" s="21" t="n">
        <v>46100.78212962963</v>
      </c>
      <c r="L930" s="21" t="n"/>
      <c r="M930" s="8" t="inlineStr"/>
      <c r="N930" s="8" t="inlineStr">
        <is>
          <t>Бухгалтер: выгрузить акт</t>
        </is>
      </c>
      <c r="O930" s="8" t="inlineStr"/>
      <c r="P930" s="12" t="inlineStr">
        <is>
          <t>Операция есть в ETM, а акт 1С за этот (или следующий) месяц не выгружен — сначала получить акт</t>
        </is>
      </c>
      <c r="Q930" s="8" t="inlineStr">
        <is>
          <t>57156645</t>
        </is>
      </c>
    </row>
    <row r="931">
      <c r="A931" s="8" t="inlineStr">
        <is>
          <t>G13137</t>
        </is>
      </c>
      <c r="B931" s="8" t="inlineStr">
        <is>
          <t>Сатар уулу Санжар</t>
        </is>
      </c>
      <c r="C931" s="8" t="inlineStr">
        <is>
          <t>2461882242|2461882245|2461882246|2461882247</t>
        </is>
      </c>
      <c r="D931" s="8" t="inlineStr">
        <is>
          <t>ETM, акт 1С за месяц не выгружен</t>
        </is>
      </c>
      <c r="E931" s="8" t="inlineStr">
        <is>
          <t>Выгрузка 1С</t>
        </is>
      </c>
      <c r="F931" s="8" t="inlineStr">
        <is>
          <t>B</t>
        </is>
      </c>
      <c r="G931" s="14" t="n">
        <v>0</v>
      </c>
      <c r="H931" s="14" t="n">
        <v>-52328</v>
      </c>
      <c r="I931" s="14" t="n">
        <v>52328</v>
      </c>
      <c r="J931" s="14" t="n">
        <v>-52328</v>
      </c>
      <c r="K931" s="21" t="n">
        <v>46189.3387962963</v>
      </c>
      <c r="L931" s="21" t="n"/>
      <c r="M931" s="8" t="inlineStr"/>
      <c r="N931" s="8" t="inlineStr">
        <is>
          <t>Бухгалтер: выгрузить акт</t>
        </is>
      </c>
      <c r="O931" s="8" t="inlineStr">
        <is>
          <t>e.satarov</t>
        </is>
      </c>
      <c r="P931" s="12" t="inlineStr">
        <is>
          <t>Операция есть в ETM, а акт 1С за этот (или следующий) месяц не выгружен — сначала получить акт</t>
        </is>
      </c>
      <c r="Q931" s="8" t="inlineStr">
        <is>
          <t>57372551,57372497,57372579,57372513</t>
        </is>
      </c>
    </row>
    <row r="932">
      <c r="A932" s="8" t="inlineStr">
        <is>
          <t>G10647</t>
        </is>
      </c>
      <c r="B932" s="8" t="inlineStr">
        <is>
          <t>Манас Туризм</t>
        </is>
      </c>
      <c r="C932" s="8" t="inlineStr">
        <is>
          <t>2459527399|2459527401</t>
        </is>
      </c>
      <c r="D932" s="8" t="inlineStr">
        <is>
          <t>ETM, акт 1С за месяц не выгружен</t>
        </is>
      </c>
      <c r="E932" s="8" t="inlineStr">
        <is>
          <t>Выгрузка 1С</t>
        </is>
      </c>
      <c r="F932" s="8" t="inlineStr">
        <is>
          <t>B</t>
        </is>
      </c>
      <c r="G932" s="14" t="n">
        <v>0</v>
      </c>
      <c r="H932" s="14" t="n">
        <v>-51558</v>
      </c>
      <c r="I932" s="14" t="n"/>
      <c r="J932" s="14" t="n">
        <v>-51558</v>
      </c>
      <c r="K932" s="21" t="n">
        <v>46199.45267361111</v>
      </c>
      <c r="L932" s="21" t="n"/>
      <c r="M932" s="8" t="inlineStr"/>
      <c r="N932" s="8" t="inlineStr">
        <is>
          <t>Бухгалтер: выгрузить акт</t>
        </is>
      </c>
      <c r="O932" s="8" t="inlineStr"/>
      <c r="P932" s="12" t="inlineStr">
        <is>
          <t>Операция есть в ETM, а акт 1С за этот (или следующий) месяц не выгружен — сначала получить акт</t>
        </is>
      </c>
      <c r="Q932" s="8" t="inlineStr">
        <is>
          <t>57401937</t>
        </is>
      </c>
    </row>
    <row r="933">
      <c r="A933" s="8" t="inlineStr">
        <is>
          <t>G08230</t>
        </is>
      </c>
      <c r="B933" s="8" t="inlineStr">
        <is>
          <t>ИП Жумабекова Б. Н.</t>
        </is>
      </c>
      <c r="C933" s="8" t="inlineStr">
        <is>
          <t>2559101568</t>
        </is>
      </c>
      <c r="D933" s="8" t="inlineStr">
        <is>
          <t>ETM, акт 1С за месяц не выгружен</t>
        </is>
      </c>
      <c r="E933" s="8" t="inlineStr">
        <is>
          <t>Выгрузка 1С</t>
        </is>
      </c>
      <c r="F933" s="8" t="inlineStr">
        <is>
          <t>B</t>
        </is>
      </c>
      <c r="G933" s="14" t="n">
        <v>0</v>
      </c>
      <c r="H933" s="14" t="n">
        <v>-51517.29</v>
      </c>
      <c r="I933" s="14" t="n">
        <v>51517.29</v>
      </c>
      <c r="J933" s="14" t="n">
        <v>-51517.29</v>
      </c>
      <c r="K933" s="21" t="n">
        <v>46146.53277777778</v>
      </c>
      <c r="L933" s="21" t="n"/>
      <c r="M933" s="8" t="inlineStr"/>
      <c r="N933" s="8" t="inlineStr">
        <is>
          <t>Бухгалтер: выгрузить акт</t>
        </is>
      </c>
      <c r="O933" s="8" t="inlineStr">
        <is>
          <t>n.abdyldaeva</t>
        </is>
      </c>
      <c r="P933" s="12" t="inlineStr">
        <is>
          <t>Операция есть в ETM, а акт 1С за этот (или следующий) месяц не выгружен — сначала получить акт</t>
        </is>
      </c>
      <c r="Q933" s="8" t="inlineStr">
        <is>
          <t>57251521</t>
        </is>
      </c>
    </row>
    <row r="934">
      <c r="A934" s="8" t="inlineStr">
        <is>
          <t>G08147</t>
        </is>
      </c>
      <c r="B934" s="8" t="inlineStr">
        <is>
          <t>ИП Жумабекова Б. Н.</t>
        </is>
      </c>
      <c r="C934" s="8" t="inlineStr">
        <is>
          <t>2420845489|2420845491</t>
        </is>
      </c>
      <c r="D934" s="8" t="inlineStr">
        <is>
          <t>ETM, акт 1С за месяц не выгружен</t>
        </is>
      </c>
      <c r="E934" s="8" t="inlineStr">
        <is>
          <t>Выгрузка 1С</t>
        </is>
      </c>
      <c r="F934" s="8" t="inlineStr">
        <is>
          <t>B</t>
        </is>
      </c>
      <c r="G934" s="14" t="n">
        <v>0</v>
      </c>
      <c r="H934" s="14" t="n">
        <v>-51334.68</v>
      </c>
      <c r="I934" s="14" t="n">
        <v>51334.676</v>
      </c>
      <c r="J934" s="14" t="n">
        <v>-51334.68</v>
      </c>
      <c r="K934" s="21" t="n">
        <v>46160.36390046297</v>
      </c>
      <c r="L934" s="21" t="n"/>
      <c r="M934" s="8" t="inlineStr"/>
      <c r="N934" s="8" t="inlineStr">
        <is>
          <t>Бухгалтер: выгрузить акт</t>
        </is>
      </c>
      <c r="O934" s="8" t="inlineStr">
        <is>
          <t>k.dzhumaev</t>
        </is>
      </c>
      <c r="P934" s="12" t="inlineStr">
        <is>
          <t>Операция есть в ETM, а акт 1С за этот (или следующий) месяц не выгружен — сначала получить акт</t>
        </is>
      </c>
      <c r="Q934" s="8" t="inlineStr">
        <is>
          <t>57295486</t>
        </is>
      </c>
    </row>
    <row r="935">
      <c r="A935" s="8" t="inlineStr">
        <is>
          <t>G12965</t>
        </is>
      </c>
      <c r="B935" s="8" t="inlineStr">
        <is>
          <t>Сатар уулу Санжар</t>
        </is>
      </c>
      <c r="C935" s="8" t="inlineStr">
        <is>
          <t>2420846367|2420846368</t>
        </is>
      </c>
      <c r="D935" s="8" t="inlineStr">
        <is>
          <t>ETM, акт 1С за месяц не выгружен</t>
        </is>
      </c>
      <c r="E935" s="8" t="inlineStr">
        <is>
          <t>Выгрузка 1С</t>
        </is>
      </c>
      <c r="F935" s="8" t="inlineStr">
        <is>
          <t>B</t>
        </is>
      </c>
      <c r="G935" s="14" t="n">
        <v>0</v>
      </c>
      <c r="H935" s="14" t="n">
        <v>-51065.84</v>
      </c>
      <c r="I935" s="14" t="n">
        <v>51120.1388</v>
      </c>
      <c r="J935" s="14" t="n">
        <v>-51065.84</v>
      </c>
      <c r="K935" s="21" t="n">
        <v>46203.63822916667</v>
      </c>
      <c r="L935" s="21" t="n"/>
      <c r="M935" s="8" t="inlineStr"/>
      <c r="N935" s="8" t="inlineStr">
        <is>
          <t>Бухгалтер: выгрузить акт</t>
        </is>
      </c>
      <c r="O935" s="8" t="inlineStr">
        <is>
          <t>r.sydykov</t>
        </is>
      </c>
      <c r="P935" s="12" t="inlineStr">
        <is>
          <t>Операция есть в ETM, а акт 1С за этот (или следующий) месяц не выгружен — сначала получить акт</t>
        </is>
      </c>
      <c r="Q935" s="8" t="inlineStr">
        <is>
          <t>57412039,57412054</t>
        </is>
      </c>
    </row>
    <row r="936">
      <c r="A936" s="8" t="inlineStr">
        <is>
          <t>G13366</t>
        </is>
      </c>
      <c r="B936" s="8" t="inlineStr">
        <is>
          <t>Сатар уулу Санжар</t>
        </is>
      </c>
      <c r="C936" s="8" t="inlineStr">
        <is>
          <t>2559102761</t>
        </is>
      </c>
      <c r="D936" s="8" t="inlineStr">
        <is>
          <t>ETM, акт 1С за месяц не выгружен</t>
        </is>
      </c>
      <c r="E936" s="8" t="inlineStr">
        <is>
          <t>Выгрузка 1С</t>
        </is>
      </c>
      <c r="F936" s="8" t="inlineStr">
        <is>
          <t>B</t>
        </is>
      </c>
      <c r="G936" s="14" t="n">
        <v>0</v>
      </c>
      <c r="H936" s="14" t="n">
        <v>-50687.71</v>
      </c>
      <c r="I936" s="14" t="n">
        <v>50687.715</v>
      </c>
      <c r="J936" s="14" t="n">
        <v>-50687.71</v>
      </c>
      <c r="K936" s="21" t="n">
        <v>46124.68377314815</v>
      </c>
      <c r="L936" s="21" t="n"/>
      <c r="M936" s="8" t="inlineStr"/>
      <c r="N936" s="8" t="inlineStr">
        <is>
          <t>Бухгалтер: выгрузить акт</t>
        </is>
      </c>
      <c r="O936" s="8" t="inlineStr">
        <is>
          <t>r.sydykov</t>
        </is>
      </c>
      <c r="P936" s="12" t="inlineStr">
        <is>
          <t>Операция есть в ETM, а акт 1С за этот (или следующий) месяц не выгружен — сначала получить акт</t>
        </is>
      </c>
      <c r="Q936" s="8" t="inlineStr">
        <is>
          <t>57203912</t>
        </is>
      </c>
    </row>
    <row r="937">
      <c r="A937" s="8" t="inlineStr">
        <is>
          <t>G14505</t>
        </is>
      </c>
      <c r="B937" s="8" t="inlineStr">
        <is>
          <t>Чолпон Тревел</t>
        </is>
      </c>
      <c r="C937" s="8" t="inlineStr">
        <is>
          <t>2559099294|2559099297</t>
        </is>
      </c>
      <c r="D937" s="8" t="inlineStr">
        <is>
          <t>ETM, акт 1С за месяц не выгружен</t>
        </is>
      </c>
      <c r="E937" s="8" t="inlineStr">
        <is>
          <t>Выгрузка 1С</t>
        </is>
      </c>
      <c r="F937" s="8" t="inlineStr">
        <is>
          <t>B</t>
        </is>
      </c>
      <c r="G937" s="14" t="n">
        <v>0</v>
      </c>
      <c r="H937" s="14" t="n">
        <v>-50598.58</v>
      </c>
      <c r="I937" s="14" t="n"/>
      <c r="J937" s="14" t="n">
        <v>-50598.58</v>
      </c>
      <c r="K937" s="21" t="n">
        <v>46136.79206018519</v>
      </c>
      <c r="L937" s="21" t="n"/>
      <c r="M937" s="8" t="inlineStr"/>
      <c r="N937" s="8" t="inlineStr">
        <is>
          <t>Бухгалтер: выгрузить акт</t>
        </is>
      </c>
      <c r="O937" s="8" t="inlineStr"/>
      <c r="P937" s="12" t="inlineStr">
        <is>
          <t>Операция есть в ETM, а акт 1С за этот (или следующий) месяц не выгружен — сначала получить акт</t>
        </is>
      </c>
      <c r="Q937" s="8" t="inlineStr">
        <is>
          <t>57223770</t>
        </is>
      </c>
    </row>
    <row r="938">
      <c r="A938" s="8" t="inlineStr">
        <is>
          <t>G07269</t>
        </is>
      </c>
      <c r="B938" s="8" t="inlineStr">
        <is>
          <t>Жибек Эйр</t>
        </is>
      </c>
      <c r="C938" s="8" t="inlineStr">
        <is>
          <t>2460736255|2460736256</t>
        </is>
      </c>
      <c r="D938" s="8" t="inlineStr">
        <is>
          <t>ETM, акт 1С за месяц не выгружен</t>
        </is>
      </c>
      <c r="E938" s="8" t="inlineStr">
        <is>
          <t>Выгрузка 1С</t>
        </is>
      </c>
      <c r="F938" s="8" t="inlineStr">
        <is>
          <t>B</t>
        </is>
      </c>
      <c r="G938" s="14" t="n">
        <v>0</v>
      </c>
      <c r="H938" s="14" t="n">
        <v>-50436.7</v>
      </c>
      <c r="I938" s="14" t="n">
        <v>50436.7</v>
      </c>
      <c r="J938" s="14" t="n">
        <v>-50436.7</v>
      </c>
      <c r="K938" s="21" t="n">
        <v>46138.38319444445</v>
      </c>
      <c r="L938" s="21" t="n"/>
      <c r="M938" s="8" t="inlineStr"/>
      <c r="N938" s="8" t="inlineStr">
        <is>
          <t>Бухгалтер: выгрузить акт</t>
        </is>
      </c>
      <c r="O938" s="8" t="inlineStr">
        <is>
          <t>g.omurbekova|n.abdyldaeva</t>
        </is>
      </c>
      <c r="P938" s="12" t="inlineStr">
        <is>
          <t>Операция есть в ETM, а акт 1С за этот (или следующий) месяц не выгружен — сначала получить акт</t>
        </is>
      </c>
      <c r="Q938" s="8" t="inlineStr">
        <is>
          <t>57230818,57230830,57235993</t>
        </is>
      </c>
    </row>
    <row r="939">
      <c r="A939" s="8" t="inlineStr">
        <is>
          <t>G14048</t>
        </is>
      </c>
      <c r="B939" s="8" t="inlineStr">
        <is>
          <t>Тянь-Шань Тур</t>
        </is>
      </c>
      <c r="C939" s="8" t="inlineStr">
        <is>
          <t>2559103515</t>
        </is>
      </c>
      <c r="D939" s="8" t="inlineStr">
        <is>
          <t>ETM, акт 1С за месяц не выгружен</t>
        </is>
      </c>
      <c r="E939" s="8" t="inlineStr">
        <is>
          <t>Выгрузка 1С</t>
        </is>
      </c>
      <c r="F939" s="8" t="inlineStr">
        <is>
          <t>B</t>
        </is>
      </c>
      <c r="G939" s="14" t="n">
        <v>0</v>
      </c>
      <c r="H939" s="14" t="n">
        <v>-49802.4</v>
      </c>
      <c r="I939" s="14" t="n">
        <v>49802.4</v>
      </c>
      <c r="J939" s="14" t="n">
        <v>-49802.4</v>
      </c>
      <c r="K939" s="21" t="n">
        <v>46154.6740162037</v>
      </c>
      <c r="L939" s="21" t="n"/>
      <c r="M939" s="8" t="inlineStr"/>
      <c r="N939" s="8" t="inlineStr">
        <is>
          <t>Бухгалтер: выгрузить акт</t>
        </is>
      </c>
      <c r="O939" s="8" t="inlineStr">
        <is>
          <t>e.satarov</t>
        </is>
      </c>
      <c r="P939" s="12" t="inlineStr">
        <is>
          <t>Операция есть в ETM, а акт 1С за этот (или следующий) месяц не выгружен — сначала получить акт</t>
        </is>
      </c>
      <c r="Q939" s="8" t="inlineStr">
        <is>
          <t>57277679</t>
        </is>
      </c>
    </row>
    <row r="940">
      <c r="A940" s="8" t="inlineStr">
        <is>
          <t>G07078</t>
        </is>
      </c>
      <c r="B940" s="8" t="inlineStr">
        <is>
          <t>Жибек Вояж</t>
        </is>
      </c>
      <c r="C940" s="8" t="inlineStr">
        <is>
          <t>2420847127|2420847130</t>
        </is>
      </c>
      <c r="D940" s="8" t="inlineStr">
        <is>
          <t>ETM, акт 1С за месяц не выгружен</t>
        </is>
      </c>
      <c r="E940" s="8" t="inlineStr">
        <is>
          <t>Выгрузка 1С</t>
        </is>
      </c>
      <c r="F940" s="8" t="inlineStr">
        <is>
          <t>B</t>
        </is>
      </c>
      <c r="G940" s="14" t="n">
        <v>0</v>
      </c>
      <c r="H940" s="14" t="n">
        <v>-49408.34</v>
      </c>
      <c r="I940" s="14" t="n">
        <v>49267.7574</v>
      </c>
      <c r="J940" s="14" t="n">
        <v>-49408.34</v>
      </c>
      <c r="K940" s="21" t="n">
        <v>46139.47149305556</v>
      </c>
      <c r="L940" s="21" t="n"/>
      <c r="M940" s="8" t="inlineStr"/>
      <c r="N940" s="8" t="inlineStr">
        <is>
          <t>Бухгалтер: выгрузить акт</t>
        </is>
      </c>
      <c r="O940" s="8" t="inlineStr">
        <is>
          <t>k.dzhumaev</t>
        </is>
      </c>
      <c r="P940" s="12" t="inlineStr">
        <is>
          <t>Операция есть в ETM, а акт 1С за этот (или следующий) месяц не выгружен — сначала получить акт</t>
        </is>
      </c>
      <c r="Q940" s="8" t="inlineStr">
        <is>
          <t>57230937,57230952</t>
        </is>
      </c>
    </row>
    <row r="941">
      <c r="A941" s="8" t="inlineStr">
        <is>
          <t>G09051</t>
        </is>
      </c>
      <c r="B941" s="8" t="inlineStr">
        <is>
          <t>ИССЫК ТРИП</t>
        </is>
      </c>
      <c r="C941" s="8" t="inlineStr">
        <is>
          <t>2460732806|2460732808</t>
        </is>
      </c>
      <c r="D941" s="8" t="inlineStr">
        <is>
          <t>ETM, акт 1С за месяц не выгружен</t>
        </is>
      </c>
      <c r="E941" s="8" t="inlineStr">
        <is>
          <t>Выгрузка 1С</t>
        </is>
      </c>
      <c r="F941" s="8" t="inlineStr">
        <is>
          <t>B</t>
        </is>
      </c>
      <c r="G941" s="14" t="n">
        <v>0</v>
      </c>
      <c r="H941" s="14" t="n">
        <v>-49326</v>
      </c>
      <c r="I941" s="14" t="n">
        <v>49326</v>
      </c>
      <c r="J941" s="14" t="n">
        <v>-49326</v>
      </c>
      <c r="K941" s="21" t="n">
        <v>46081.35739583334</v>
      </c>
      <c r="L941" s="21" t="n"/>
      <c r="M941" s="8" t="inlineStr"/>
      <c r="N941" s="8" t="inlineStr">
        <is>
          <t>Бухгалтер: выгрузить акт</t>
        </is>
      </c>
      <c r="O941" s="8" t="inlineStr">
        <is>
          <t>b.isakov</t>
        </is>
      </c>
      <c r="P941" s="12" t="inlineStr">
        <is>
          <t>Операция есть в ETM, а акт 1С за этот (или следующий) месяц не выгружен — сначала получить акт</t>
        </is>
      </c>
      <c r="Q941" s="8" t="inlineStr">
        <is>
          <t>57114003,57113993</t>
        </is>
      </c>
    </row>
    <row r="942">
      <c r="A942" s="8" t="inlineStr">
        <is>
          <t>G13194</t>
        </is>
      </c>
      <c r="B942" s="8" t="inlineStr">
        <is>
          <t>Сатар уулу Санжар</t>
        </is>
      </c>
      <c r="C942" s="8" t="inlineStr">
        <is>
          <t>2476314376|2476314379</t>
        </is>
      </c>
      <c r="D942" s="8" t="inlineStr">
        <is>
          <t>ETM, акт 1С за месяц не выгружен</t>
        </is>
      </c>
      <c r="E942" s="8" t="inlineStr">
        <is>
          <t>Выгрузка 1С</t>
        </is>
      </c>
      <c r="F942" s="8" t="inlineStr">
        <is>
          <t>B</t>
        </is>
      </c>
      <c r="G942" s="14" t="n">
        <v>0</v>
      </c>
      <c r="H942" s="14" t="n">
        <v>-47715.66</v>
      </c>
      <c r="I942" s="14" t="n">
        <v>47715.66</v>
      </c>
      <c r="J942" s="14" t="n">
        <v>-47715.66</v>
      </c>
      <c r="K942" s="21" t="n">
        <v>46188.43769675926</v>
      </c>
      <c r="L942" s="21" t="n"/>
      <c r="M942" s="8" t="inlineStr"/>
      <c r="N942" s="8" t="inlineStr">
        <is>
          <t>Бухгалтер: выгрузить акт</t>
        </is>
      </c>
      <c r="O942" s="8" t="inlineStr">
        <is>
          <t>r.sydykov</t>
        </is>
      </c>
      <c r="P942" s="12" t="inlineStr">
        <is>
          <t>Операция есть в ETM, а акт 1С за этот (или следующий) месяц не выгружен — сначала получить акт</t>
        </is>
      </c>
      <c r="Q942" s="8" t="inlineStr">
        <is>
          <t>57368692</t>
        </is>
      </c>
    </row>
    <row r="943">
      <c r="A943" s="8" t="inlineStr">
        <is>
          <t>G07586</t>
        </is>
      </c>
      <c r="B943" s="8" t="inlineStr">
        <is>
          <t>Жолчу кызы А.</t>
        </is>
      </c>
      <c r="C943" s="8" t="inlineStr">
        <is>
          <t>2559103493</t>
        </is>
      </c>
      <c r="D943" s="8" t="inlineStr">
        <is>
          <t>ETM, акт 1С за месяц не выгружен</t>
        </is>
      </c>
      <c r="E943" s="8" t="inlineStr">
        <is>
          <t>Выгрузка 1С</t>
        </is>
      </c>
      <c r="F943" s="8" t="inlineStr">
        <is>
          <t>B</t>
        </is>
      </c>
      <c r="G943" s="14" t="n">
        <v>0</v>
      </c>
      <c r="H943" s="14" t="n">
        <v>-47166.72</v>
      </c>
      <c r="I943" s="14" t="n"/>
      <c r="J943" s="14" t="n">
        <v>-47166.72</v>
      </c>
      <c r="K943" s="21" t="n">
        <v>46186.47321759259</v>
      </c>
      <c r="L943" s="21" t="n"/>
      <c r="M943" s="8" t="inlineStr"/>
      <c r="N943" s="8" t="inlineStr">
        <is>
          <t>Бухгалтер: выгрузить акт</t>
        </is>
      </c>
      <c r="O943" s="8" t="inlineStr"/>
      <c r="P943" s="12" t="inlineStr">
        <is>
          <t>Операция есть в ETM, а акт 1С за этот (или следующий) месяц не выгружен — сначала получить акт</t>
        </is>
      </c>
      <c r="Q943" s="8" t="inlineStr">
        <is>
          <t>57365272</t>
        </is>
      </c>
    </row>
    <row r="944">
      <c r="A944" s="8" t="inlineStr">
        <is>
          <t>G07587</t>
        </is>
      </c>
      <c r="B944" s="8" t="inlineStr">
        <is>
          <t>Жолчу кызы А.</t>
        </is>
      </c>
      <c r="C944" s="8" t="inlineStr">
        <is>
          <t>2559103496</t>
        </is>
      </c>
      <c r="D944" s="8" t="inlineStr">
        <is>
          <t>ETM, акт 1С за месяц не выгружен</t>
        </is>
      </c>
      <c r="E944" s="8" t="inlineStr">
        <is>
          <t>Выгрузка 1С</t>
        </is>
      </c>
      <c r="F944" s="8" t="inlineStr">
        <is>
          <t>B</t>
        </is>
      </c>
      <c r="G944" s="14" t="n">
        <v>0</v>
      </c>
      <c r="H944" s="14" t="n">
        <v>-47166.72</v>
      </c>
      <c r="I944" s="14" t="n"/>
      <c r="J944" s="14" t="n">
        <v>-47166.72</v>
      </c>
      <c r="K944" s="21" t="n">
        <v>46186.56988425926</v>
      </c>
      <c r="L944" s="21" t="n"/>
      <c r="M944" s="8" t="inlineStr"/>
      <c r="N944" s="8" t="inlineStr">
        <is>
          <t>Бухгалтер: выгрузить акт</t>
        </is>
      </c>
      <c r="O944" s="8" t="inlineStr"/>
      <c r="P944" s="12" t="inlineStr">
        <is>
          <t>Операция есть в ETM, а акт 1С за этот (или следующий) месяц не выгружен — сначала получить акт</t>
        </is>
      </c>
      <c r="Q944" s="8" t="inlineStr">
        <is>
          <t>57365295</t>
        </is>
      </c>
    </row>
    <row r="945">
      <c r="A945" s="8" t="inlineStr">
        <is>
          <t>G14543</t>
        </is>
      </c>
      <c r="B945" s="8" t="inlineStr">
        <is>
          <t>Чынар уулу Эмир</t>
        </is>
      </c>
      <c r="C945" s="8" t="inlineStr">
        <is>
          <t>2461883630|2461883631|2461883633</t>
        </is>
      </c>
      <c r="D945" s="8" t="inlineStr">
        <is>
          <t>ETM, акт 1С за месяц не выгружен</t>
        </is>
      </c>
      <c r="E945" s="8" t="inlineStr">
        <is>
          <t>Выгрузка 1С</t>
        </is>
      </c>
      <c r="F945" s="8" t="inlineStr">
        <is>
          <t>B</t>
        </is>
      </c>
      <c r="G945" s="14" t="n">
        <v>0</v>
      </c>
      <c r="H945" s="14" t="n">
        <v>-47043</v>
      </c>
      <c r="I945" s="14" t="n">
        <v>47043</v>
      </c>
      <c r="J945" s="14" t="n">
        <v>-47043</v>
      </c>
      <c r="K945" s="21" t="n">
        <v>46095.52056712963</v>
      </c>
      <c r="L945" s="21" t="n"/>
      <c r="M945" s="8" t="inlineStr"/>
      <c r="N945" s="8" t="inlineStr">
        <is>
          <t>Бухгалтер: выгрузить акт</t>
        </is>
      </c>
      <c r="O945" s="8" t="inlineStr">
        <is>
          <t>g.omurbekova</t>
        </is>
      </c>
      <c r="P945" s="12" t="inlineStr">
        <is>
          <t>Операция есть в ETM, а акт 1С за этот (или следующий) месяц не выгружен — сначала получить акт</t>
        </is>
      </c>
      <c r="Q945" s="8" t="inlineStr">
        <is>
          <t>57147599,57147559,57147587</t>
        </is>
      </c>
    </row>
    <row r="946">
      <c r="A946" s="8" t="inlineStr">
        <is>
          <t>G08342</t>
        </is>
      </c>
      <c r="B946" s="8" t="inlineStr">
        <is>
          <t>ИП Муратов Э. У.</t>
        </is>
      </c>
      <c r="C946" s="8" t="inlineStr">
        <is>
          <t>2416946379</t>
        </is>
      </c>
      <c r="D946" s="8" t="inlineStr">
        <is>
          <t>ETM, акт 1С за месяц не выгружен</t>
        </is>
      </c>
      <c r="E946" s="8" t="inlineStr">
        <is>
          <t>Выгрузка 1С</t>
        </is>
      </c>
      <c r="F946" s="8" t="inlineStr">
        <is>
          <t>B</t>
        </is>
      </c>
      <c r="G946" s="14" t="n">
        <v>0</v>
      </c>
      <c r="H946" s="14" t="n">
        <v>-46926.15</v>
      </c>
      <c r="I946" s="14" t="n">
        <v>46926.15</v>
      </c>
      <c r="J946" s="14" t="n">
        <v>-46926.15</v>
      </c>
      <c r="K946" s="21" t="n">
        <v>46092.47542824074</v>
      </c>
      <c r="L946" s="21" t="n"/>
      <c r="M946" s="8" t="inlineStr"/>
      <c r="N946" s="8" t="inlineStr">
        <is>
          <t>Бухгалтер: выгрузить акт</t>
        </is>
      </c>
      <c r="O946" s="8" t="inlineStr">
        <is>
          <t>g.omurbekova</t>
        </is>
      </c>
      <c r="P946" s="12" t="inlineStr">
        <is>
          <t>Операция есть в ETM, а акт 1С за этот (или следующий) месяц не выгружен — сначала получить акт</t>
        </is>
      </c>
      <c r="Q946" s="8" t="inlineStr">
        <is>
          <t>57141378</t>
        </is>
      </c>
    </row>
    <row r="947">
      <c r="A947" s="8" t="inlineStr">
        <is>
          <t>G13983</t>
        </is>
      </c>
      <c r="B947" s="8" t="inlineStr">
        <is>
          <t>Тянь-Шань Тур</t>
        </is>
      </c>
      <c r="C947" s="8" t="inlineStr">
        <is>
          <t>2416944587</t>
        </is>
      </c>
      <c r="D947" s="8" t="inlineStr">
        <is>
          <t>ETM, акт 1С за месяц не выгружен</t>
        </is>
      </c>
      <c r="E947" s="8" t="inlineStr">
        <is>
          <t>Выгрузка 1С</t>
        </is>
      </c>
      <c r="F947" s="8" t="inlineStr">
        <is>
          <t>B</t>
        </is>
      </c>
      <c r="G947" s="14" t="n">
        <v>0</v>
      </c>
      <c r="H947" s="14" t="n">
        <v>-46605.76</v>
      </c>
      <c r="I947" s="14" t="n">
        <v>46605.755</v>
      </c>
      <c r="J947" s="14" t="n">
        <v>-46605.76</v>
      </c>
      <c r="K947" s="21" t="n">
        <v>46133.43795138889</v>
      </c>
      <c r="L947" s="21" t="n"/>
      <c r="M947" s="8" t="inlineStr"/>
      <c r="N947" s="8" t="inlineStr">
        <is>
          <t>Бухгалтер: выгрузить акт</t>
        </is>
      </c>
      <c r="O947" s="8" t="inlineStr">
        <is>
          <t>k.dzhumaev</t>
        </is>
      </c>
      <c r="P947" s="12" t="inlineStr">
        <is>
          <t>Операция есть в ETM, а акт 1С за этот (или следующий) месяц не выгружен — сначала получить акт</t>
        </is>
      </c>
      <c r="Q947" s="8" t="inlineStr">
        <is>
          <t>57220381</t>
        </is>
      </c>
    </row>
    <row r="948">
      <c r="A948" s="8" t="inlineStr">
        <is>
          <t>G07158</t>
        </is>
      </c>
      <c r="B948" s="8" t="inlineStr">
        <is>
          <t>Жибек Эйр</t>
        </is>
      </c>
      <c r="C948" s="8" t="inlineStr">
        <is>
          <t>2416944472</t>
        </is>
      </c>
      <c r="D948" s="8" t="inlineStr">
        <is>
          <t>ETM, акт 1С за месяц не выгружен</t>
        </is>
      </c>
      <c r="E948" s="8" t="inlineStr">
        <is>
          <t>Выгрузка 1С</t>
        </is>
      </c>
      <c r="F948" s="8" t="inlineStr">
        <is>
          <t>B</t>
        </is>
      </c>
      <c r="G948" s="14" t="n">
        <v>0</v>
      </c>
      <c r="H948" s="14" t="n">
        <v>-46148.62</v>
      </c>
      <c r="I948" s="14" t="n">
        <v>46148.62</v>
      </c>
      <c r="J948" s="14" t="n">
        <v>-46148.62</v>
      </c>
      <c r="K948" s="21" t="n">
        <v>46149.40076388889</v>
      </c>
      <c r="L948" s="21" t="n"/>
      <c r="M948" s="8" t="inlineStr"/>
      <c r="N948" s="8" t="inlineStr">
        <is>
          <t>Бухгалтер: выгрузить акт</t>
        </is>
      </c>
      <c r="O948" s="8" t="inlineStr">
        <is>
          <t>n.abdyldaeva</t>
        </is>
      </c>
      <c r="P948" s="12" t="inlineStr">
        <is>
          <t>Операция есть в ETM, а акт 1С за этот (или следующий) месяц не выгружен — сначала получить акт</t>
        </is>
      </c>
      <c r="Q948" s="8" t="inlineStr">
        <is>
          <t>57262362</t>
        </is>
      </c>
    </row>
    <row r="949">
      <c r="A949" s="8" t="inlineStr">
        <is>
          <t>G14555</t>
        </is>
      </c>
      <c r="B949" s="8" t="inlineStr">
        <is>
          <t>Чынар уулу Эмир</t>
        </is>
      </c>
      <c r="C949" s="8" t="inlineStr">
        <is>
          <t>2552668797</t>
        </is>
      </c>
      <c r="D949" s="8" t="inlineStr">
        <is>
          <t>ETM, акт 1С за месяц не выгружен</t>
        </is>
      </c>
      <c r="E949" s="8" t="inlineStr">
        <is>
          <t>Выгрузка 1С</t>
        </is>
      </c>
      <c r="F949" s="8" t="inlineStr">
        <is>
          <t>B</t>
        </is>
      </c>
      <c r="G949" s="14" t="n">
        <v>0</v>
      </c>
      <c r="H949" s="14" t="n">
        <v>-46046.3</v>
      </c>
      <c r="I949" s="14" t="n">
        <v>46046.30250000001</v>
      </c>
      <c r="J949" s="14" t="n">
        <v>-46046.3</v>
      </c>
      <c r="K949" s="21" t="n">
        <v>46094.68734953704</v>
      </c>
      <c r="L949" s="21" t="n"/>
      <c r="M949" s="8" t="inlineStr"/>
      <c r="N949" s="8" t="inlineStr">
        <is>
          <t>Бухгалтер: выгрузить акт</t>
        </is>
      </c>
      <c r="O949" s="8" t="inlineStr">
        <is>
          <t>e.satarov</t>
        </is>
      </c>
      <c r="P949" s="12" t="inlineStr">
        <is>
          <t>Операция есть в ETM, а акт 1С за этот (или следующий) месяц не выгружен — сначала получить акт</t>
        </is>
      </c>
      <c r="Q949" s="8" t="inlineStr">
        <is>
          <t>57144893</t>
        </is>
      </c>
    </row>
    <row r="950">
      <c r="A950" s="8" t="inlineStr">
        <is>
          <t>G07421</t>
        </is>
      </c>
      <c r="B950" s="8" t="inlineStr">
        <is>
          <t>Жибек Эйр</t>
        </is>
      </c>
      <c r="C950" s="8" t="inlineStr">
        <is>
          <t>2559099545|2559099548</t>
        </is>
      </c>
      <c r="D950" s="8" t="inlineStr">
        <is>
          <t>ETM, акт 1С за месяц не выгружен</t>
        </is>
      </c>
      <c r="E950" s="8" t="inlineStr">
        <is>
          <t>Выгрузка 1С</t>
        </is>
      </c>
      <c r="F950" s="8" t="inlineStr">
        <is>
          <t>B</t>
        </is>
      </c>
      <c r="G950" s="14" t="n">
        <v>0</v>
      </c>
      <c r="H950" s="14" t="n">
        <v>-45964.24</v>
      </c>
      <c r="I950" s="14" t="n">
        <v>45964.25</v>
      </c>
      <c r="J950" s="14" t="n">
        <v>-45964.24</v>
      </c>
      <c r="K950" s="21" t="n">
        <v>46164.42870370371</v>
      </c>
      <c r="L950" s="21" t="n"/>
      <c r="M950" s="8" t="inlineStr"/>
      <c r="N950" s="8" t="inlineStr">
        <is>
          <t>Бухгалтер: выгрузить акт</t>
        </is>
      </c>
      <c r="O950" s="8" t="inlineStr">
        <is>
          <t>k.dzhumaev</t>
        </is>
      </c>
      <c r="P950" s="12" t="inlineStr">
        <is>
          <t>Операция есть в ETM, а акт 1С за этот (или следующий) месяц не выгружен — сначала получить акт</t>
        </is>
      </c>
      <c r="Q950" s="8" t="inlineStr">
        <is>
          <t>57306723,57306691</t>
        </is>
      </c>
    </row>
    <row r="951">
      <c r="A951" s="8" t="inlineStr">
        <is>
          <t>G08473</t>
        </is>
      </c>
      <c r="B951" s="8" t="inlineStr">
        <is>
          <t>ИП Муратов Э. У.</t>
        </is>
      </c>
      <c r="C951" s="8" t="inlineStr">
        <is>
          <t>2559099475</t>
        </is>
      </c>
      <c r="D951" s="8" t="inlineStr">
        <is>
          <t>ETM, акт 1С за месяц не выгружен</t>
        </is>
      </c>
      <c r="E951" s="8" t="inlineStr">
        <is>
          <t>Выгрузка 1С</t>
        </is>
      </c>
      <c r="F951" s="8" t="inlineStr">
        <is>
          <t>B</t>
        </is>
      </c>
      <c r="G951" s="14" t="n">
        <v>0</v>
      </c>
      <c r="H951" s="14" t="n">
        <v>-45834.24</v>
      </c>
      <c r="I951" s="14" t="n"/>
      <c r="J951" s="14" t="n">
        <v>-45834.24</v>
      </c>
      <c r="K951" s="21" t="n">
        <v>46112.40190972222</v>
      </c>
      <c r="L951" s="21" t="n"/>
      <c r="M951" s="8" t="inlineStr"/>
      <c r="N951" s="8" t="inlineStr">
        <is>
          <t>Бухгалтер: выгрузить акт</t>
        </is>
      </c>
      <c r="O951" s="8" t="inlineStr"/>
      <c r="P951" s="12" t="inlineStr">
        <is>
          <t>Операция есть в ETM, а акт 1С за этот (или следующий) месяц не выгружен — сначала получить акт</t>
        </is>
      </c>
      <c r="Q951" s="8" t="inlineStr">
        <is>
          <t>57182485</t>
        </is>
      </c>
    </row>
    <row r="952">
      <c r="A952" s="8" t="inlineStr">
        <is>
          <t>G14552</t>
        </is>
      </c>
      <c r="B952" s="8" t="inlineStr">
        <is>
          <t>Чынар уулу Эмир</t>
        </is>
      </c>
      <c r="C952" s="8" t="inlineStr">
        <is>
          <t>2476320209|2476320211|2476320213</t>
        </is>
      </c>
      <c r="D952" s="8" t="inlineStr">
        <is>
          <t>ETM, акт 1С за месяц не выгружен</t>
        </is>
      </c>
      <c r="E952" s="8" t="inlineStr">
        <is>
          <t>Выгрузка 1С</t>
        </is>
      </c>
      <c r="F952" s="8" t="inlineStr">
        <is>
          <t>B</t>
        </is>
      </c>
      <c r="G952" s="14" t="n">
        <v>0</v>
      </c>
      <c r="H952" s="14" t="n">
        <v>-45700.29</v>
      </c>
      <c r="I952" s="14" t="n">
        <v>45700.29</v>
      </c>
      <c r="J952" s="14" t="n">
        <v>-45700.29</v>
      </c>
      <c r="K952" s="21" t="n">
        <v>46066.46346064815</v>
      </c>
      <c r="L952" s="21" t="n"/>
      <c r="M952" s="8" t="inlineStr"/>
      <c r="N952" s="8" t="inlineStr">
        <is>
          <t>Бухгалтер: выгрузить акт</t>
        </is>
      </c>
      <c r="O952" s="8" t="inlineStr">
        <is>
          <t>k.dzhumaev</t>
        </is>
      </c>
      <c r="P952" s="12" t="inlineStr">
        <is>
          <t>Операция есть в ETM, а акт 1С за этот (или следующий) месяц не выгружен — сначала получить акт</t>
        </is>
      </c>
      <c r="Q952" s="8" t="inlineStr">
        <is>
          <t>57089897,57089908,57089896</t>
        </is>
      </c>
    </row>
    <row r="953">
      <c r="A953" s="8" t="inlineStr">
        <is>
          <t>G13230</t>
        </is>
      </c>
      <c r="B953" s="8" t="inlineStr">
        <is>
          <t>Сатар уулу Санжар</t>
        </is>
      </c>
      <c r="C953" s="8" t="inlineStr">
        <is>
          <t>2476317606|2476317609|2476317612</t>
        </is>
      </c>
      <c r="D953" s="8" t="inlineStr">
        <is>
          <t>ETM, акт 1С за месяц не выгружен</t>
        </is>
      </c>
      <c r="E953" s="8" t="inlineStr">
        <is>
          <t>Выгрузка 1С</t>
        </is>
      </c>
      <c r="F953" s="8" t="inlineStr">
        <is>
          <t>B</t>
        </is>
      </c>
      <c r="G953" s="14" t="n">
        <v>0</v>
      </c>
      <c r="H953" s="14" t="n">
        <v>-45602.7</v>
      </c>
      <c r="I953" s="14" t="n">
        <v>45602.7</v>
      </c>
      <c r="J953" s="14" t="n">
        <v>-45602.7</v>
      </c>
      <c r="K953" s="21" t="n">
        <v>46135.41932870371</v>
      </c>
      <c r="L953" s="21" t="n"/>
      <c r="M953" s="8" t="inlineStr"/>
      <c r="N953" s="8" t="inlineStr">
        <is>
          <t>Бухгалтер: выгрузить акт</t>
        </is>
      </c>
      <c r="O953" s="8" t="inlineStr">
        <is>
          <t>d.mambetova</t>
        </is>
      </c>
      <c r="P953" s="12" t="inlineStr">
        <is>
          <t>Операция есть в ETM, а акт 1С за этот (или следующий) месяц не выгружен — сначала получить акт</t>
        </is>
      </c>
      <c r="Q953" s="8" t="inlineStr">
        <is>
          <t>57224675,57224657,57224677</t>
        </is>
      </c>
    </row>
    <row r="954">
      <c r="A954" s="8" t="inlineStr">
        <is>
          <t>G07475</t>
        </is>
      </c>
      <c r="B954" s="8" t="inlineStr">
        <is>
          <t>Жолчу кызы А.</t>
        </is>
      </c>
      <c r="C954" s="8" t="inlineStr">
        <is>
          <t>2420846976|2420846977</t>
        </is>
      </c>
      <c r="D954" s="8" t="inlineStr">
        <is>
          <t>ETM, акт 1С за месяц не выгружен</t>
        </is>
      </c>
      <c r="E954" s="8" t="inlineStr">
        <is>
          <t>Выгрузка 1С</t>
        </is>
      </c>
      <c r="F954" s="8" t="inlineStr">
        <is>
          <t>B</t>
        </is>
      </c>
      <c r="G954" s="14" t="n">
        <v>0</v>
      </c>
      <c r="H954" s="14" t="n">
        <v>-45455.14</v>
      </c>
      <c r="I954" s="14" t="n">
        <v>45455.134</v>
      </c>
      <c r="J954" s="14" t="n">
        <v>-45455.14</v>
      </c>
      <c r="K954" s="21" t="n">
        <v>46192.3874537037</v>
      </c>
      <c r="L954" s="21" t="n"/>
      <c r="M954" s="8" t="inlineStr"/>
      <c r="N954" s="8" t="inlineStr">
        <is>
          <t>Бухгалтер: выгрузить акт</t>
        </is>
      </c>
      <c r="O954" s="8" t="inlineStr">
        <is>
          <t>d.mambetova</t>
        </is>
      </c>
      <c r="P954" s="12" t="inlineStr">
        <is>
          <t>Операция есть в ETM, а акт 1С за этот (или следующий) месяц не выгружен — сначала получить акт</t>
        </is>
      </c>
      <c r="Q954" s="8" t="inlineStr">
        <is>
          <t>57381663</t>
        </is>
      </c>
    </row>
    <row r="955">
      <c r="A955" s="8" t="inlineStr">
        <is>
          <t>G14322</t>
        </is>
      </c>
      <c r="B955" s="8" t="inlineStr">
        <is>
          <t>ЧОЛПОН ТУР</t>
        </is>
      </c>
      <c r="C955" s="8" t="inlineStr">
        <is>
          <t>2476318613|2476318615|2476318617</t>
        </is>
      </c>
      <c r="D955" s="8" t="inlineStr">
        <is>
          <t>ETM, акт 1С за месяц не выгружен</t>
        </is>
      </c>
      <c r="E955" s="8" t="inlineStr">
        <is>
          <t>Выгрузка 1С</t>
        </is>
      </c>
      <c r="F955" s="8" t="inlineStr">
        <is>
          <t>B</t>
        </is>
      </c>
      <c r="G955" s="14" t="n">
        <v>0</v>
      </c>
      <c r="H955" s="14" t="n">
        <v>-44905.56</v>
      </c>
      <c r="I955" s="14" t="n">
        <v>44905.56</v>
      </c>
      <c r="J955" s="14" t="n">
        <v>-44905.56</v>
      </c>
      <c r="K955" s="21" t="n">
        <v>46093.3952662037</v>
      </c>
      <c r="L955" s="21" t="n"/>
      <c r="M955" s="8" t="inlineStr"/>
      <c r="N955" s="8" t="inlineStr">
        <is>
          <t>Бухгалтер: выгрузить акт</t>
        </is>
      </c>
      <c r="O955" s="8" t="inlineStr">
        <is>
          <t>a.toktosunova</t>
        </is>
      </c>
      <c r="P955" s="12" t="inlineStr">
        <is>
          <t>Операция есть в ETM, а акт 1С за этот (или следующий) месяц не выгружен — сначала получить акт</t>
        </is>
      </c>
      <c r="Q955" s="8" t="inlineStr">
        <is>
          <t>57140951,57140961,57140960</t>
        </is>
      </c>
    </row>
    <row r="956">
      <c r="A956" s="8" t="inlineStr">
        <is>
          <t>G08357</t>
        </is>
      </c>
      <c r="B956" s="8" t="inlineStr">
        <is>
          <t>ИП Муратов Э. У.</t>
        </is>
      </c>
      <c r="C956" s="8" t="inlineStr">
        <is>
          <t>2420845843|2420845844|2420845847</t>
        </is>
      </c>
      <c r="D956" s="8" t="inlineStr">
        <is>
          <t>ETM, акт 1С за месяц не выгружен</t>
        </is>
      </c>
      <c r="E956" s="8" t="inlineStr">
        <is>
          <t>Выгрузка 1С</t>
        </is>
      </c>
      <c r="F956" s="8" t="inlineStr">
        <is>
          <t>B</t>
        </is>
      </c>
      <c r="G956" s="14" t="n">
        <v>0</v>
      </c>
      <c r="H956" s="14" t="n">
        <v>-44531.19</v>
      </c>
      <c r="I956" s="14" t="n">
        <v>44531.19</v>
      </c>
      <c r="J956" s="14" t="n">
        <v>-44531.19</v>
      </c>
      <c r="K956" s="21" t="n">
        <v>46093.67821759259</v>
      </c>
      <c r="L956" s="21" t="n"/>
      <c r="M956" s="8" t="inlineStr"/>
      <c r="N956" s="8" t="inlineStr">
        <is>
          <t>Бухгалтер: выгрузить акт</t>
        </is>
      </c>
      <c r="O956" s="8" t="inlineStr">
        <is>
          <t>n.abdyldaeva</t>
        </is>
      </c>
      <c r="P956" s="12" t="inlineStr">
        <is>
          <t>Операция есть в ETM, а акт 1С за этот (или следующий) месяц не выгружен — сначала получить акт</t>
        </is>
      </c>
      <c r="Q956" s="8" t="inlineStr">
        <is>
          <t>57142625,57142643,57142675</t>
        </is>
      </c>
    </row>
    <row r="957">
      <c r="A957" s="8" t="inlineStr">
        <is>
          <t>G09112</t>
        </is>
      </c>
      <c r="B957" s="8" t="inlineStr">
        <is>
          <t>ИССЫК ТРИП</t>
        </is>
      </c>
      <c r="C957" s="8" t="inlineStr">
        <is>
          <t>2460738781</t>
        </is>
      </c>
      <c r="D957" s="8" t="inlineStr">
        <is>
          <t>ETM, акт 1С за месяц не выгружен</t>
        </is>
      </c>
      <c r="E957" s="8" t="inlineStr">
        <is>
          <t>Выгрузка 1С</t>
        </is>
      </c>
      <c r="F957" s="8" t="inlineStr">
        <is>
          <t>B</t>
        </is>
      </c>
      <c r="G957" s="14" t="n">
        <v>0</v>
      </c>
      <c r="H957" s="14" t="n">
        <v>-44510</v>
      </c>
      <c r="I957" s="14" t="n">
        <v>44510</v>
      </c>
      <c r="J957" s="14" t="n">
        <v>-44510</v>
      </c>
      <c r="K957" s="21" t="n">
        <v>46054.77956018518</v>
      </c>
      <c r="L957" s="21" t="n"/>
      <c r="M957" s="8" t="inlineStr"/>
      <c r="N957" s="8" t="inlineStr">
        <is>
          <t>Бухгалтер: выгрузить акт</t>
        </is>
      </c>
      <c r="O957" s="8" t="inlineStr">
        <is>
          <t>e.satarov</t>
        </is>
      </c>
      <c r="P957" s="12" t="inlineStr">
        <is>
          <t>Операция есть в ETM, а акт 1С за этот (или следующий) месяц не выгружен — сначала получить акт</t>
        </is>
      </c>
      <c r="Q957" s="8" t="inlineStr">
        <is>
          <t>57067733</t>
        </is>
      </c>
    </row>
    <row r="958">
      <c r="A958" s="8" t="inlineStr">
        <is>
          <t>G09086</t>
        </is>
      </c>
      <c r="B958" s="8" t="inlineStr">
        <is>
          <t>ИССЫК ТРИП</t>
        </is>
      </c>
      <c r="C958" s="8" t="inlineStr">
        <is>
          <t>2460735847</t>
        </is>
      </c>
      <c r="D958" s="8" t="inlineStr">
        <is>
          <t>ETM, акт 1С за месяц не выгружен</t>
        </is>
      </c>
      <c r="E958" s="8" t="inlineStr">
        <is>
          <t>Выгрузка 1С</t>
        </is>
      </c>
      <c r="F958" s="8" t="inlineStr">
        <is>
          <t>B</t>
        </is>
      </c>
      <c r="G958" s="14" t="n">
        <v>0</v>
      </c>
      <c r="H958" s="14" t="n">
        <v>-44218</v>
      </c>
      <c r="I958" s="14" t="n"/>
      <c r="J958" s="14" t="n">
        <v>-44218</v>
      </c>
      <c r="K958" s="21" t="n">
        <v>46072.4297337963</v>
      </c>
      <c r="L958" s="21" t="n"/>
      <c r="M958" s="8" t="inlineStr"/>
      <c r="N958" s="8" t="inlineStr">
        <is>
          <t>Бухгалтер: выгрузить акт</t>
        </is>
      </c>
      <c r="O958" s="8" t="inlineStr"/>
      <c r="P958" s="12" t="inlineStr">
        <is>
          <t>Операция есть в ETM, а акт 1С за этот (или следующий) месяц не выгружен — сначала получить акт</t>
        </is>
      </c>
      <c r="Q958" s="8" t="inlineStr">
        <is>
          <t>57098401</t>
        </is>
      </c>
    </row>
    <row r="959">
      <c r="A959" s="8" t="inlineStr">
        <is>
          <t>G05837</t>
        </is>
      </c>
      <c r="B959" s="8" t="inlineStr">
        <is>
          <t>Асанов Кубат Чынаревич</t>
        </is>
      </c>
      <c r="C959" s="8" t="inlineStr">
        <is>
          <t>2461882774</t>
        </is>
      </c>
      <c r="D959" s="8" t="inlineStr">
        <is>
          <t>ETM, акт 1С за месяц не выгружен</t>
        </is>
      </c>
      <c r="E959" s="8" t="inlineStr">
        <is>
          <t>Выгрузка 1С</t>
        </is>
      </c>
      <c r="F959" s="8" t="inlineStr">
        <is>
          <t>B</t>
        </is>
      </c>
      <c r="G959" s="14" t="n">
        <v>0</v>
      </c>
      <c r="H959" s="14" t="n">
        <v>-44204</v>
      </c>
      <c r="I959" s="14" t="n"/>
      <c r="J959" s="14" t="n">
        <v>-44204</v>
      </c>
      <c r="K959" s="21" t="n">
        <v>46071.33723379629</v>
      </c>
      <c r="L959" s="21" t="n"/>
      <c r="M959" s="8" t="inlineStr"/>
      <c r="N959" s="8" t="inlineStr">
        <is>
          <t>Бухгалтер: выгрузить акт</t>
        </is>
      </c>
      <c r="O959" s="8" t="inlineStr"/>
      <c r="P959" s="12" t="inlineStr">
        <is>
          <t>Операция есть в ETM, а акт 1С за этот (или следующий) месяц не выгружен — сначала получить акт</t>
        </is>
      </c>
      <c r="Q959" s="8" t="inlineStr">
        <is>
          <t>57096172</t>
        </is>
      </c>
    </row>
    <row r="960">
      <c r="A960" s="8" t="inlineStr">
        <is>
          <t>G13115</t>
        </is>
      </c>
      <c r="B960" s="8" t="inlineStr">
        <is>
          <t>Сатар уулу Санжар</t>
        </is>
      </c>
      <c r="C960" s="8" t="inlineStr">
        <is>
          <t>2460737787</t>
        </is>
      </c>
      <c r="D960" s="8" t="inlineStr">
        <is>
          <t>ETM, акт 1С за месяц не выгружен</t>
        </is>
      </c>
      <c r="E960" s="8" t="inlineStr">
        <is>
          <t>Выгрузка 1С</t>
        </is>
      </c>
      <c r="F960" s="8" t="inlineStr">
        <is>
          <t>B</t>
        </is>
      </c>
      <c r="G960" s="14" t="n">
        <v>0</v>
      </c>
      <c r="H960" s="14" t="n">
        <v>-44052</v>
      </c>
      <c r="I960" s="14" t="n"/>
      <c r="J960" s="14" t="n">
        <v>-44052</v>
      </c>
      <c r="K960" s="21" t="n">
        <v>46185.42390046296</v>
      </c>
      <c r="L960" s="21" t="n"/>
      <c r="M960" s="8" t="inlineStr"/>
      <c r="N960" s="8" t="inlineStr">
        <is>
          <t>Бухгалтер: выгрузить акт</t>
        </is>
      </c>
      <c r="O960" s="8" t="inlineStr"/>
      <c r="P960" s="12" t="inlineStr">
        <is>
          <t>Операция есть в ETM, а акт 1С за этот (или следующий) месяц не выгружен — сначала получить акт</t>
        </is>
      </c>
      <c r="Q960" s="8" t="inlineStr">
        <is>
          <t>57362847</t>
        </is>
      </c>
    </row>
    <row r="961">
      <c r="A961" s="8" t="inlineStr">
        <is>
          <t>G13116</t>
        </is>
      </c>
      <c r="B961" s="8" t="inlineStr">
        <is>
          <t>Сатар уулу Санжар</t>
        </is>
      </c>
      <c r="C961" s="8" t="inlineStr">
        <is>
          <t>2460737789</t>
        </is>
      </c>
      <c r="D961" s="8" t="inlineStr">
        <is>
          <t>ETM, акт 1С за месяц не выгружен</t>
        </is>
      </c>
      <c r="E961" s="8" t="inlineStr">
        <is>
          <t>Выгрузка 1С</t>
        </is>
      </c>
      <c r="F961" s="8" t="inlineStr">
        <is>
          <t>B</t>
        </is>
      </c>
      <c r="G961" s="14" t="n">
        <v>0</v>
      </c>
      <c r="H961" s="14" t="n">
        <v>-44052</v>
      </c>
      <c r="I961" s="14" t="n"/>
      <c r="J961" s="14" t="n">
        <v>-44052</v>
      </c>
      <c r="K961" s="21" t="n">
        <v>46185.75930555556</v>
      </c>
      <c r="L961" s="21" t="n"/>
      <c r="M961" s="8" t="inlineStr"/>
      <c r="N961" s="8" t="inlineStr">
        <is>
          <t>Бухгалтер: выгрузить акт</t>
        </is>
      </c>
      <c r="O961" s="8" t="inlineStr"/>
      <c r="P961" s="12" t="inlineStr">
        <is>
          <t>Операция есть в ETM, а акт 1С за этот (или следующий) месяц не выгружен — сначала получить акт</t>
        </is>
      </c>
      <c r="Q961" s="8" t="inlineStr">
        <is>
          <t>57362855</t>
        </is>
      </c>
    </row>
    <row r="962">
      <c r="A962" s="8" t="inlineStr">
        <is>
          <t>G13117</t>
        </is>
      </c>
      <c r="B962" s="8" t="inlineStr">
        <is>
          <t>Сатар уулу Санжар</t>
        </is>
      </c>
      <c r="C962" s="8" t="inlineStr">
        <is>
          <t>2460737792</t>
        </is>
      </c>
      <c r="D962" s="8" t="inlineStr">
        <is>
          <t>ETM, акт 1С за месяц не выгружен</t>
        </is>
      </c>
      <c r="E962" s="8" t="inlineStr">
        <is>
          <t>Выгрузка 1С</t>
        </is>
      </c>
      <c r="F962" s="8" t="inlineStr">
        <is>
          <t>B</t>
        </is>
      </c>
      <c r="G962" s="14" t="n">
        <v>0</v>
      </c>
      <c r="H962" s="14" t="n">
        <v>-44052</v>
      </c>
      <c r="I962" s="14" t="n"/>
      <c r="J962" s="14" t="n">
        <v>-44052</v>
      </c>
      <c r="K962" s="21" t="n">
        <v>46185.83125</v>
      </c>
      <c r="L962" s="21" t="n"/>
      <c r="M962" s="8" t="inlineStr"/>
      <c r="N962" s="8" t="inlineStr">
        <is>
          <t>Бухгалтер: выгрузить акт</t>
        </is>
      </c>
      <c r="O962" s="8" t="inlineStr"/>
      <c r="P962" s="12" t="inlineStr">
        <is>
          <t>Операция есть в ETM, а акт 1С за этот (или следующий) месяц не выгружен — сначала получить акт</t>
        </is>
      </c>
      <c r="Q962" s="8" t="inlineStr">
        <is>
          <t>57362884</t>
        </is>
      </c>
    </row>
    <row r="963">
      <c r="A963" s="8" t="inlineStr">
        <is>
          <t>G13118</t>
        </is>
      </c>
      <c r="B963" s="8" t="inlineStr">
        <is>
          <t>Сатар уулу Санжар</t>
        </is>
      </c>
      <c r="C963" s="8" t="inlineStr">
        <is>
          <t>2460737795</t>
        </is>
      </c>
      <c r="D963" s="8" t="inlineStr">
        <is>
          <t>ETM, акт 1С за месяц не выгружен</t>
        </is>
      </c>
      <c r="E963" s="8" t="inlineStr">
        <is>
          <t>Выгрузка 1С</t>
        </is>
      </c>
      <c r="F963" s="8" t="inlineStr">
        <is>
          <t>B</t>
        </is>
      </c>
      <c r="G963" s="14" t="n">
        <v>0</v>
      </c>
      <c r="H963" s="14" t="n">
        <v>-44052</v>
      </c>
      <c r="I963" s="14" t="n"/>
      <c r="J963" s="14" t="n">
        <v>-44052</v>
      </c>
      <c r="K963" s="21" t="n">
        <v>46185.64905092592</v>
      </c>
      <c r="L963" s="21" t="n"/>
      <c r="M963" s="8" t="inlineStr"/>
      <c r="N963" s="8" t="inlineStr">
        <is>
          <t>Бухгалтер: выгрузить акт</t>
        </is>
      </c>
      <c r="O963" s="8" t="inlineStr"/>
      <c r="P963" s="12" t="inlineStr">
        <is>
          <t>Операция есть в ETM, а акт 1С за этот (или следующий) месяц не выгружен — сначала получить акт</t>
        </is>
      </c>
      <c r="Q963" s="8" t="inlineStr">
        <is>
          <t>57362919</t>
        </is>
      </c>
    </row>
    <row r="964">
      <c r="A964" s="8" t="inlineStr">
        <is>
          <t>G00038</t>
        </is>
      </c>
      <c r="B964" s="8" t="inlineStr">
        <is>
          <t>Ak-Bulak Voyage</t>
        </is>
      </c>
      <c r="C964" s="8" t="inlineStr">
        <is>
          <t>2461885515</t>
        </is>
      </c>
      <c r="D964" s="8" t="inlineStr">
        <is>
          <t>ETM, акт 1С за месяц не выгружен</t>
        </is>
      </c>
      <c r="E964" s="8" t="inlineStr">
        <is>
          <t>Выгрузка 1С</t>
        </is>
      </c>
      <c r="F964" s="8" t="inlineStr">
        <is>
          <t>B</t>
        </is>
      </c>
      <c r="G964" s="14" t="n">
        <v>0</v>
      </c>
      <c r="H964" s="14" t="n">
        <v>-43907</v>
      </c>
      <c r="I964" s="14" t="n"/>
      <c r="J964" s="14" t="n">
        <v>-43907</v>
      </c>
      <c r="K964" s="21" t="n">
        <v>46071.68010416667</v>
      </c>
      <c r="L964" s="21" t="n"/>
      <c r="M964" s="8" t="inlineStr"/>
      <c r="N964" s="8" t="inlineStr">
        <is>
          <t>Бухгалтер: выгрузить акт</t>
        </is>
      </c>
      <c r="O964" s="8" t="inlineStr"/>
      <c r="P964" s="12" t="inlineStr">
        <is>
          <t>Операция есть в ETM, а акт 1С за этот (или следующий) месяц не выгружен — сначала получить акт</t>
        </is>
      </c>
      <c r="Q964" s="8" t="inlineStr">
        <is>
          <t>57096635</t>
        </is>
      </c>
    </row>
    <row r="965">
      <c r="A965" s="8" t="inlineStr">
        <is>
          <t>G00039</t>
        </is>
      </c>
      <c r="B965" s="8" t="inlineStr">
        <is>
          <t>Ak-Bulak Voyage</t>
        </is>
      </c>
      <c r="C965" s="8" t="inlineStr">
        <is>
          <t>2461885516</t>
        </is>
      </c>
      <c r="D965" s="8" t="inlineStr">
        <is>
          <t>ETM, акт 1С за месяц не выгружен</t>
        </is>
      </c>
      <c r="E965" s="8" t="inlineStr">
        <is>
          <t>Выгрузка 1С</t>
        </is>
      </c>
      <c r="F965" s="8" t="inlineStr">
        <is>
          <t>B</t>
        </is>
      </c>
      <c r="G965" s="14" t="n">
        <v>0</v>
      </c>
      <c r="H965" s="14" t="n">
        <v>-43907</v>
      </c>
      <c r="I965" s="14" t="n"/>
      <c r="J965" s="14" t="n">
        <v>-43907</v>
      </c>
      <c r="K965" s="21" t="n">
        <v>46071.65859953704</v>
      </c>
      <c r="L965" s="21" t="n"/>
      <c r="M965" s="8" t="inlineStr"/>
      <c r="N965" s="8" t="inlineStr">
        <is>
          <t>Бухгалтер: выгрузить акт</t>
        </is>
      </c>
      <c r="O965" s="8" t="inlineStr"/>
      <c r="P965" s="12" t="inlineStr">
        <is>
          <t>Операция есть в ETM, а акт 1С за этот (или следующий) месяц не выгружен — сначала получить акт</t>
        </is>
      </c>
      <c r="Q965" s="8" t="inlineStr">
        <is>
          <t>57096657</t>
        </is>
      </c>
    </row>
    <row r="966">
      <c r="A966" s="8" t="inlineStr">
        <is>
          <t>G00040</t>
        </is>
      </c>
      <c r="B966" s="8" t="inlineStr">
        <is>
          <t>Ak-Bulak Voyage</t>
        </is>
      </c>
      <c r="C966" s="8" t="inlineStr">
        <is>
          <t>2461885519</t>
        </is>
      </c>
      <c r="D966" s="8" t="inlineStr">
        <is>
          <t>ETM, акт 1С за месяц не выгружен</t>
        </is>
      </c>
      <c r="E966" s="8" t="inlineStr">
        <is>
          <t>Выгрузка 1С</t>
        </is>
      </c>
      <c r="F966" s="8" t="inlineStr">
        <is>
          <t>B</t>
        </is>
      </c>
      <c r="G966" s="14" t="n">
        <v>0</v>
      </c>
      <c r="H966" s="14" t="n">
        <v>-43907</v>
      </c>
      <c r="I966" s="14" t="n"/>
      <c r="J966" s="14" t="n">
        <v>-43907</v>
      </c>
      <c r="K966" s="21" t="n">
        <v>46071.79353009259</v>
      </c>
      <c r="L966" s="21" t="n"/>
      <c r="M966" s="8" t="inlineStr"/>
      <c r="N966" s="8" t="inlineStr">
        <is>
          <t>Бухгалтер: выгрузить акт</t>
        </is>
      </c>
      <c r="O966" s="8" t="inlineStr"/>
      <c r="P966" s="12" t="inlineStr">
        <is>
          <t>Операция есть в ETM, а акт 1С за этот (или следующий) месяц не выгружен — сначала получить акт</t>
        </is>
      </c>
      <c r="Q966" s="8" t="inlineStr">
        <is>
          <t>57096697</t>
        </is>
      </c>
    </row>
    <row r="967">
      <c r="A967" s="8" t="inlineStr">
        <is>
          <t>G13151</t>
        </is>
      </c>
      <c r="B967" s="8" t="inlineStr">
        <is>
          <t>Сатар уулу Санжар</t>
        </is>
      </c>
      <c r="C967" s="8" t="inlineStr">
        <is>
          <t>2461883596</t>
        </is>
      </c>
      <c r="D967" s="8" t="inlineStr">
        <is>
          <t>ETM, акт 1С за месяц не выгружен</t>
        </is>
      </c>
      <c r="E967" s="8" t="inlineStr">
        <is>
          <t>Выгрузка 1С</t>
        </is>
      </c>
      <c r="F967" s="8" t="inlineStr">
        <is>
          <t>B</t>
        </is>
      </c>
      <c r="G967" s="14" t="n">
        <v>0</v>
      </c>
      <c r="H967" s="14" t="n">
        <v>-43810</v>
      </c>
      <c r="I967" s="14" t="n"/>
      <c r="J967" s="14" t="n">
        <v>-43810</v>
      </c>
      <c r="K967" s="21" t="n">
        <v>46188.73063657407</v>
      </c>
      <c r="L967" s="21" t="n"/>
      <c r="M967" s="8" t="inlineStr"/>
      <c r="N967" s="8" t="inlineStr">
        <is>
          <t>Бухгалтер: выгрузить акт</t>
        </is>
      </c>
      <c r="O967" s="8" t="inlineStr"/>
      <c r="P967" s="12" t="inlineStr">
        <is>
          <t>Операция есть в ETM, а акт 1С за этот (или следующий) месяц не выгружен — сначала получить акт</t>
        </is>
      </c>
      <c r="Q967" s="8" t="inlineStr">
        <is>
          <t>57369877</t>
        </is>
      </c>
    </row>
    <row r="968">
      <c r="A968" s="8" t="inlineStr">
        <is>
          <t>G08155</t>
        </is>
      </c>
      <c r="B968" s="8" t="inlineStr">
        <is>
          <t>ИП Жумабекова Б. Н.</t>
        </is>
      </c>
      <c r="C968" s="8" t="inlineStr">
        <is>
          <t>2459527586</t>
        </is>
      </c>
      <c r="D968" s="8" t="inlineStr">
        <is>
          <t>ETM, акт 1С за месяц не выгружен</t>
        </is>
      </c>
      <c r="E968" s="8" t="inlineStr">
        <is>
          <t>Выгрузка 1С</t>
        </is>
      </c>
      <c r="F968" s="8" t="inlineStr">
        <is>
          <t>B</t>
        </is>
      </c>
      <c r="G968" s="14" t="n">
        <v>0</v>
      </c>
      <c r="H968" s="14" t="n">
        <v>-43768</v>
      </c>
      <c r="I968" s="14" t="n">
        <v>43768</v>
      </c>
      <c r="J968" s="14" t="n">
        <v>-43768</v>
      </c>
      <c r="K968" s="21" t="n">
        <v>46170.43268518519</v>
      </c>
      <c r="L968" s="21" t="n"/>
      <c r="M968" s="8" t="inlineStr"/>
      <c r="N968" s="8" t="inlineStr">
        <is>
          <t>Бухгалтер: выгрузить акт</t>
        </is>
      </c>
      <c r="O968" s="8" t="inlineStr">
        <is>
          <t>a.toktosunova</t>
        </is>
      </c>
      <c r="P968" s="12" t="inlineStr">
        <is>
          <t>Операция есть в ETM, а акт 1С за этот (или следующий) месяц не выгружен — сначала получить акт</t>
        </is>
      </c>
      <c r="Q968" s="8" t="inlineStr">
        <is>
          <t>57323062</t>
        </is>
      </c>
    </row>
    <row r="969">
      <c r="A969" s="8" t="inlineStr">
        <is>
          <t>G14025</t>
        </is>
      </c>
      <c r="B969" s="8" t="inlineStr">
        <is>
          <t>Тянь-Шань Тур</t>
        </is>
      </c>
      <c r="C969" s="8" t="inlineStr">
        <is>
          <t>2461886693</t>
        </is>
      </c>
      <c r="D969" s="8" t="inlineStr">
        <is>
          <t>ETM, акт 1С за месяц не выгружен</t>
        </is>
      </c>
      <c r="E969" s="8" t="inlineStr">
        <is>
          <t>Выгрузка 1С</t>
        </is>
      </c>
      <c r="F969" s="8" t="inlineStr">
        <is>
          <t>B</t>
        </is>
      </c>
      <c r="G969" s="14" t="n">
        <v>0</v>
      </c>
      <c r="H969" s="14" t="n">
        <v>-43767</v>
      </c>
      <c r="I969" s="14" t="n">
        <v>43767</v>
      </c>
      <c r="J969" s="14" t="n">
        <v>-43767</v>
      </c>
      <c r="K969" s="21" t="n">
        <v>46148.37880787037</v>
      </c>
      <c r="L969" s="21" t="n"/>
      <c r="M969" s="8" t="inlineStr"/>
      <c r="N969" s="8" t="inlineStr">
        <is>
          <t>Бухгалтер: выгрузить акт</t>
        </is>
      </c>
      <c r="O969" s="8" t="inlineStr">
        <is>
          <t>e.satarov</t>
        </is>
      </c>
      <c r="P969" s="12" t="inlineStr">
        <is>
          <t>Операция есть в ETM, а акт 1С за этот (или следующий) месяц не выгружен — сначала получить акт</t>
        </is>
      </c>
      <c r="Q969" s="8" t="inlineStr">
        <is>
          <t>57260366</t>
        </is>
      </c>
    </row>
    <row r="970">
      <c r="A970" s="8" t="inlineStr">
        <is>
          <t>G07297</t>
        </is>
      </c>
      <c r="B970" s="8" t="inlineStr">
        <is>
          <t>Жибек Эйр</t>
        </is>
      </c>
      <c r="C970" s="8" t="inlineStr">
        <is>
          <t>2461881708</t>
        </is>
      </c>
      <c r="D970" s="8" t="inlineStr">
        <is>
          <t>ETM, акт 1С за месяц не выгружен</t>
        </is>
      </c>
      <c r="E970" s="8" t="inlineStr">
        <is>
          <t>Выгрузка 1С</t>
        </is>
      </c>
      <c r="F970" s="8" t="inlineStr">
        <is>
          <t>B</t>
        </is>
      </c>
      <c r="G970" s="14" t="n">
        <v>0</v>
      </c>
      <c r="H970" s="14" t="n">
        <v>-43740</v>
      </c>
      <c r="I970" s="14" t="n">
        <v>43740</v>
      </c>
      <c r="J970" s="14" t="n">
        <v>-43740</v>
      </c>
      <c r="K970" s="21" t="n">
        <v>46127.48006944444</v>
      </c>
      <c r="L970" s="21" t="n"/>
      <c r="M970" s="8" t="inlineStr"/>
      <c r="N970" s="8" t="inlineStr">
        <is>
          <t>Бухгалтер: выгрузить акт</t>
        </is>
      </c>
      <c r="O970" s="8" t="inlineStr">
        <is>
          <t>d.mambetova</t>
        </is>
      </c>
      <c r="P970" s="12" t="inlineStr">
        <is>
          <t>Операция есть в ETM, а акт 1С за этот (или следующий) месяц не выгружен — сначала получить акт</t>
        </is>
      </c>
      <c r="Q970" s="8" t="inlineStr">
        <is>
          <t>57208567</t>
        </is>
      </c>
    </row>
    <row r="971">
      <c r="A971" s="8" t="inlineStr">
        <is>
          <t>G13106</t>
        </is>
      </c>
      <c r="B971" s="8" t="inlineStr">
        <is>
          <t>Сатар уулу Санжар</t>
        </is>
      </c>
      <c r="C971" s="8" t="inlineStr">
        <is>
          <t>2460737084</t>
        </is>
      </c>
      <c r="D971" s="8" t="inlineStr">
        <is>
          <t>ETM, акт 1С за месяц не выгружен</t>
        </is>
      </c>
      <c r="E971" s="8" t="inlineStr">
        <is>
          <t>Выгрузка 1С</t>
        </is>
      </c>
      <c r="F971" s="8" t="inlineStr">
        <is>
          <t>B</t>
        </is>
      </c>
      <c r="G971" s="14" t="n">
        <v>0</v>
      </c>
      <c r="H971" s="14" t="n">
        <v>-43534</v>
      </c>
      <c r="I971" s="14" t="n"/>
      <c r="J971" s="14" t="n">
        <v>-43534</v>
      </c>
      <c r="K971" s="21" t="n">
        <v>46125.48175925926</v>
      </c>
      <c r="L971" s="21" t="n"/>
      <c r="M971" s="8" t="inlineStr"/>
      <c r="N971" s="8" t="inlineStr">
        <is>
          <t>Бухгалтер: выгрузить акт</t>
        </is>
      </c>
      <c r="O971" s="8" t="inlineStr"/>
      <c r="P971" s="12" t="inlineStr">
        <is>
          <t>Операция есть в ETM, а акт 1С за этот (или следующий) месяц не выгружен — сначала получить акт</t>
        </is>
      </c>
      <c r="Q971" s="8" t="inlineStr">
        <is>
          <t>57205535</t>
        </is>
      </c>
    </row>
    <row r="972">
      <c r="A972" s="8" t="inlineStr">
        <is>
          <t>G09938</t>
        </is>
      </c>
      <c r="B972" s="8" t="inlineStr">
        <is>
          <t>МУРАС ТРИП</t>
        </is>
      </c>
      <c r="C972" s="8" t="inlineStr">
        <is>
          <t>2459528751</t>
        </is>
      </c>
      <c r="D972" s="8" t="inlineStr">
        <is>
          <t>ETM, акт 1С за месяц не выгружен</t>
        </is>
      </c>
      <c r="E972" s="8" t="inlineStr">
        <is>
          <t>Выгрузка 1С</t>
        </is>
      </c>
      <c r="F972" s="8" t="inlineStr">
        <is>
          <t>B</t>
        </is>
      </c>
      <c r="G972" s="14" t="n">
        <v>0</v>
      </c>
      <c r="H972" s="14" t="n">
        <v>-43503</v>
      </c>
      <c r="I972" s="14" t="n"/>
      <c r="J972" s="14" t="n">
        <v>-43503</v>
      </c>
      <c r="K972" s="21" t="n">
        <v>46176.66070601852</v>
      </c>
      <c r="L972" s="21" t="n"/>
      <c r="M972" s="8" t="inlineStr"/>
      <c r="N972" s="8" t="inlineStr">
        <is>
          <t>Бухгалтер: выгрузить акт</t>
        </is>
      </c>
      <c r="O972" s="8" t="inlineStr"/>
      <c r="P972" s="12" t="inlineStr">
        <is>
          <t>Операция есть в ETM, а акт 1С за этот (или следующий) месяц не выгружен — сначала получить акт</t>
        </is>
      </c>
      <c r="Q972" s="8" t="inlineStr">
        <is>
          <t>57338572</t>
        </is>
      </c>
    </row>
    <row r="973">
      <c r="A973" s="8" t="inlineStr">
        <is>
          <t>G07221</t>
        </is>
      </c>
      <c r="B973" s="8" t="inlineStr">
        <is>
          <t>Жибек Эйр</t>
        </is>
      </c>
      <c r="C973" s="8" t="inlineStr">
        <is>
          <t>2459528166</t>
        </is>
      </c>
      <c r="D973" s="8" t="inlineStr">
        <is>
          <t>ETM, акт 1С за месяц не выгружен</t>
        </is>
      </c>
      <c r="E973" s="8" t="inlineStr">
        <is>
          <t>Выгрузка 1С</t>
        </is>
      </c>
      <c r="F973" s="8" t="inlineStr">
        <is>
          <t>B</t>
        </is>
      </c>
      <c r="G973" s="14" t="n">
        <v>0</v>
      </c>
      <c r="H973" s="14" t="n">
        <v>-43437</v>
      </c>
      <c r="I973" s="14" t="n"/>
      <c r="J973" s="14" t="n">
        <v>-43437</v>
      </c>
      <c r="K973" s="21" t="n">
        <v>46161.74670138889</v>
      </c>
      <c r="L973" s="21" t="n"/>
      <c r="M973" s="8" t="inlineStr"/>
      <c r="N973" s="8" t="inlineStr">
        <is>
          <t>Бухгалтер: выгрузить акт</t>
        </is>
      </c>
      <c r="O973" s="8" t="inlineStr"/>
      <c r="P973" s="12" t="inlineStr">
        <is>
          <t>Операция есть в ETM, а акт 1С за этот (или следующий) месяц не выгружен — сначала получить акт</t>
        </is>
      </c>
      <c r="Q973" s="8" t="inlineStr">
        <is>
          <t>57297881</t>
        </is>
      </c>
    </row>
    <row r="974">
      <c r="A974" s="8" t="inlineStr">
        <is>
          <t>G07264</t>
        </is>
      </c>
      <c r="B974" s="8" t="inlineStr">
        <is>
          <t>Жибек Эйр</t>
        </is>
      </c>
      <c r="C974" s="8" t="inlineStr">
        <is>
          <t>2460735700</t>
        </is>
      </c>
      <c r="D974" s="8" t="inlineStr">
        <is>
          <t>ETM, акт 1С за месяц не выгружен</t>
        </is>
      </c>
      <c r="E974" s="8" t="inlineStr">
        <is>
          <t>Выгрузка 1С</t>
        </is>
      </c>
      <c r="F974" s="8" t="inlineStr">
        <is>
          <t>B</t>
        </is>
      </c>
      <c r="G974" s="14" t="n">
        <v>0</v>
      </c>
      <c r="H974" s="14" t="n">
        <v>-43319</v>
      </c>
      <c r="I974" s="14" t="n"/>
      <c r="J974" s="14" t="n">
        <v>-43319</v>
      </c>
      <c r="K974" s="21" t="n">
        <v>46163.64663194444</v>
      </c>
      <c r="L974" s="21" t="n"/>
      <c r="M974" s="8" t="inlineStr"/>
      <c r="N974" s="8" t="inlineStr">
        <is>
          <t>Бухгалтер: выгрузить акт</t>
        </is>
      </c>
      <c r="O974" s="8" t="inlineStr"/>
      <c r="P974" s="12" t="inlineStr">
        <is>
          <t>Операция есть в ETM, а акт 1С за этот (или следующий) месяц не выгружен — сначала получить акт</t>
        </is>
      </c>
      <c r="Q974" s="8" t="inlineStr">
        <is>
          <t>57304844</t>
        </is>
      </c>
    </row>
    <row r="975">
      <c r="A975" s="8" t="inlineStr">
        <is>
          <t>G07489</t>
        </is>
      </c>
      <c r="B975" s="8" t="inlineStr">
        <is>
          <t>Жолчу кызы А.</t>
        </is>
      </c>
      <c r="C975" s="8" t="inlineStr">
        <is>
          <t>2459529959</t>
        </is>
      </c>
      <c r="D975" s="8" t="inlineStr">
        <is>
          <t>ETM, акт 1С за месяц не выгружен</t>
        </is>
      </c>
      <c r="E975" s="8" t="inlineStr">
        <is>
          <t>Выгрузка 1С</t>
        </is>
      </c>
      <c r="F975" s="8" t="inlineStr">
        <is>
          <t>B</t>
        </is>
      </c>
      <c r="G975" s="14" t="n">
        <v>0</v>
      </c>
      <c r="H975" s="14" t="n">
        <v>-43288</v>
      </c>
      <c r="I975" s="14" t="n">
        <v>43288</v>
      </c>
      <c r="J975" s="14" t="n">
        <v>-43288</v>
      </c>
      <c r="K975" s="21" t="n">
        <v>46200.45109953704</v>
      </c>
      <c r="L975" s="21" t="n"/>
      <c r="M975" s="8" t="inlineStr"/>
      <c r="N975" s="8" t="inlineStr">
        <is>
          <t>Бухгалтер: выгрузить акт</t>
        </is>
      </c>
      <c r="O975" s="8" t="inlineStr">
        <is>
          <t>r.sydykov</t>
        </is>
      </c>
      <c r="P975" s="12" t="inlineStr">
        <is>
          <t>Операция есть в ETM, а акт 1С за этот (или следующий) месяц не выгружен — сначала получить акт</t>
        </is>
      </c>
      <c r="Q975" s="8" t="inlineStr">
        <is>
          <t>57406068</t>
        </is>
      </c>
    </row>
    <row r="976">
      <c r="A976" s="8" t="inlineStr">
        <is>
          <t>G09290</t>
        </is>
      </c>
      <c r="B976" s="8" t="inlineStr">
        <is>
          <t>ИССЫК ТРИП</t>
        </is>
      </c>
      <c r="C976" s="8" t="inlineStr">
        <is>
          <t>2552670080</t>
        </is>
      </c>
      <c r="D976" s="8" t="inlineStr">
        <is>
          <t>ETM, акт 1С за месяц не выгружен</t>
        </is>
      </c>
      <c r="E976" s="8" t="inlineStr">
        <is>
          <t>Выгрузка 1С</t>
        </is>
      </c>
      <c r="F976" s="8" t="inlineStr">
        <is>
          <t>B</t>
        </is>
      </c>
      <c r="G976" s="14" t="n">
        <v>0</v>
      </c>
      <c r="H976" s="14" t="n">
        <v>-43103.78</v>
      </c>
      <c r="I976" s="14" t="n">
        <v>43103.7825</v>
      </c>
      <c r="J976" s="14" t="n">
        <v>-43103.78</v>
      </c>
      <c r="K976" s="21" t="n">
        <v>46068.69953703704</v>
      </c>
      <c r="L976" s="21" t="n"/>
      <c r="M976" s="8" t="inlineStr"/>
      <c r="N976" s="8" t="inlineStr">
        <is>
          <t>Бухгалтер: выгрузить акт</t>
        </is>
      </c>
      <c r="O976" s="8" t="inlineStr">
        <is>
          <t>e.satarov</t>
        </is>
      </c>
      <c r="P976" s="12" t="inlineStr">
        <is>
          <t>Операция есть в ETM, а акт 1С за этот (или следующий) месяц не выгружен — сначала получить акт</t>
        </is>
      </c>
      <c r="Q976" s="8" t="inlineStr">
        <is>
          <t>57092008</t>
        </is>
      </c>
    </row>
    <row r="977">
      <c r="A977" s="8" t="inlineStr">
        <is>
          <t>G13066</t>
        </is>
      </c>
      <c r="B977" s="8" t="inlineStr">
        <is>
          <t>Сатар уулу Санжар</t>
        </is>
      </c>
      <c r="C977" s="8" t="inlineStr">
        <is>
          <t>2460733230</t>
        </is>
      </c>
      <c r="D977" s="8" t="inlineStr">
        <is>
          <t>ETM, акт 1С за месяц не выгружен</t>
        </is>
      </c>
      <c r="E977" s="8" t="inlineStr">
        <is>
          <t>Выгрузка 1С</t>
        </is>
      </c>
      <c r="F977" s="8" t="inlineStr">
        <is>
          <t>B</t>
        </is>
      </c>
      <c r="G977" s="14" t="n">
        <v>0</v>
      </c>
      <c r="H977" s="14" t="n">
        <v>-42984</v>
      </c>
      <c r="I977" s="14" t="n">
        <v>42984</v>
      </c>
      <c r="J977" s="14" t="n">
        <v>-42984</v>
      </c>
      <c r="K977" s="21" t="n">
        <v>46199.57116898148</v>
      </c>
      <c r="L977" s="21" t="n"/>
      <c r="M977" s="8" t="inlineStr"/>
      <c r="N977" s="8" t="inlineStr">
        <is>
          <t>Бухгалтер: выгрузить акт</t>
        </is>
      </c>
      <c r="O977" s="8" t="inlineStr">
        <is>
          <t>a.toktosunova</t>
        </is>
      </c>
      <c r="P977" s="12" t="inlineStr">
        <is>
          <t>Операция есть в ETM, а акт 1С за этот (или следующий) месяц не выгружен — сначала получить акт</t>
        </is>
      </c>
      <c r="Q977" s="8" t="inlineStr">
        <is>
          <t>57401756</t>
        </is>
      </c>
    </row>
    <row r="978">
      <c r="A978" s="8" t="inlineStr">
        <is>
          <t>G08560</t>
        </is>
      </c>
      <c r="B978" s="8" t="inlineStr">
        <is>
          <t>ИП Токтосун кызы Н.</t>
        </is>
      </c>
      <c r="C978" s="8" t="inlineStr">
        <is>
          <t>2459530843</t>
        </is>
      </c>
      <c r="D978" s="8" t="inlineStr">
        <is>
          <t>ETM, акт 1С за месяц не выгружен</t>
        </is>
      </c>
      <c r="E978" s="8" t="inlineStr">
        <is>
          <t>Выгрузка 1С</t>
        </is>
      </c>
      <c r="F978" s="8" t="inlineStr">
        <is>
          <t>B</t>
        </is>
      </c>
      <c r="G978" s="14" t="n">
        <v>0</v>
      </c>
      <c r="H978" s="14" t="n">
        <v>-42956</v>
      </c>
      <c r="I978" s="14" t="n">
        <v>42956</v>
      </c>
      <c r="J978" s="14" t="n">
        <v>-42956</v>
      </c>
      <c r="K978" s="21" t="n">
        <v>46056.33805555556</v>
      </c>
      <c r="L978" s="21" t="n"/>
      <c r="M978" s="8" t="inlineStr"/>
      <c r="N978" s="8" t="inlineStr">
        <is>
          <t>Бухгалтер: выгрузить акт</t>
        </is>
      </c>
      <c r="O978" s="8" t="inlineStr">
        <is>
          <t>r.sydykov</t>
        </is>
      </c>
      <c r="P978" s="12" t="inlineStr">
        <is>
          <t>Операция есть в ETM, а акт 1С за этот (или следующий) месяц не выгружен — сначала получить акт</t>
        </is>
      </c>
      <c r="Q978" s="8" t="inlineStr">
        <is>
          <t>57071791</t>
        </is>
      </c>
    </row>
    <row r="979">
      <c r="A979" s="8" t="inlineStr">
        <is>
          <t>G07086</t>
        </is>
      </c>
      <c r="B979" s="8" t="inlineStr">
        <is>
          <t>Жибек Вояж</t>
        </is>
      </c>
      <c r="C979" s="8" t="inlineStr">
        <is>
          <t>2459531314</t>
        </is>
      </c>
      <c r="D979" s="8" t="inlineStr">
        <is>
          <t>ETM, акт 1С за месяц не выгружен</t>
        </is>
      </c>
      <c r="E979" s="8" t="inlineStr">
        <is>
          <t>Выгрузка 1С</t>
        </is>
      </c>
      <c r="F979" s="8" t="inlineStr">
        <is>
          <t>B</t>
        </is>
      </c>
      <c r="G979" s="14" t="n">
        <v>0</v>
      </c>
      <c r="H979" s="14" t="n">
        <v>-42913</v>
      </c>
      <c r="I979" s="14" t="n">
        <v>42913</v>
      </c>
      <c r="J979" s="14" t="n">
        <v>-42913</v>
      </c>
      <c r="K979" s="21" t="n">
        <v>46123.54969907407</v>
      </c>
      <c r="L979" s="21" t="n"/>
      <c r="M979" s="8" t="inlineStr"/>
      <c r="N979" s="8" t="inlineStr">
        <is>
          <t>Бухгалтер: выгрузить акт</t>
        </is>
      </c>
      <c r="O979" s="8" t="inlineStr">
        <is>
          <t>g.omurbekova</t>
        </is>
      </c>
      <c r="P979" s="12" t="inlineStr">
        <is>
          <t>Операция есть в ETM, а акт 1С за этот (или следующий) месяц не выгружен — сначала получить акт</t>
        </is>
      </c>
      <c r="Q979" s="8" t="inlineStr">
        <is>
          <t>57202986</t>
        </is>
      </c>
    </row>
    <row r="980">
      <c r="A980" s="8" t="inlineStr">
        <is>
          <t>G07123</t>
        </is>
      </c>
      <c r="B980" s="8" t="inlineStr">
        <is>
          <t>Жибек Вояж</t>
        </is>
      </c>
      <c r="C980" s="8" t="inlineStr">
        <is>
          <t>2552673066</t>
        </is>
      </c>
      <c r="D980" s="8" t="inlineStr">
        <is>
          <t>ETM, акт 1С за месяц не выгружен</t>
        </is>
      </c>
      <c r="E980" s="8" t="inlineStr">
        <is>
          <t>Выгрузка 1С</t>
        </is>
      </c>
      <c r="F980" s="8" t="inlineStr">
        <is>
          <t>B</t>
        </is>
      </c>
      <c r="G980" s="14" t="n">
        <v>0</v>
      </c>
      <c r="H980" s="14" t="n">
        <v>-42696.91</v>
      </c>
      <c r="I980" s="14" t="n">
        <v>42696.91</v>
      </c>
      <c r="J980" s="14" t="n">
        <v>-42696.91</v>
      </c>
      <c r="K980" s="21" t="n">
        <v>46140.81891203704</v>
      </c>
      <c r="L980" s="21" t="n"/>
      <c r="M980" s="8" t="inlineStr"/>
      <c r="N980" s="8" t="inlineStr">
        <is>
          <t>Бухгалтер: выгрузить акт</t>
        </is>
      </c>
      <c r="O980" s="8" t="inlineStr">
        <is>
          <t>a.toktosunova</t>
        </is>
      </c>
      <c r="P980" s="12" t="inlineStr">
        <is>
          <t>Операция есть в ETM, а акт 1С за этот (или следующий) месяц не выгружен — сначала получить акт</t>
        </is>
      </c>
      <c r="Q980" s="8" t="inlineStr">
        <is>
          <t>57235703</t>
        </is>
      </c>
    </row>
    <row r="981">
      <c r="A981" s="8" t="inlineStr">
        <is>
          <t>G08493</t>
        </is>
      </c>
      <c r="B981" s="8" t="inlineStr">
        <is>
          <t>ИП Токтосун кызы Н.</t>
        </is>
      </c>
      <c r="C981" s="8" t="inlineStr">
        <is>
          <t>2416941543|2416941546</t>
        </is>
      </c>
      <c r="D981" s="8" t="inlineStr">
        <is>
          <t>ETM, акт 1С за месяц не выгружен</t>
        </is>
      </c>
      <c r="E981" s="8" t="inlineStr">
        <is>
          <t>Выгрузка 1С</t>
        </is>
      </c>
      <c r="F981" s="8" t="inlineStr">
        <is>
          <t>B</t>
        </is>
      </c>
      <c r="G981" s="14" t="n">
        <v>0</v>
      </c>
      <c r="H981" s="14" t="n">
        <v>-42680.48</v>
      </c>
      <c r="I981" s="14" t="n">
        <v>42680.48</v>
      </c>
      <c r="J981" s="14" t="n">
        <v>-42680.48</v>
      </c>
      <c r="K981" s="21" t="n">
        <v>46061.56655092593</v>
      </c>
      <c r="L981" s="21" t="n"/>
      <c r="M981" s="8" t="inlineStr"/>
      <c r="N981" s="8" t="inlineStr">
        <is>
          <t>Бухгалтер: выгрузить акт</t>
        </is>
      </c>
      <c r="O981" s="8" t="inlineStr">
        <is>
          <t>b.isakov</t>
        </is>
      </c>
      <c r="P981" s="12" t="inlineStr">
        <is>
          <t>Операция есть в ETM, а акт 1С за этот (или следующий) месяц не выгружен — сначала получить акт</t>
        </is>
      </c>
      <c r="Q981" s="8" t="inlineStr">
        <is>
          <t>57079049,57079045</t>
        </is>
      </c>
    </row>
    <row r="982">
      <c r="A982" s="8" t="inlineStr">
        <is>
          <t>G07359</t>
        </is>
      </c>
      <c r="B982" s="8" t="inlineStr">
        <is>
          <t>Жибек Эйр</t>
        </is>
      </c>
      <c r="C982" s="8" t="inlineStr">
        <is>
          <t>2476317670|2476317673</t>
        </is>
      </c>
      <c r="D982" s="8" t="inlineStr">
        <is>
          <t>ETM, акт 1С за месяц не выгружен</t>
        </is>
      </c>
      <c r="E982" s="8" t="inlineStr">
        <is>
          <t>Выгрузка 1С</t>
        </is>
      </c>
      <c r="F982" s="8" t="inlineStr">
        <is>
          <t>B</t>
        </is>
      </c>
      <c r="G982" s="14" t="n">
        <v>0</v>
      </c>
      <c r="H982" s="14" t="n">
        <v>-42607.62</v>
      </c>
      <c r="I982" s="14" t="n">
        <v>42607.62</v>
      </c>
      <c r="J982" s="14" t="n">
        <v>-42607.62</v>
      </c>
      <c r="K982" s="21" t="n">
        <v>46122.68378472222</v>
      </c>
      <c r="L982" s="21" t="n"/>
      <c r="M982" s="8" t="inlineStr"/>
      <c r="N982" s="8" t="inlineStr">
        <is>
          <t>Бухгалтер: выгрузить акт</t>
        </is>
      </c>
      <c r="O982" s="8" t="inlineStr">
        <is>
          <t>a.toktosunova</t>
        </is>
      </c>
      <c r="P982" s="12" t="inlineStr">
        <is>
          <t>Операция есть в ETM, а акт 1С за этот (или следующий) месяц не выгружен — сначала получить акт</t>
        </is>
      </c>
      <c r="Q982" s="8" t="inlineStr">
        <is>
          <t>57200710</t>
        </is>
      </c>
    </row>
    <row r="983">
      <c r="A983" s="8" t="inlineStr">
        <is>
          <t>G09988</t>
        </is>
      </c>
      <c r="B983" s="8" t="inlineStr">
        <is>
          <t>МУРАС ТРИП</t>
        </is>
      </c>
      <c r="C983" s="8" t="inlineStr">
        <is>
          <t>2552671480</t>
        </is>
      </c>
      <c r="D983" s="8" t="inlineStr">
        <is>
          <t>ETM, акт 1С за месяц не выгружен</t>
        </is>
      </c>
      <c r="E983" s="8" t="inlineStr">
        <is>
          <t>Выгрузка 1С</t>
        </is>
      </c>
      <c r="F983" s="8" t="inlineStr">
        <is>
          <t>B</t>
        </is>
      </c>
      <c r="G983" s="14" t="n">
        <v>0</v>
      </c>
      <c r="H983" s="14" t="n">
        <v>-42429.32</v>
      </c>
      <c r="I983" s="14" t="n">
        <v>42429.315</v>
      </c>
      <c r="J983" s="14" t="n">
        <v>-42429.32</v>
      </c>
      <c r="K983" s="21" t="n">
        <v>46202.78217592592</v>
      </c>
      <c r="L983" s="21" t="n"/>
      <c r="M983" s="8" t="inlineStr"/>
      <c r="N983" s="8" t="inlineStr">
        <is>
          <t>Бухгалтер: выгрузить акт</t>
        </is>
      </c>
      <c r="O983" s="8" t="inlineStr">
        <is>
          <t>d.mambetova</t>
        </is>
      </c>
      <c r="P983" s="12" t="inlineStr">
        <is>
          <t>Операция есть в ETM, а акт 1С за этот (или следующий) месяц не выгружен — сначала получить акт</t>
        </is>
      </c>
      <c r="Q983" s="8" t="inlineStr">
        <is>
          <t>57412216</t>
        </is>
      </c>
    </row>
    <row r="984">
      <c r="A984" s="8" t="inlineStr">
        <is>
          <t>G07413</t>
        </is>
      </c>
      <c r="B984" s="8" t="inlineStr">
        <is>
          <t>Жибек Эйр</t>
        </is>
      </c>
      <c r="C984" s="8" t="inlineStr">
        <is>
          <t>2559098793</t>
        </is>
      </c>
      <c r="D984" s="8" t="inlineStr">
        <is>
          <t>ETM, акт 1С за месяц не выгружен</t>
        </is>
      </c>
      <c r="E984" s="8" t="inlineStr">
        <is>
          <t>Выгрузка 1С</t>
        </is>
      </c>
      <c r="F984" s="8" t="inlineStr">
        <is>
          <t>B</t>
        </is>
      </c>
      <c r="G984" s="14" t="n">
        <v>0</v>
      </c>
      <c r="H984" s="14" t="n">
        <v>-41753</v>
      </c>
      <c r="I984" s="14" t="n">
        <v>41753</v>
      </c>
      <c r="J984" s="14" t="n">
        <v>-41753</v>
      </c>
      <c r="K984" s="21" t="n">
        <v>46147.42173611111</v>
      </c>
      <c r="L984" s="21" t="n"/>
      <c r="M984" s="8" t="inlineStr"/>
      <c r="N984" s="8" t="inlineStr">
        <is>
          <t>Бухгалтер: выгрузить акт</t>
        </is>
      </c>
      <c r="O984" s="8" t="inlineStr">
        <is>
          <t>g.omurbekova</t>
        </is>
      </c>
      <c r="P984" s="12" t="inlineStr">
        <is>
          <t>Операция есть в ETM, а акт 1С за этот (или следующий) месяц не выгружен — сначала получить акт</t>
        </is>
      </c>
      <c r="Q984" s="8" t="inlineStr">
        <is>
          <t>57253460</t>
        </is>
      </c>
    </row>
    <row r="985">
      <c r="A985" s="8" t="inlineStr">
        <is>
          <t>G14049</t>
        </is>
      </c>
      <c r="B985" s="8" t="inlineStr">
        <is>
          <t>Тянь-Шань Тур</t>
        </is>
      </c>
      <c r="C985" s="8" t="inlineStr">
        <is>
          <t>2559103827</t>
        </is>
      </c>
      <c r="D985" s="8" t="inlineStr">
        <is>
          <t>ETM, акт 1С за месяц не выгружен</t>
        </is>
      </c>
      <c r="E985" s="8" t="inlineStr">
        <is>
          <t>Выгрузка 1С</t>
        </is>
      </c>
      <c r="F985" s="8" t="inlineStr">
        <is>
          <t>B</t>
        </is>
      </c>
      <c r="G985" s="14" t="n">
        <v>0</v>
      </c>
      <c r="H985" s="14" t="n">
        <v>-41740.8</v>
      </c>
      <c r="I985" s="14" t="n"/>
      <c r="J985" s="14" t="n">
        <v>-41740.8</v>
      </c>
      <c r="K985" s="21" t="n">
        <v>46139.62369212963</v>
      </c>
      <c r="L985" s="21" t="n"/>
      <c r="M985" s="8" t="inlineStr"/>
      <c r="N985" s="8" t="inlineStr">
        <is>
          <t>Бухгалтер: выгрузить акт</t>
        </is>
      </c>
      <c r="O985" s="8" t="inlineStr"/>
      <c r="P985" s="12" t="inlineStr">
        <is>
          <t>Операция есть в ETM, а акт 1С за этот (или следующий) месяц не выгружен — сначала получить акт</t>
        </is>
      </c>
      <c r="Q985" s="8" t="inlineStr">
        <is>
          <t>57233482</t>
        </is>
      </c>
    </row>
    <row r="986">
      <c r="A986" s="8" t="inlineStr">
        <is>
          <t>G07558</t>
        </is>
      </c>
      <c r="B986" s="8" t="inlineStr">
        <is>
          <t>Жолчу кызы А.</t>
        </is>
      </c>
      <c r="C986" s="8" t="inlineStr">
        <is>
          <t>2552669125</t>
        </is>
      </c>
      <c r="D986" s="8" t="inlineStr">
        <is>
          <t>ETM, акт 1С за месяц не выгружен</t>
        </is>
      </c>
      <c r="E986" s="8" t="inlineStr">
        <is>
          <t>Выгрузка 1С</t>
        </is>
      </c>
      <c r="F986" s="8" t="inlineStr">
        <is>
          <t>B</t>
        </is>
      </c>
      <c r="G986" s="14" t="n">
        <v>0</v>
      </c>
      <c r="H986" s="14" t="n">
        <v>-41041.28</v>
      </c>
      <c r="I986" s="14" t="n"/>
      <c r="J986" s="14" t="n">
        <v>-41041.28</v>
      </c>
      <c r="K986" s="21" t="n">
        <v>46187.34040509259</v>
      </c>
      <c r="L986" s="21" t="n"/>
      <c r="M986" s="8" t="inlineStr"/>
      <c r="N986" s="8" t="inlineStr">
        <is>
          <t>Бухгалтер: выгрузить акт</t>
        </is>
      </c>
      <c r="O986" s="8" t="inlineStr"/>
      <c r="P986" s="12" t="inlineStr">
        <is>
          <t>Операция есть в ETM, а акт 1С за этот (или следующий) месяц не выгружен — сначала получить акт</t>
        </is>
      </c>
      <c r="Q986" s="8" t="inlineStr">
        <is>
          <t>57366871</t>
        </is>
      </c>
    </row>
    <row r="987">
      <c r="A987" s="8" t="inlineStr">
        <is>
          <t>G07559</t>
        </is>
      </c>
      <c r="B987" s="8" t="inlineStr">
        <is>
          <t>Жолчу кызы А.</t>
        </is>
      </c>
      <c r="C987" s="8" t="inlineStr">
        <is>
          <t>2552669128</t>
        </is>
      </c>
      <c r="D987" s="8" t="inlineStr">
        <is>
          <t>ETM, акт 1С за месяц не выгружен</t>
        </is>
      </c>
      <c r="E987" s="8" t="inlineStr">
        <is>
          <t>Выгрузка 1С</t>
        </is>
      </c>
      <c r="F987" s="8" t="inlineStr">
        <is>
          <t>B</t>
        </is>
      </c>
      <c r="G987" s="14" t="n">
        <v>0</v>
      </c>
      <c r="H987" s="14" t="n">
        <v>-41041.28</v>
      </c>
      <c r="I987" s="14" t="n"/>
      <c r="J987" s="14" t="n">
        <v>-41041.28</v>
      </c>
      <c r="K987" s="21" t="n">
        <v>46187.70471064815</v>
      </c>
      <c r="L987" s="21" t="n"/>
      <c r="M987" s="8" t="inlineStr"/>
      <c r="N987" s="8" t="inlineStr">
        <is>
          <t>Бухгалтер: выгрузить акт</t>
        </is>
      </c>
      <c r="O987" s="8" t="inlineStr"/>
      <c r="P987" s="12" t="inlineStr">
        <is>
          <t>Операция есть в ETM, а акт 1С за этот (или следующий) месяц не выгружен — сначала получить акт</t>
        </is>
      </c>
      <c r="Q987" s="8" t="inlineStr">
        <is>
          <t>57366904</t>
        </is>
      </c>
    </row>
    <row r="988">
      <c r="A988" s="8" t="inlineStr">
        <is>
          <t>G07456</t>
        </is>
      </c>
      <c r="B988" s="8" t="inlineStr">
        <is>
          <t>Жолчу кызы А.</t>
        </is>
      </c>
      <c r="C988" s="8" t="inlineStr">
        <is>
          <t>2416942916</t>
        </is>
      </c>
      <c r="D988" s="8" t="inlineStr">
        <is>
          <t>ETM, акт 1С за месяц не выгружен</t>
        </is>
      </c>
      <c r="E988" s="8" t="inlineStr">
        <is>
          <t>Выгрузка 1С</t>
        </is>
      </c>
      <c r="F988" s="8" t="inlineStr">
        <is>
          <t>B</t>
        </is>
      </c>
      <c r="G988" s="14" t="n">
        <v>0</v>
      </c>
      <c r="H988" s="14" t="n">
        <v>-40511.04</v>
      </c>
      <c r="I988" s="14" t="n">
        <v>40072.6</v>
      </c>
      <c r="J988" s="14" t="n">
        <v>-40511.04</v>
      </c>
      <c r="K988" s="21" t="n">
        <v>46183.59980324074</v>
      </c>
      <c r="L988" s="21" t="n"/>
      <c r="M988" s="8" t="inlineStr"/>
      <c r="N988" s="8" t="inlineStr">
        <is>
          <t>Бухгалтер: выгрузить акт</t>
        </is>
      </c>
      <c r="O988" s="8" t="inlineStr">
        <is>
          <t>r.sydykov</t>
        </is>
      </c>
      <c r="P988" s="12" t="inlineStr">
        <is>
          <t>Операция есть в ETM, а акт 1С за этот (или следующий) месяц не выгружен — сначала получить акт</t>
        </is>
      </c>
      <c r="Q988" s="8" t="inlineStr">
        <is>
          <t>57351632</t>
        </is>
      </c>
    </row>
    <row r="989">
      <c r="A989" s="8" t="inlineStr">
        <is>
          <t>G13283</t>
        </is>
      </c>
      <c r="B989" s="8" t="inlineStr">
        <is>
          <t>Сатар уулу Санжар</t>
        </is>
      </c>
      <c r="C989" s="8" t="inlineStr">
        <is>
          <t>2552669374|2552669376</t>
        </is>
      </c>
      <c r="D989" s="8" t="inlineStr">
        <is>
          <t>ETM, акт 1С за месяц не выгружен</t>
        </is>
      </c>
      <c r="E989" s="8" t="inlineStr">
        <is>
          <t>Выгрузка 1С</t>
        </is>
      </c>
      <c r="F989" s="8" t="inlineStr">
        <is>
          <t>B</t>
        </is>
      </c>
      <c r="G989" s="14" t="n">
        <v>0</v>
      </c>
      <c r="H989" s="14" t="n">
        <v>-40376.86</v>
      </c>
      <c r="I989" s="14" t="n">
        <v>40376.86500000001</v>
      </c>
      <c r="J989" s="14" t="n">
        <v>-40376.86</v>
      </c>
      <c r="K989" s="21" t="n">
        <v>46138.53638888889</v>
      </c>
      <c r="L989" s="21" t="n"/>
      <c r="M989" s="8" t="inlineStr"/>
      <c r="N989" s="8" t="inlineStr">
        <is>
          <t>Бухгалтер: выгрузить акт</t>
        </is>
      </c>
      <c r="O989" s="8" t="inlineStr">
        <is>
          <t>k.dzhumaev</t>
        </is>
      </c>
      <c r="P989" s="12" t="inlineStr">
        <is>
          <t>Операция есть в ETM, а акт 1С за этот (или следующий) месяц не выгружен — сначала получить акт</t>
        </is>
      </c>
      <c r="Q989" s="8" t="inlineStr">
        <is>
          <t>57230290,57230250</t>
        </is>
      </c>
    </row>
    <row r="990">
      <c r="A990" s="8" t="inlineStr">
        <is>
          <t>G07282</t>
        </is>
      </c>
      <c r="B990" s="8" t="inlineStr">
        <is>
          <t>Жибек Эйр</t>
        </is>
      </c>
      <c r="C990" s="8" t="inlineStr">
        <is>
          <t>2460738011|2460738012</t>
        </is>
      </c>
      <c r="D990" s="8" t="inlineStr">
        <is>
          <t>ETM, акт 1С за месяц не выгружен</t>
        </is>
      </c>
      <c r="E990" s="8" t="inlineStr">
        <is>
          <t>Выгрузка 1С</t>
        </is>
      </c>
      <c r="F990" s="8" t="inlineStr">
        <is>
          <t>B</t>
        </is>
      </c>
      <c r="G990" s="14" t="n">
        <v>0</v>
      </c>
      <c r="H990" s="14" t="n">
        <v>-40248</v>
      </c>
      <c r="I990" s="14" t="n">
        <v>40248</v>
      </c>
      <c r="J990" s="14" t="n">
        <v>-40248</v>
      </c>
      <c r="K990" s="21" t="n">
        <v>46124.40608796296</v>
      </c>
      <c r="L990" s="21" t="n"/>
      <c r="M990" s="8" t="inlineStr"/>
      <c r="N990" s="8" t="inlineStr">
        <is>
          <t>Бухгалтер: выгрузить акт</t>
        </is>
      </c>
      <c r="O990" s="8" t="inlineStr">
        <is>
          <t>e.satarov</t>
        </is>
      </c>
      <c r="P990" s="12" t="inlineStr">
        <is>
          <t>Операция есть в ETM, а акт 1С за этот (или следующий) месяц не выгружен — сначала получить акт</t>
        </is>
      </c>
      <c r="Q990" s="8" t="inlineStr">
        <is>
          <t>57204006</t>
        </is>
      </c>
    </row>
    <row r="991">
      <c r="A991" s="8" t="inlineStr">
        <is>
          <t>G07437</t>
        </is>
      </c>
      <c r="B991" s="8" t="inlineStr">
        <is>
          <t>Жибек Эйр</t>
        </is>
      </c>
      <c r="C991" s="8" t="inlineStr">
        <is>
          <t>2559102350</t>
        </is>
      </c>
      <c r="D991" s="8" t="inlineStr">
        <is>
          <t>ETM, акт 1С за месяц не выгружен</t>
        </is>
      </c>
      <c r="E991" s="8" t="inlineStr">
        <is>
          <t>Выгрузка 1С</t>
        </is>
      </c>
      <c r="F991" s="8" t="inlineStr">
        <is>
          <t>B</t>
        </is>
      </c>
      <c r="G991" s="14" t="n">
        <v>0</v>
      </c>
      <c r="H991" s="14" t="n">
        <v>-40219</v>
      </c>
      <c r="I991" s="14" t="n"/>
      <c r="J991" s="14" t="n">
        <v>-40219</v>
      </c>
      <c r="K991" s="21" t="n">
        <v>46139.74979166667</v>
      </c>
      <c r="L991" s="21" t="n"/>
      <c r="M991" s="8" t="inlineStr"/>
      <c r="N991" s="8" t="inlineStr">
        <is>
          <t>Бухгалтер: выгрузить акт</t>
        </is>
      </c>
      <c r="O991" s="8" t="inlineStr"/>
      <c r="P991" s="12" t="inlineStr">
        <is>
          <t>Операция есть в ETM, а акт 1С за этот (или следующий) месяц не выгружен — сначала получить акт</t>
        </is>
      </c>
      <c r="Q991" s="8" t="inlineStr">
        <is>
          <t>57232897</t>
        </is>
      </c>
    </row>
    <row r="992">
      <c r="A992" s="8" t="inlineStr">
        <is>
          <t>G07404</t>
        </is>
      </c>
      <c r="B992" s="8" t="inlineStr">
        <is>
          <t>Жибек Эйр</t>
        </is>
      </c>
      <c r="C992" s="8" t="inlineStr">
        <is>
          <t>2552671465</t>
        </is>
      </c>
      <c r="D992" s="8" t="inlineStr">
        <is>
          <t>ETM, акт 1С за месяц не выгружен</t>
        </is>
      </c>
      <c r="E992" s="8" t="inlineStr">
        <is>
          <t>Выгрузка 1С</t>
        </is>
      </c>
      <c r="F992" s="8" t="inlineStr">
        <is>
          <t>B</t>
        </is>
      </c>
      <c r="G992" s="14" t="n">
        <v>0</v>
      </c>
      <c r="H992" s="14" t="n">
        <v>-40149.28</v>
      </c>
      <c r="I992" s="14" t="n">
        <v>40179.605</v>
      </c>
      <c r="J992" s="14" t="n">
        <v>-40149.28</v>
      </c>
      <c r="K992" s="21" t="n">
        <v>46167.78966435185</v>
      </c>
      <c r="L992" s="21" t="n"/>
      <c r="M992" s="8" t="inlineStr"/>
      <c r="N992" s="8" t="inlineStr">
        <is>
          <t>Бухгалтер: выгрузить акт</t>
        </is>
      </c>
      <c r="O992" s="8" t="inlineStr">
        <is>
          <t>a.toktosunova</t>
        </is>
      </c>
      <c r="P992" s="12" t="inlineStr">
        <is>
          <t>Операция есть в ETM, а акт 1С за этот (или следующий) месяц не выгружен — сначала получить акт</t>
        </is>
      </c>
      <c r="Q992" s="8" t="inlineStr">
        <is>
          <t>57313791</t>
        </is>
      </c>
    </row>
    <row r="993">
      <c r="A993" s="8" t="inlineStr">
        <is>
          <t>G09298</t>
        </is>
      </c>
      <c r="B993" s="8" t="inlineStr">
        <is>
          <t>ИССЫК ТРИП</t>
        </is>
      </c>
      <c r="C993" s="8" t="inlineStr">
        <is>
          <t>2552670784</t>
        </is>
      </c>
      <c r="D993" s="8" t="inlineStr">
        <is>
          <t>ETM, акт 1С за месяц не выгружен</t>
        </is>
      </c>
      <c r="E993" s="8" t="inlineStr">
        <is>
          <t>Выгрузка 1С</t>
        </is>
      </c>
      <c r="F993" s="8" t="inlineStr">
        <is>
          <t>B</t>
        </is>
      </c>
      <c r="G993" s="14" t="n">
        <v>0</v>
      </c>
      <c r="H993" s="14" t="n">
        <v>-40021.35</v>
      </c>
      <c r="I993" s="14" t="n">
        <v>40021.35</v>
      </c>
      <c r="J993" s="14" t="n">
        <v>-40021.35</v>
      </c>
      <c r="K993" s="21" t="n">
        <v>46054.73447916667</v>
      </c>
      <c r="L993" s="21" t="n"/>
      <c r="M993" s="8" t="inlineStr"/>
      <c r="N993" s="8" t="inlineStr">
        <is>
          <t>Бухгалтер: выгрузить акт</t>
        </is>
      </c>
      <c r="O993" s="8" t="inlineStr">
        <is>
          <t>d.mambetova</t>
        </is>
      </c>
      <c r="P993" s="12" t="inlineStr">
        <is>
          <t>Операция есть в ETM, а акт 1С за этот (или следующий) месяц не выгружен — сначала получить акт</t>
        </is>
      </c>
      <c r="Q993" s="8" t="inlineStr">
        <is>
          <t>57067461</t>
        </is>
      </c>
    </row>
    <row r="994">
      <c r="A994" s="8" t="inlineStr">
        <is>
          <t>G14291</t>
        </is>
      </c>
      <c r="B994" s="8" t="inlineStr">
        <is>
          <t>ЧОЛПОН ТУР</t>
        </is>
      </c>
      <c r="C994" s="8" t="inlineStr">
        <is>
          <t>2460736776|2460736777|2460736779</t>
        </is>
      </c>
      <c r="D994" s="8" t="inlineStr">
        <is>
          <t>ETM, акт 1С за месяц не выгружен</t>
        </is>
      </c>
      <c r="E994" s="8" t="inlineStr">
        <is>
          <t>Выгрузка 1С</t>
        </is>
      </c>
      <c r="F994" s="8" t="inlineStr">
        <is>
          <t>B</t>
        </is>
      </c>
      <c r="G994" s="14" t="n">
        <v>0</v>
      </c>
      <c r="H994" s="14" t="n">
        <v>-39963</v>
      </c>
      <c r="I994" s="14" t="n">
        <v>39963</v>
      </c>
      <c r="J994" s="14" t="n">
        <v>-39963</v>
      </c>
      <c r="K994" s="21" t="n">
        <v>46139.4815625</v>
      </c>
      <c r="L994" s="21" t="n"/>
      <c r="M994" s="8" t="inlineStr"/>
      <c r="N994" s="8" t="inlineStr">
        <is>
          <t>Бухгалтер: выгрузить акт</t>
        </is>
      </c>
      <c r="O994" s="8" t="inlineStr">
        <is>
          <t>a.toktosunova</t>
        </is>
      </c>
      <c r="P994" s="12" t="inlineStr">
        <is>
          <t>Операция есть в ETM, а акт 1С за этот (или следующий) месяц не выгружен — сначала получить акт</t>
        </is>
      </c>
      <c r="Q994" s="8" t="inlineStr">
        <is>
          <t>57232842,57232836,57232839</t>
        </is>
      </c>
    </row>
    <row r="995">
      <c r="A995" s="8" t="inlineStr">
        <is>
          <t>G09332</t>
        </is>
      </c>
      <c r="B995" s="8" t="inlineStr">
        <is>
          <t>ИССЫК ТРИП</t>
        </is>
      </c>
      <c r="C995" s="8" t="inlineStr">
        <is>
          <t>2559098995</t>
        </is>
      </c>
      <c r="D995" s="8" t="inlineStr">
        <is>
          <t>ETM, акт 1С за месяц не выгружен</t>
        </is>
      </c>
      <c r="E995" s="8" t="inlineStr">
        <is>
          <t>Выгрузка 1С</t>
        </is>
      </c>
      <c r="F995" s="8" t="inlineStr">
        <is>
          <t>B</t>
        </is>
      </c>
      <c r="G995" s="14" t="n">
        <v>0</v>
      </c>
      <c r="H995" s="14" t="n">
        <v>-39752.07</v>
      </c>
      <c r="I995" s="14" t="n">
        <v>39752.07</v>
      </c>
      <c r="J995" s="14" t="n">
        <v>-39752.07</v>
      </c>
      <c r="K995" s="21" t="n">
        <v>46074.52303240741</v>
      </c>
      <c r="L995" s="21" t="n"/>
      <c r="M995" s="8" t="inlineStr"/>
      <c r="N995" s="8" t="inlineStr">
        <is>
          <t>Бухгалтер: выгрузить акт</t>
        </is>
      </c>
      <c r="O995" s="8" t="inlineStr">
        <is>
          <t>e.satarov</t>
        </is>
      </c>
      <c r="P995" s="12" t="inlineStr">
        <is>
          <t>Операция есть в ETM, а акт 1С за этот (или следующий) месяц не выгружен — сначала получить акт</t>
        </is>
      </c>
      <c r="Q995" s="8" t="inlineStr">
        <is>
          <t>57101530</t>
        </is>
      </c>
    </row>
    <row r="996">
      <c r="A996" s="8" t="inlineStr">
        <is>
          <t>G13064</t>
        </is>
      </c>
      <c r="B996" s="8" t="inlineStr">
        <is>
          <t>Сатар уулу Санжар</t>
        </is>
      </c>
      <c r="C996" s="8" t="inlineStr">
        <is>
          <t>2460732895|2460732898|2460732899</t>
        </is>
      </c>
      <c r="D996" s="8" t="inlineStr">
        <is>
          <t>ETM, акт 1С за месяц не выгружен</t>
        </is>
      </c>
      <c r="E996" s="8" t="inlineStr">
        <is>
          <t>Выгрузка 1С</t>
        </is>
      </c>
      <c r="F996" s="8" t="inlineStr">
        <is>
          <t>B</t>
        </is>
      </c>
      <c r="G996" s="14" t="n">
        <v>0</v>
      </c>
      <c r="H996" s="14" t="n">
        <v>-39621</v>
      </c>
      <c r="I996" s="14" t="n">
        <v>39621</v>
      </c>
      <c r="J996" s="14" t="n">
        <v>-39621</v>
      </c>
      <c r="K996" s="21" t="n">
        <v>46184.36469907407</v>
      </c>
      <c r="L996" s="21" t="n"/>
      <c r="M996" s="8" t="inlineStr"/>
      <c r="N996" s="8" t="inlineStr">
        <is>
          <t>Бухгалтер: выгрузить акт</t>
        </is>
      </c>
      <c r="O996" s="8" t="inlineStr">
        <is>
          <t>a.toktosunova</t>
        </is>
      </c>
      <c r="P996" s="12" t="inlineStr">
        <is>
          <t>Операция есть в ETM, а акт 1С за этот (или следующий) месяц не выгружен — сначала получить акт</t>
        </is>
      </c>
      <c r="Q996" s="8" t="inlineStr">
        <is>
          <t>57358610,57358638,57358635</t>
        </is>
      </c>
    </row>
    <row r="997">
      <c r="A997" s="8" t="inlineStr">
        <is>
          <t>G12908</t>
        </is>
      </c>
      <c r="B997" s="8" t="inlineStr">
        <is>
          <t>Сатар уулу Санжар</t>
        </is>
      </c>
      <c r="C997" s="8" t="inlineStr">
        <is>
          <t>2416945424</t>
        </is>
      </c>
      <c r="D997" s="8" t="inlineStr">
        <is>
          <t>ETM, акт 1С за месяц не выгружен</t>
        </is>
      </c>
      <c r="E997" s="8" t="inlineStr">
        <is>
          <t>Выгрузка 1С</t>
        </is>
      </c>
      <c r="F997" s="8" t="inlineStr">
        <is>
          <t>B</t>
        </is>
      </c>
      <c r="G997" s="14" t="n">
        <v>0</v>
      </c>
      <c r="H997" s="14" t="n">
        <v>-39599.25</v>
      </c>
      <c r="I997" s="14" t="n"/>
      <c r="J997" s="14" t="n">
        <v>-39599.25</v>
      </c>
      <c r="K997" s="21" t="n">
        <v>46119.45915509259</v>
      </c>
      <c r="L997" s="21" t="n"/>
      <c r="M997" s="8" t="inlineStr"/>
      <c r="N997" s="8" t="inlineStr">
        <is>
          <t>Бухгалтер: выгрузить акт</t>
        </is>
      </c>
      <c r="O997" s="8" t="inlineStr"/>
      <c r="P997" s="12" t="inlineStr">
        <is>
          <t>Операция есть в ETM, а акт 1С за этот (или следующий) месяц не выгружен — сначала получить акт</t>
        </is>
      </c>
      <c r="Q997" s="8" t="inlineStr">
        <is>
          <t>57195323</t>
        </is>
      </c>
    </row>
    <row r="998">
      <c r="A998" s="8" t="inlineStr">
        <is>
          <t>G13025</t>
        </is>
      </c>
      <c r="B998" s="8" t="inlineStr">
        <is>
          <t>Сатар уулу Санжар</t>
        </is>
      </c>
      <c r="C998" s="8" t="inlineStr">
        <is>
          <t>2459529912|2459529913</t>
        </is>
      </c>
      <c r="D998" s="8" t="inlineStr">
        <is>
          <t>ETM, акт 1С за месяц не выгружен</t>
        </is>
      </c>
      <c r="E998" s="8" t="inlineStr">
        <is>
          <t>Выгрузка 1С</t>
        </is>
      </c>
      <c r="F998" s="8" t="inlineStr">
        <is>
          <t>B</t>
        </is>
      </c>
      <c r="G998" s="14" t="n">
        <v>0</v>
      </c>
      <c r="H998" s="14" t="n">
        <v>-39114</v>
      </c>
      <c r="I998" s="14" t="n">
        <v>39114</v>
      </c>
      <c r="J998" s="14" t="n">
        <v>-39114</v>
      </c>
      <c r="K998" s="21" t="n">
        <v>46191.48835648148</v>
      </c>
      <c r="L998" s="21" t="n"/>
      <c r="M998" s="8" t="inlineStr"/>
      <c r="N998" s="8" t="inlineStr">
        <is>
          <t>Бухгалтер: выгрузить акт</t>
        </is>
      </c>
      <c r="O998" s="8" t="inlineStr">
        <is>
          <t>e.satarov</t>
        </is>
      </c>
      <c r="P998" s="12" t="inlineStr">
        <is>
          <t>Операция есть в ETM, а акт 1С за этот (или следующий) месяц не выгружен — сначала получить акт</t>
        </is>
      </c>
      <c r="Q998" s="8" t="inlineStr">
        <is>
          <t>57378904,57378927</t>
        </is>
      </c>
    </row>
    <row r="999">
      <c r="A999" s="8" t="inlineStr">
        <is>
          <t>G08588</t>
        </is>
      </c>
      <c r="B999" s="8" t="inlineStr">
        <is>
          <t>ИП Токтосун кызы Н.</t>
        </is>
      </c>
      <c r="C999" s="8" t="inlineStr">
        <is>
          <t>2460736836|2460736839</t>
        </is>
      </c>
      <c r="D999" s="8" t="inlineStr">
        <is>
          <t>ETM, акт 1С за месяц не выгружен</t>
        </is>
      </c>
      <c r="E999" s="8" t="inlineStr">
        <is>
          <t>Выгрузка 1С</t>
        </is>
      </c>
      <c r="F999" s="8" t="inlineStr">
        <is>
          <t>B</t>
        </is>
      </c>
      <c r="G999" s="14" t="n">
        <v>0</v>
      </c>
      <c r="H999" s="14" t="n">
        <v>-39052</v>
      </c>
      <c r="I999" s="14" t="n">
        <v>39052</v>
      </c>
      <c r="J999" s="14" t="n">
        <v>-39052</v>
      </c>
      <c r="K999" s="21" t="n">
        <v>46070.56642361111</v>
      </c>
      <c r="L999" s="21" t="n"/>
      <c r="M999" s="8" t="inlineStr"/>
      <c r="N999" s="8" t="inlineStr">
        <is>
          <t>Бухгалтер: выгрузить акт</t>
        </is>
      </c>
      <c r="O999" s="8" t="inlineStr">
        <is>
          <t>a.toktosunova</t>
        </is>
      </c>
      <c r="P999" s="12" t="inlineStr">
        <is>
          <t>Операция есть в ETM, а акт 1С за этот (или следующий) месяц не выгружен — сначала получить акт</t>
        </is>
      </c>
      <c r="Q999" s="8" t="inlineStr">
        <is>
          <t>57095172,57095158</t>
        </is>
      </c>
    </row>
    <row r="1000">
      <c r="A1000" s="8" t="inlineStr">
        <is>
          <t>G12894</t>
        </is>
      </c>
      <c r="B1000" s="8" t="inlineStr">
        <is>
          <t>Сатар уулу Санжар</t>
        </is>
      </c>
      <c r="C1000" s="8" t="inlineStr">
        <is>
          <t>2416944604</t>
        </is>
      </c>
      <c r="D1000" s="8" t="inlineStr">
        <is>
          <t>ETM, акт 1С за месяц не выгружен</t>
        </is>
      </c>
      <c r="E1000" s="8" t="inlineStr">
        <is>
          <t>Выгрузка 1С</t>
        </is>
      </c>
      <c r="F1000" s="8" t="inlineStr">
        <is>
          <t>B</t>
        </is>
      </c>
      <c r="G1000" s="14" t="n">
        <v>0</v>
      </c>
      <c r="H1000" s="14" t="n">
        <v>-38906.4</v>
      </c>
      <c r="I1000" s="14" t="n">
        <v>38906.4</v>
      </c>
      <c r="J1000" s="14" t="n">
        <v>-38906.4</v>
      </c>
      <c r="K1000" s="21" t="n">
        <v>46198.64234953704</v>
      </c>
      <c r="L1000" s="21" t="n"/>
      <c r="M1000" s="8" t="inlineStr"/>
      <c r="N1000" s="8" t="inlineStr">
        <is>
          <t>Бухгалтер: выгрузить акт</t>
        </is>
      </c>
      <c r="O1000" s="8" t="inlineStr">
        <is>
          <t>a.toktosunova</t>
        </is>
      </c>
      <c r="P1000" s="12" t="inlineStr">
        <is>
          <t>Операция есть в ETM, а акт 1С за этот (или следующий) месяц не выгружен — сначала получить акт</t>
        </is>
      </c>
      <c r="Q1000" s="8" t="inlineStr">
        <is>
          <t>57400295</t>
        </is>
      </c>
    </row>
    <row r="1001">
      <c r="A1001" s="8" t="inlineStr">
        <is>
          <t>G08674</t>
        </is>
      </c>
      <c r="B1001" s="8" t="inlineStr">
        <is>
          <t>ИП Токтосун кызы Н.</t>
        </is>
      </c>
      <c r="C1001" s="8" t="inlineStr">
        <is>
          <t>2552669985</t>
        </is>
      </c>
      <c r="D1001" s="8" t="inlineStr">
        <is>
          <t>ETM, акт 1С за месяц не выгружен</t>
        </is>
      </c>
      <c r="E1001" s="8" t="inlineStr">
        <is>
          <t>Выгрузка 1С</t>
        </is>
      </c>
      <c r="F1001" s="8" t="inlineStr">
        <is>
          <t>B</t>
        </is>
      </c>
      <c r="G1001" s="14" t="n">
        <v>0</v>
      </c>
      <c r="H1001" s="14" t="n">
        <v>-38892.6</v>
      </c>
      <c r="I1001" s="14" t="n"/>
      <c r="J1001" s="14" t="n">
        <v>-38892.6</v>
      </c>
      <c r="K1001" s="21" t="n">
        <v>46057.6128125</v>
      </c>
      <c r="L1001" s="21" t="n"/>
      <c r="M1001" s="8" t="inlineStr"/>
      <c r="N1001" s="8" t="inlineStr">
        <is>
          <t>Бухгалтер: выгрузить акт</t>
        </is>
      </c>
      <c r="O1001" s="8" t="inlineStr"/>
      <c r="P1001" s="12" t="inlineStr">
        <is>
          <t>Операция есть в ETM, а акт 1С за этот (или следующий) месяц не выгружен — сначала получить акт</t>
        </is>
      </c>
      <c r="Q1001" s="8" t="inlineStr">
        <is>
          <t>57071302</t>
        </is>
      </c>
    </row>
    <row r="1002">
      <c r="A1002" s="8" t="inlineStr">
        <is>
          <t>G08675</t>
        </is>
      </c>
      <c r="B1002" s="8" t="inlineStr">
        <is>
          <t>ИП Токтосун кызы Н.</t>
        </is>
      </c>
      <c r="C1002" s="8" t="inlineStr">
        <is>
          <t>2552669988</t>
        </is>
      </c>
      <c r="D1002" s="8" t="inlineStr">
        <is>
          <t>ETM, акт 1С за месяц не выгружен</t>
        </is>
      </c>
      <c r="E1002" s="8" t="inlineStr">
        <is>
          <t>Выгрузка 1С</t>
        </is>
      </c>
      <c r="F1002" s="8" t="inlineStr">
        <is>
          <t>B</t>
        </is>
      </c>
      <c r="G1002" s="14" t="n">
        <v>0</v>
      </c>
      <c r="H1002" s="14" t="n">
        <v>-38892.6</v>
      </c>
      <c r="I1002" s="14" t="n"/>
      <c r="J1002" s="14" t="n">
        <v>-38892.6</v>
      </c>
      <c r="K1002" s="21" t="n">
        <v>46057.64061342592</v>
      </c>
      <c r="L1002" s="21" t="n"/>
      <c r="M1002" s="8" t="inlineStr"/>
      <c r="N1002" s="8" t="inlineStr">
        <is>
          <t>Бухгалтер: выгрузить акт</t>
        </is>
      </c>
      <c r="O1002" s="8" t="inlineStr"/>
      <c r="P1002" s="12" t="inlineStr">
        <is>
          <t>Операция есть в ETM, а акт 1С за этот (или следующий) месяц не выгружен — сначала получить акт</t>
        </is>
      </c>
      <c r="Q1002" s="8" t="inlineStr">
        <is>
          <t>57071320</t>
        </is>
      </c>
    </row>
    <row r="1003">
      <c r="A1003" s="8" t="inlineStr">
        <is>
          <t>G08343</t>
        </is>
      </c>
      <c r="B1003" s="8" t="inlineStr">
        <is>
          <t>ИП Муратов Э. У.</t>
        </is>
      </c>
      <c r="C1003" s="8" t="inlineStr">
        <is>
          <t>2416946476</t>
        </is>
      </c>
      <c r="D1003" s="8" t="inlineStr">
        <is>
          <t>ETM, акт 1С за месяц не выгружен</t>
        </is>
      </c>
      <c r="E1003" s="8" t="inlineStr">
        <is>
          <t>Выгрузка 1С</t>
        </is>
      </c>
      <c r="F1003" s="8" t="inlineStr">
        <is>
          <t>B</t>
        </is>
      </c>
      <c r="G1003" s="14" t="n">
        <v>0</v>
      </c>
      <c r="H1003" s="14" t="n">
        <v>-38856.46</v>
      </c>
      <c r="I1003" s="14" t="n"/>
      <c r="J1003" s="14" t="n">
        <v>-38856.46</v>
      </c>
      <c r="K1003" s="21" t="n">
        <v>46102.48163194444</v>
      </c>
      <c r="L1003" s="21" t="n"/>
      <c r="M1003" s="8" t="inlineStr"/>
      <c r="N1003" s="8" t="inlineStr">
        <is>
          <t>Бухгалтер: выгрузить акт</t>
        </is>
      </c>
      <c r="O1003" s="8" t="inlineStr"/>
      <c r="P1003" s="12" t="inlineStr">
        <is>
          <t>Операция есть в ETM, а акт 1С за этот (или следующий) месяц не выгружен — сначала получить акт</t>
        </is>
      </c>
      <c r="Q1003" s="8" t="inlineStr">
        <is>
          <t>57163157</t>
        </is>
      </c>
    </row>
    <row r="1004">
      <c r="A1004" s="8" t="inlineStr">
        <is>
          <t>G08344</t>
        </is>
      </c>
      <c r="B1004" s="8" t="inlineStr">
        <is>
          <t>ИП Муратов Э. У.</t>
        </is>
      </c>
      <c r="C1004" s="8" t="inlineStr">
        <is>
          <t>2416946478</t>
        </is>
      </c>
      <c r="D1004" s="8" t="inlineStr">
        <is>
          <t>ETM, акт 1С за месяц не выгружен</t>
        </is>
      </c>
      <c r="E1004" s="8" t="inlineStr">
        <is>
          <t>Выгрузка 1С</t>
        </is>
      </c>
      <c r="F1004" s="8" t="inlineStr">
        <is>
          <t>B</t>
        </is>
      </c>
      <c r="G1004" s="14" t="n">
        <v>0</v>
      </c>
      <c r="H1004" s="14" t="n">
        <v>-38856.46</v>
      </c>
      <c r="I1004" s="14" t="n"/>
      <c r="J1004" s="14" t="n">
        <v>-38856.46</v>
      </c>
      <c r="K1004" s="21" t="n">
        <v>46102.67037037037</v>
      </c>
      <c r="L1004" s="21" t="n"/>
      <c r="M1004" s="8" t="inlineStr"/>
      <c r="N1004" s="8" t="inlineStr">
        <is>
          <t>Бухгалтер: выгрузить акт</t>
        </is>
      </c>
      <c r="O1004" s="8" t="inlineStr"/>
      <c r="P1004" s="12" t="inlineStr">
        <is>
          <t>Операция есть в ETM, а акт 1С за этот (или следующий) месяц не выгружен — сначала получить акт</t>
        </is>
      </c>
      <c r="Q1004" s="8" t="inlineStr">
        <is>
          <t>57163181</t>
        </is>
      </c>
    </row>
    <row r="1005">
      <c r="A1005" s="8" t="inlineStr">
        <is>
          <t>G08156</t>
        </is>
      </c>
      <c r="B1005" s="8" t="inlineStr">
        <is>
          <t>ИП Жумабекова Б. Н.</t>
        </is>
      </c>
      <c r="C1005" s="8" t="inlineStr">
        <is>
          <t>2459528461|2459528463</t>
        </is>
      </c>
      <c r="D1005" s="8" t="inlineStr">
        <is>
          <t>ETM, акт 1С за месяц не выгружен</t>
        </is>
      </c>
      <c r="E1005" s="8" t="inlineStr">
        <is>
          <t>Выгрузка 1С</t>
        </is>
      </c>
      <c r="F1005" s="8" t="inlineStr">
        <is>
          <t>B</t>
        </is>
      </c>
      <c r="G1005" s="14" t="n">
        <v>0</v>
      </c>
      <c r="H1005" s="14" t="n">
        <v>-38314</v>
      </c>
      <c r="I1005" s="14" t="n">
        <v>38314</v>
      </c>
      <c r="J1005" s="14" t="n">
        <v>-38314</v>
      </c>
      <c r="K1005" s="21" t="n">
        <v>46163.34033564815</v>
      </c>
      <c r="L1005" s="21" t="n"/>
      <c r="M1005" s="8" t="inlineStr"/>
      <c r="N1005" s="8" t="inlineStr">
        <is>
          <t>Бухгалтер: выгрузить акт</t>
        </is>
      </c>
      <c r="O1005" s="8" t="inlineStr">
        <is>
          <t>d.mambetova</t>
        </is>
      </c>
      <c r="P1005" s="12" t="inlineStr">
        <is>
          <t>Операция есть в ETM, а акт 1С за этот (или следующий) месяц не выгружен — сначала получить акт</t>
        </is>
      </c>
      <c r="Q1005" s="8" t="inlineStr">
        <is>
          <t>57304389,57304374</t>
        </is>
      </c>
    </row>
    <row r="1006">
      <c r="A1006" s="8" t="inlineStr">
        <is>
          <t>G07258</t>
        </is>
      </c>
      <c r="B1006" s="8" t="inlineStr">
        <is>
          <t>Жибек Эйр</t>
        </is>
      </c>
      <c r="C1006" s="8" t="inlineStr">
        <is>
          <t>2460734480|2460734481</t>
        </is>
      </c>
      <c r="D1006" s="8" t="inlineStr">
        <is>
          <t>ETM, акт 1С за месяц не выгружен</t>
        </is>
      </c>
      <c r="E1006" s="8" t="inlineStr">
        <is>
          <t>Выгрузка 1С</t>
        </is>
      </c>
      <c r="F1006" s="8" t="inlineStr">
        <is>
          <t>B</t>
        </is>
      </c>
      <c r="G1006" s="14" t="n">
        <v>0</v>
      </c>
      <c r="H1006" s="14" t="n">
        <v>-38228</v>
      </c>
      <c r="I1006" s="14" t="n">
        <v>38228</v>
      </c>
      <c r="J1006" s="14" t="n">
        <v>-38228</v>
      </c>
      <c r="K1006" s="21" t="n">
        <v>46130.57841435185</v>
      </c>
      <c r="L1006" s="21" t="n"/>
      <c r="M1006" s="8" t="inlineStr"/>
      <c r="N1006" s="8" t="inlineStr">
        <is>
          <t>Бухгалтер: выгрузить акт</t>
        </is>
      </c>
      <c r="O1006" s="8" t="inlineStr">
        <is>
          <t>g.omurbekova</t>
        </is>
      </c>
      <c r="P1006" s="12" t="inlineStr">
        <is>
          <t>Операция есть в ETM, а акт 1С за этот (или следующий) месяц не выгружен — сначала получить акт</t>
        </is>
      </c>
      <c r="Q1006" s="8" t="inlineStr">
        <is>
          <t>57214058,57214055</t>
        </is>
      </c>
    </row>
    <row r="1007">
      <c r="A1007" s="8" t="inlineStr">
        <is>
          <t>G13152</t>
        </is>
      </c>
      <c r="B1007" s="8" t="inlineStr">
        <is>
          <t>Сатар уулу Санжар</t>
        </is>
      </c>
      <c r="C1007" s="8" t="inlineStr">
        <is>
          <t>2461883621|2461883623|2461883624</t>
        </is>
      </c>
      <c r="D1007" s="8" t="inlineStr">
        <is>
          <t>ETM, акт 1С за месяц не выгружен</t>
        </is>
      </c>
      <c r="E1007" s="8" t="inlineStr">
        <is>
          <t>Выгрузка 1С</t>
        </is>
      </c>
      <c r="F1007" s="8" t="inlineStr">
        <is>
          <t>B</t>
        </is>
      </c>
      <c r="G1007" s="14" t="n">
        <v>0</v>
      </c>
      <c r="H1007" s="14" t="n">
        <v>-38091</v>
      </c>
      <c r="I1007" s="14" t="n">
        <v>38091</v>
      </c>
      <c r="J1007" s="14" t="n">
        <v>-38091</v>
      </c>
      <c r="K1007" s="21" t="n">
        <v>46129.5887037037</v>
      </c>
      <c r="L1007" s="21" t="n"/>
      <c r="M1007" s="8" t="inlineStr"/>
      <c r="N1007" s="8" t="inlineStr">
        <is>
          <t>Бухгалтер: выгрузить акт</t>
        </is>
      </c>
      <c r="O1007" s="8" t="inlineStr">
        <is>
          <t>r.sydykov</t>
        </is>
      </c>
      <c r="P1007" s="12" t="inlineStr">
        <is>
          <t>Операция есть в ETM, а акт 1С за этот (или следующий) месяц не выгружен — сначала получить акт</t>
        </is>
      </c>
      <c r="Q1007" s="8" t="inlineStr">
        <is>
          <t>57212636,57212634,57212655</t>
        </is>
      </c>
    </row>
    <row r="1008">
      <c r="A1008" s="8" t="inlineStr">
        <is>
          <t>G13324</t>
        </is>
      </c>
      <c r="B1008" s="8" t="inlineStr">
        <is>
          <t>Сатар уулу Санжар</t>
        </is>
      </c>
      <c r="C1008" s="8" t="inlineStr">
        <is>
          <t>2559099292</t>
        </is>
      </c>
      <c r="D1008" s="8" t="inlineStr">
        <is>
          <t>ETM, акт 1С за месяц не выгружен</t>
        </is>
      </c>
      <c r="E1008" s="8" t="inlineStr">
        <is>
          <t>Выгрузка 1С</t>
        </is>
      </c>
      <c r="F1008" s="8" t="inlineStr">
        <is>
          <t>B</t>
        </is>
      </c>
      <c r="G1008" s="14" t="n">
        <v>0</v>
      </c>
      <c r="H1008" s="14" t="n">
        <v>-37933.56</v>
      </c>
      <c r="I1008" s="14" t="n"/>
      <c r="J1008" s="14" t="n">
        <v>-37933.56</v>
      </c>
      <c r="K1008" s="21" t="n">
        <v>46193.35428240741</v>
      </c>
      <c r="L1008" s="21" t="n"/>
      <c r="M1008" s="8" t="inlineStr"/>
      <c r="N1008" s="8" t="inlineStr">
        <is>
          <t>Бухгалтер: выгрузить акт</t>
        </is>
      </c>
      <c r="O1008" s="8" t="inlineStr"/>
      <c r="P1008" s="12" t="inlineStr">
        <is>
          <t>Операция есть в ETM, а акт 1С за этот (или следующий) месяц не выгружен — сначала получить акт</t>
        </is>
      </c>
      <c r="Q1008" s="8" t="inlineStr">
        <is>
          <t>57382990</t>
        </is>
      </c>
    </row>
    <row r="1009">
      <c r="A1009" s="8" t="inlineStr">
        <is>
          <t>G13328</t>
        </is>
      </c>
      <c r="B1009" s="8" t="inlineStr">
        <is>
          <t>Сатар уулу Санжар</t>
        </is>
      </c>
      <c r="C1009" s="8" t="inlineStr">
        <is>
          <t>2559099415</t>
        </is>
      </c>
      <c r="D1009" s="8" t="inlineStr">
        <is>
          <t>ETM, акт 1С за месяц не выгружен</t>
        </is>
      </c>
      <c r="E1009" s="8" t="inlineStr">
        <is>
          <t>Выгрузка 1С</t>
        </is>
      </c>
      <c r="F1009" s="8" t="inlineStr">
        <is>
          <t>B</t>
        </is>
      </c>
      <c r="G1009" s="14" t="n">
        <v>0</v>
      </c>
      <c r="H1009" s="14" t="n">
        <v>-37161.67</v>
      </c>
      <c r="I1009" s="14" t="n"/>
      <c r="J1009" s="14" t="n">
        <v>-37161.67</v>
      </c>
      <c r="K1009" s="21" t="n">
        <v>46178.77685185185</v>
      </c>
      <c r="L1009" s="21" t="n"/>
      <c r="M1009" s="8" t="inlineStr"/>
      <c r="N1009" s="8" t="inlineStr">
        <is>
          <t>Бухгалтер: выгрузить акт</t>
        </is>
      </c>
      <c r="O1009" s="8" t="inlineStr"/>
      <c r="P1009" s="12" t="inlineStr">
        <is>
          <t>Операция есть в ETM, а акт 1С за этот (или следующий) месяц не выгружен — сначала получить акт</t>
        </is>
      </c>
      <c r="Q1009" s="8" t="inlineStr">
        <is>
          <t>57342803</t>
        </is>
      </c>
    </row>
    <row r="1010">
      <c r="A1010" s="8" t="inlineStr">
        <is>
          <t>G14348</t>
        </is>
      </c>
      <c r="B1010" s="8" t="inlineStr">
        <is>
          <t>ЧОЛПОН ТУР</t>
        </is>
      </c>
      <c r="C1010" s="8" t="inlineStr">
        <is>
          <t>2559102422</t>
        </is>
      </c>
      <c r="D1010" s="8" t="inlineStr">
        <is>
          <t>ETM, акт 1С за месяц не выгружен</t>
        </is>
      </c>
      <c r="E1010" s="8" t="inlineStr">
        <is>
          <t>Выгрузка 1С</t>
        </is>
      </c>
      <c r="F1010" s="8" t="inlineStr">
        <is>
          <t>B</t>
        </is>
      </c>
      <c r="G1010" s="14" t="n">
        <v>0</v>
      </c>
      <c r="H1010" s="14" t="n">
        <v>-36749.38</v>
      </c>
      <c r="I1010" s="14" t="n">
        <v>36749.375</v>
      </c>
      <c r="J1010" s="14" t="n">
        <v>-36749.38</v>
      </c>
      <c r="K1010" s="21" t="n">
        <v>46089.80351851852</v>
      </c>
      <c r="L1010" s="21" t="n"/>
      <c r="M1010" s="8" t="inlineStr"/>
      <c r="N1010" s="8" t="inlineStr">
        <is>
          <t>Бухгалтер: выгрузить акт</t>
        </is>
      </c>
      <c r="O1010" s="8" t="inlineStr">
        <is>
          <t>a.toktosunova</t>
        </is>
      </c>
      <c r="P1010" s="12" t="inlineStr">
        <is>
          <t>Операция есть в ETM, а акт 1С за этот (или следующий) месяц не выгружен — сначала получить акт</t>
        </is>
      </c>
      <c r="Q1010" s="8" t="inlineStr">
        <is>
          <t>57132516</t>
        </is>
      </c>
    </row>
    <row r="1011">
      <c r="A1011" s="8" t="inlineStr">
        <is>
          <t>G14461</t>
        </is>
      </c>
      <c r="B1011" s="8" t="inlineStr">
        <is>
          <t>Чолпон Тревел</t>
        </is>
      </c>
      <c r="C1011" s="8" t="inlineStr">
        <is>
          <t>2416946263</t>
        </is>
      </c>
      <c r="D1011" s="8" t="inlineStr">
        <is>
          <t>ETM, акт 1С за месяц не выгружен</t>
        </is>
      </c>
      <c r="E1011" s="8" t="inlineStr">
        <is>
          <t>Выгрузка 1С</t>
        </is>
      </c>
      <c r="F1011" s="8" t="inlineStr">
        <is>
          <t>B</t>
        </is>
      </c>
      <c r="G1011" s="14" t="n">
        <v>0</v>
      </c>
      <c r="H1011" s="14" t="n">
        <v>-36489.36</v>
      </c>
      <c r="I1011" s="14" t="n">
        <v>36489.36</v>
      </c>
      <c r="J1011" s="14" t="n">
        <v>-36489.36</v>
      </c>
      <c r="K1011" s="21" t="n">
        <v>46150.47230324074</v>
      </c>
      <c r="L1011" s="21" t="n"/>
      <c r="M1011" s="8" t="inlineStr"/>
      <c r="N1011" s="8" t="inlineStr">
        <is>
          <t>Бухгалтер: выгрузить акт</t>
        </is>
      </c>
      <c r="O1011" s="8" t="inlineStr">
        <is>
          <t>n.abdyldaeva</t>
        </is>
      </c>
      <c r="P1011" s="12" t="inlineStr">
        <is>
          <t>Операция есть в ETM, а акт 1С за этот (или следующий) месяц не выгружен — сначала получить акт</t>
        </is>
      </c>
      <c r="Q1011" s="8" t="inlineStr">
        <is>
          <t>57266041</t>
        </is>
      </c>
    </row>
    <row r="1012">
      <c r="A1012" s="8" t="inlineStr">
        <is>
          <t>G14346</t>
        </is>
      </c>
      <c r="B1012" s="8" t="inlineStr">
        <is>
          <t>ЧОЛПОН ТУР</t>
        </is>
      </c>
      <c r="C1012" s="8" t="inlineStr">
        <is>
          <t>2559101619</t>
        </is>
      </c>
      <c r="D1012" s="8" t="inlineStr">
        <is>
          <t>ETM, акт 1С за месяц не выгружен</t>
        </is>
      </c>
      <c r="E1012" s="8" t="inlineStr">
        <is>
          <t>Выгрузка 1С</t>
        </is>
      </c>
      <c r="F1012" s="8" t="inlineStr">
        <is>
          <t>B</t>
        </is>
      </c>
      <c r="G1012" s="14" t="n">
        <v>0</v>
      </c>
      <c r="H1012" s="14" t="n">
        <v>-35861</v>
      </c>
      <c r="I1012" s="14" t="n">
        <v>35861</v>
      </c>
      <c r="J1012" s="14" t="n">
        <v>-35861</v>
      </c>
      <c r="K1012" s="21" t="n">
        <v>46106.52375</v>
      </c>
      <c r="L1012" s="21" t="n"/>
      <c r="M1012" s="8" t="inlineStr"/>
      <c r="N1012" s="8" t="inlineStr">
        <is>
          <t>Бухгалтер: выгрузить акт</t>
        </is>
      </c>
      <c r="O1012" s="8" t="inlineStr">
        <is>
          <t>n.abdyldaeva</t>
        </is>
      </c>
      <c r="P1012" s="12" t="inlineStr">
        <is>
          <t>Операция есть в ETM, а акт 1С за этот (или следующий) месяц не выгружен — сначала получить акт</t>
        </is>
      </c>
      <c r="Q1012" s="8" t="inlineStr">
        <is>
          <t>57170557</t>
        </is>
      </c>
    </row>
    <row r="1013">
      <c r="A1013" s="8" t="inlineStr">
        <is>
          <t>G14560</t>
        </is>
      </c>
      <c r="B1013" s="8" t="inlineStr">
        <is>
          <t>Чынар уулу Эмир</t>
        </is>
      </c>
      <c r="C1013" s="8" t="inlineStr">
        <is>
          <t>2559098803</t>
        </is>
      </c>
      <c r="D1013" s="8" t="inlineStr">
        <is>
          <t>ETM, акт 1С за месяц не выгружен</t>
        </is>
      </c>
      <c r="E1013" s="8" t="inlineStr">
        <is>
          <t>Выгрузка 1С</t>
        </is>
      </c>
      <c r="F1013" s="8" t="inlineStr">
        <is>
          <t>B</t>
        </is>
      </c>
      <c r="G1013" s="14" t="n">
        <v>0</v>
      </c>
      <c r="H1013" s="14" t="n">
        <v>-35153.28</v>
      </c>
      <c r="I1013" s="14" t="n">
        <v>35255.28</v>
      </c>
      <c r="J1013" s="14" t="n">
        <v>-35153.28</v>
      </c>
      <c r="K1013" s="21" t="n">
        <v>46066.81185185185</v>
      </c>
      <c r="L1013" s="21" t="n"/>
      <c r="M1013" s="8" t="inlineStr"/>
      <c r="N1013" s="8" t="inlineStr">
        <is>
          <t>Бухгалтер: выгрузить акт</t>
        </is>
      </c>
      <c r="O1013" s="8" t="inlineStr">
        <is>
          <t>a.toktosunova</t>
        </is>
      </c>
      <c r="P1013" s="12" t="inlineStr">
        <is>
          <t>Операция есть в ETM, а акт 1С за этот (или следующий) месяц не выгружен — сначала получить акт</t>
        </is>
      </c>
      <c r="Q1013" s="8" t="inlineStr">
        <is>
          <t>57086597</t>
        </is>
      </c>
    </row>
    <row r="1014">
      <c r="A1014" s="8" t="inlineStr">
        <is>
          <t>G12881</t>
        </is>
      </c>
      <c r="B1014" s="8" t="inlineStr">
        <is>
          <t>Сатар уулу Санжар</t>
        </is>
      </c>
      <c r="C1014" s="8" t="inlineStr">
        <is>
          <t>2416943746</t>
        </is>
      </c>
      <c r="D1014" s="8" t="inlineStr">
        <is>
          <t>ETM, акт 1С за месяц не выгружен</t>
        </is>
      </c>
      <c r="E1014" s="8" t="inlineStr">
        <is>
          <t>Выгрузка 1С</t>
        </is>
      </c>
      <c r="F1014" s="8" t="inlineStr">
        <is>
          <t>B</t>
        </is>
      </c>
      <c r="G1014" s="14" t="n">
        <v>0</v>
      </c>
      <c r="H1014" s="14" t="n">
        <v>-35089.5</v>
      </c>
      <c r="I1014" s="14" t="n">
        <v>35089.5</v>
      </c>
      <c r="J1014" s="14" t="n">
        <v>-35089.5</v>
      </c>
      <c r="K1014" s="21" t="n">
        <v>46203.34809027778</v>
      </c>
      <c r="L1014" s="21" t="n"/>
      <c r="M1014" s="8" t="inlineStr"/>
      <c r="N1014" s="8" t="inlineStr">
        <is>
          <t>Бухгалтер: выгрузить акт</t>
        </is>
      </c>
      <c r="O1014" s="8" t="inlineStr">
        <is>
          <t>r.sydykov</t>
        </is>
      </c>
      <c r="P1014" s="12" t="inlineStr">
        <is>
          <t>Операция есть в ETM, а акт 1С за этот (или следующий) месяц не выгружен — сначала получить акт</t>
        </is>
      </c>
      <c r="Q1014" s="8" t="inlineStr">
        <is>
          <t>57414738</t>
        </is>
      </c>
    </row>
    <row r="1015">
      <c r="A1015" s="8" t="inlineStr">
        <is>
          <t>G07170</t>
        </is>
      </c>
      <c r="B1015" s="8" t="inlineStr">
        <is>
          <t>Жибек Эйр</t>
        </is>
      </c>
      <c r="C1015" s="8" t="inlineStr">
        <is>
          <t>2416945871</t>
        </is>
      </c>
      <c r="D1015" s="8" t="inlineStr">
        <is>
          <t>ETM, акт 1С за месяц не выгружен</t>
        </is>
      </c>
      <c r="E1015" s="8" t="inlineStr">
        <is>
          <t>Выгрузка 1С</t>
        </is>
      </c>
      <c r="F1015" s="8" t="inlineStr">
        <is>
          <t>B</t>
        </is>
      </c>
      <c r="G1015" s="14" t="n">
        <v>0</v>
      </c>
      <c r="H1015" s="14" t="n">
        <v>-34613.46</v>
      </c>
      <c r="I1015" s="14" t="n"/>
      <c r="J1015" s="14" t="n">
        <v>-34613.46</v>
      </c>
      <c r="K1015" s="21" t="n">
        <v>46135.47638888889</v>
      </c>
      <c r="L1015" s="21" t="n"/>
      <c r="M1015" s="8" t="inlineStr"/>
      <c r="N1015" s="8" t="inlineStr">
        <is>
          <t>Бухгалтер: выгрузить акт</t>
        </is>
      </c>
      <c r="O1015" s="8" t="inlineStr"/>
      <c r="P1015" s="12" t="inlineStr">
        <is>
          <t>Операция есть в ETM, а акт 1С за этот (или следующий) месяц не выгружен — сначала получить акт</t>
        </is>
      </c>
      <c r="Q1015" s="8" t="inlineStr">
        <is>
          <t>57225320</t>
        </is>
      </c>
    </row>
    <row r="1016">
      <c r="A1016" s="8" t="inlineStr">
        <is>
          <t>G14506</t>
        </is>
      </c>
      <c r="B1016" s="8" t="inlineStr">
        <is>
          <t>Чолпон Тревел</t>
        </is>
      </c>
      <c r="C1016" s="8" t="inlineStr">
        <is>
          <t>2559099883</t>
        </is>
      </c>
      <c r="D1016" s="8" t="inlineStr">
        <is>
          <t>ETM, акт 1С за месяц не выгружен</t>
        </is>
      </c>
      <c r="E1016" s="8" t="inlineStr">
        <is>
          <t>Выгрузка 1С</t>
        </is>
      </c>
      <c r="F1016" s="8" t="inlineStr">
        <is>
          <t>B</t>
        </is>
      </c>
      <c r="G1016" s="14" t="n">
        <v>0</v>
      </c>
      <c r="H1016" s="14" t="n">
        <v>-33985.6</v>
      </c>
      <c r="I1016" s="14" t="n">
        <v>33985.6</v>
      </c>
      <c r="J1016" s="14" t="n">
        <v>-33985.6</v>
      </c>
      <c r="K1016" s="21" t="n">
        <v>46156.68603009259</v>
      </c>
      <c r="L1016" s="21" t="n"/>
      <c r="M1016" s="8" t="inlineStr"/>
      <c r="N1016" s="8" t="inlineStr">
        <is>
          <t>Бухгалтер: выгрузить акт</t>
        </is>
      </c>
      <c r="O1016" s="8" t="inlineStr">
        <is>
          <t>g.omurbekova</t>
        </is>
      </c>
      <c r="P1016" s="12" t="inlineStr">
        <is>
          <t>Операция есть в ETM, а акт 1С за этот (или следующий) месяц не выгружен — сначала получить акт</t>
        </is>
      </c>
      <c r="Q1016" s="8" t="inlineStr">
        <is>
          <t>57283144</t>
        </is>
      </c>
    </row>
    <row r="1017">
      <c r="A1017" s="8" t="inlineStr">
        <is>
          <t>G09975</t>
        </is>
      </c>
      <c r="B1017" s="8" t="inlineStr">
        <is>
          <t>МУРАС ТРИП</t>
        </is>
      </c>
      <c r="C1017" s="8" t="inlineStr">
        <is>
          <t>2476316387</t>
        </is>
      </c>
      <c r="D1017" s="8" t="inlineStr">
        <is>
          <t>ETM, акт 1С за месяц не выгружен</t>
        </is>
      </c>
      <c r="E1017" s="8" t="inlineStr">
        <is>
          <t>Выгрузка 1С</t>
        </is>
      </c>
      <c r="F1017" s="8" t="inlineStr">
        <is>
          <t>B</t>
        </is>
      </c>
      <c r="G1017" s="14" t="n">
        <v>0</v>
      </c>
      <c r="H1017" s="14" t="n">
        <v>-33811.87</v>
      </c>
      <c r="I1017" s="14" t="n">
        <v>33811.87</v>
      </c>
      <c r="J1017" s="14" t="n">
        <v>-33811.87</v>
      </c>
      <c r="K1017" s="21" t="n">
        <v>46191.77856481481</v>
      </c>
      <c r="L1017" s="21" t="n"/>
      <c r="M1017" s="8" t="inlineStr"/>
      <c r="N1017" s="8" t="inlineStr">
        <is>
          <t>Бухгалтер: выгрузить акт</t>
        </is>
      </c>
      <c r="O1017" s="8" t="inlineStr">
        <is>
          <t>r.sydykov</t>
        </is>
      </c>
      <c r="P1017" s="12" t="inlineStr">
        <is>
          <t>Операция есть в ETM, а акт 1С за этот (или следующий) месяц не выгружен — сначала получить акт</t>
        </is>
      </c>
      <c r="Q1017" s="8" t="inlineStr">
        <is>
          <t>57378442</t>
        </is>
      </c>
    </row>
    <row r="1018">
      <c r="A1018" s="8" t="inlineStr">
        <is>
          <t>G09912</t>
        </is>
      </c>
      <c r="B1018" s="8" t="inlineStr">
        <is>
          <t>МУРАС ТРИП</t>
        </is>
      </c>
      <c r="C1018" s="8" t="inlineStr">
        <is>
          <t>2416943647</t>
        </is>
      </c>
      <c r="D1018" s="8" t="inlineStr">
        <is>
          <t>ETM, акт 1С за месяц не выгружен</t>
        </is>
      </c>
      <c r="E1018" s="8" t="inlineStr">
        <is>
          <t>Выгрузка 1С</t>
        </is>
      </c>
      <c r="F1018" s="8" t="inlineStr">
        <is>
          <t>B</t>
        </is>
      </c>
      <c r="G1018" s="14" t="n">
        <v>0</v>
      </c>
      <c r="H1018" s="14" t="n">
        <v>-33674.7</v>
      </c>
      <c r="I1018" s="14" t="n">
        <v>33674.7</v>
      </c>
      <c r="J1018" s="14" t="n">
        <v>-33674.7</v>
      </c>
      <c r="K1018" s="21" t="n">
        <v>46175.54450231481</v>
      </c>
      <c r="L1018" s="21" t="n"/>
      <c r="M1018" s="8" t="inlineStr"/>
      <c r="N1018" s="8" t="inlineStr">
        <is>
          <t>Бухгалтер: выгрузить акт</t>
        </is>
      </c>
      <c r="O1018" s="8" t="inlineStr">
        <is>
          <t>e.satarov</t>
        </is>
      </c>
      <c r="P1018" s="12" t="inlineStr">
        <is>
          <t>Операция есть в ETM, а акт 1С за этот (или следующий) месяц не выгружен — сначала получить акт</t>
        </is>
      </c>
      <c r="Q1018" s="8" t="inlineStr">
        <is>
          <t>57336437</t>
        </is>
      </c>
    </row>
    <row r="1019">
      <c r="A1019" s="8" t="inlineStr">
        <is>
          <t>G07870</t>
        </is>
      </c>
      <c r="B1019" s="8" t="inlineStr">
        <is>
          <t>ИП Асанов К. Б.</t>
        </is>
      </c>
      <c r="C1019" s="8" t="inlineStr">
        <is>
          <t>2476319438</t>
        </is>
      </c>
      <c r="D1019" s="8" t="inlineStr">
        <is>
          <t>ETM, акт 1С за месяц не выгружен</t>
        </is>
      </c>
      <c r="E1019" s="8" t="inlineStr">
        <is>
          <t>Выгрузка 1С</t>
        </is>
      </c>
      <c r="F1019" s="8" t="inlineStr">
        <is>
          <t>B</t>
        </is>
      </c>
      <c r="G1019" s="14" t="n">
        <v>0</v>
      </c>
      <c r="H1019" s="14" t="n">
        <v>-33671</v>
      </c>
      <c r="I1019" s="14" t="n"/>
      <c r="J1019" s="14" t="n">
        <v>-33671</v>
      </c>
      <c r="K1019" s="21" t="n">
        <v>46055.65356481481</v>
      </c>
      <c r="L1019" s="21" t="n"/>
      <c r="M1019" s="8" t="inlineStr"/>
      <c r="N1019" s="8" t="inlineStr">
        <is>
          <t>Бухгалтер: выгрузить акт</t>
        </is>
      </c>
      <c r="O1019" s="8" t="inlineStr"/>
      <c r="P1019" s="12" t="inlineStr">
        <is>
          <t>Операция есть в ETM, а акт 1С за этот (или следующий) месяц не выгружен — сначала получить акт</t>
        </is>
      </c>
      <c r="Q1019" s="8" t="inlineStr">
        <is>
          <t>57069618</t>
        </is>
      </c>
    </row>
    <row r="1020">
      <c r="A1020" s="8" t="inlineStr">
        <is>
          <t>G14292</t>
        </is>
      </c>
      <c r="B1020" s="8" t="inlineStr">
        <is>
          <t>ЧОЛПОН ТУР</t>
        </is>
      </c>
      <c r="C1020" s="8" t="inlineStr">
        <is>
          <t>2460737445</t>
        </is>
      </c>
      <c r="D1020" s="8" t="inlineStr">
        <is>
          <t>ETM, акт 1С за месяц не выгружен</t>
        </is>
      </c>
      <c r="E1020" s="8" t="inlineStr">
        <is>
          <t>Выгрузка 1С</t>
        </is>
      </c>
      <c r="F1020" s="8" t="inlineStr">
        <is>
          <t>B</t>
        </is>
      </c>
      <c r="G1020" s="14" t="n">
        <v>0</v>
      </c>
      <c r="H1020" s="14" t="n">
        <v>-33491</v>
      </c>
      <c r="I1020" s="14" t="n">
        <v>33491</v>
      </c>
      <c r="J1020" s="14" t="n">
        <v>-33491</v>
      </c>
      <c r="K1020" s="21" t="n">
        <v>46132.65480324074</v>
      </c>
      <c r="L1020" s="21" t="n"/>
      <c r="M1020" s="8" t="inlineStr"/>
      <c r="N1020" s="8" t="inlineStr">
        <is>
          <t>Бухгалтер: выгрузить акт</t>
        </is>
      </c>
      <c r="O1020" s="8" t="inlineStr">
        <is>
          <t>k.dzhumaev</t>
        </is>
      </c>
      <c r="P1020" s="12" t="inlineStr">
        <is>
          <t>Операция есть в ETM, а акт 1С за этот (или следующий) месяц не выгружен — сначала получить акт</t>
        </is>
      </c>
      <c r="Q1020" s="8" t="inlineStr">
        <is>
          <t>57218400</t>
        </is>
      </c>
    </row>
    <row r="1021">
      <c r="A1021" s="8" t="inlineStr">
        <is>
          <t>G07861</t>
        </is>
      </c>
      <c r="B1021" s="8" t="inlineStr">
        <is>
          <t>ИП Асанов К. Б.</t>
        </is>
      </c>
      <c r="C1021" s="8" t="inlineStr">
        <is>
          <t>2476317050</t>
        </is>
      </c>
      <c r="D1021" s="8" t="inlineStr">
        <is>
          <t>ETM, акт 1С за месяц не выгружен</t>
        </is>
      </c>
      <c r="E1021" s="8" t="inlineStr">
        <is>
          <t>Выгрузка 1С</t>
        </is>
      </c>
      <c r="F1021" s="8" t="inlineStr">
        <is>
          <t>B</t>
        </is>
      </c>
      <c r="G1021" s="14" t="n">
        <v>0</v>
      </c>
      <c r="H1021" s="14" t="n">
        <v>-33414.58</v>
      </c>
      <c r="I1021" s="14" t="n">
        <v>33414.58</v>
      </c>
      <c r="J1021" s="14" t="n">
        <v>-33414.58</v>
      </c>
      <c r="K1021" s="21" t="n">
        <v>46063.43231481482</v>
      </c>
      <c r="L1021" s="21" t="n"/>
      <c r="M1021" s="8" t="inlineStr"/>
      <c r="N1021" s="8" t="inlineStr">
        <is>
          <t>Бухгалтер: выгрузить акт</t>
        </is>
      </c>
      <c r="O1021" s="8" t="inlineStr">
        <is>
          <t>e.satarov</t>
        </is>
      </c>
      <c r="P1021" s="12" t="inlineStr">
        <is>
          <t>Операция есть в ETM, а акт 1С за этот (или следующий) месяц не выгружен — сначала получить акт</t>
        </is>
      </c>
      <c r="Q1021" s="8" t="inlineStr">
        <is>
          <t>57080878</t>
        </is>
      </c>
    </row>
    <row r="1022">
      <c r="A1022" s="8" t="inlineStr">
        <is>
          <t>G10646</t>
        </is>
      </c>
      <c r="B1022" s="8" t="inlineStr">
        <is>
          <t>Манас Туризм</t>
        </is>
      </c>
      <c r="C1022" s="8" t="inlineStr">
        <is>
          <t>2459526900</t>
        </is>
      </c>
      <c r="D1022" s="8" t="inlineStr">
        <is>
          <t>ETM, акт 1С за месяц не выгружен</t>
        </is>
      </c>
      <c r="E1022" s="8" t="inlineStr">
        <is>
          <t>Выгрузка 1С</t>
        </is>
      </c>
      <c r="F1022" s="8" t="inlineStr">
        <is>
          <t>B</t>
        </is>
      </c>
      <c r="G1022" s="14" t="n">
        <v>0</v>
      </c>
      <c r="H1022" s="14" t="n">
        <v>-33284</v>
      </c>
      <c r="I1022" s="14" t="n">
        <v>33284</v>
      </c>
      <c r="J1022" s="14" t="n">
        <v>-33284</v>
      </c>
      <c r="K1022" s="21" t="n">
        <v>46197.72409722222</v>
      </c>
      <c r="L1022" s="21" t="n"/>
      <c r="M1022" s="8" t="inlineStr"/>
      <c r="N1022" s="8" t="inlineStr">
        <is>
          <t>Бухгалтер: выгрузить акт</t>
        </is>
      </c>
      <c r="O1022" s="8" t="inlineStr">
        <is>
          <t>n.abdyldaeva</t>
        </is>
      </c>
      <c r="P1022" s="12" t="inlineStr">
        <is>
          <t>Операция есть в ETM, а акт 1С за этот (или следующий) месяц не выгружен — сначала получить акт</t>
        </is>
      </c>
      <c r="Q1022" s="8" t="inlineStr">
        <is>
          <t>57394955</t>
        </is>
      </c>
    </row>
    <row r="1023">
      <c r="A1023" s="8" t="inlineStr">
        <is>
          <t>G13242</t>
        </is>
      </c>
      <c r="B1023" s="8" t="inlineStr">
        <is>
          <t>Сатар уулу Санжар</t>
        </is>
      </c>
      <c r="C1023" s="8" t="inlineStr">
        <is>
          <t>2476318601</t>
        </is>
      </c>
      <c r="D1023" s="8" t="inlineStr">
        <is>
          <t>ETM, акт 1С за месяц не выгружен</t>
        </is>
      </c>
      <c r="E1023" s="8" t="inlineStr">
        <is>
          <t>Выгрузка 1С</t>
        </is>
      </c>
      <c r="F1023" s="8" t="inlineStr">
        <is>
          <t>B</t>
        </is>
      </c>
      <c r="G1023" s="14" t="n">
        <v>0</v>
      </c>
      <c r="H1023" s="14" t="n">
        <v>-33146.4</v>
      </c>
      <c r="I1023" s="14" t="n"/>
      <c r="J1023" s="14" t="n">
        <v>-33146.4</v>
      </c>
      <c r="K1023" s="21" t="n">
        <v>46183.34340277778</v>
      </c>
      <c r="L1023" s="21" t="n"/>
      <c r="M1023" s="8" t="inlineStr"/>
      <c r="N1023" s="8" t="inlineStr">
        <is>
          <t>Бухгалтер: выгрузить акт</t>
        </is>
      </c>
      <c r="O1023" s="8" t="inlineStr"/>
      <c r="P1023" s="12" t="inlineStr">
        <is>
          <t>Операция есть в ETM, а акт 1С за этот (или следующий) месяц не выгружен — сначала получить акт</t>
        </is>
      </c>
      <c r="Q1023" s="8" t="inlineStr">
        <is>
          <t>57357482</t>
        </is>
      </c>
    </row>
    <row r="1024">
      <c r="A1024" s="8" t="inlineStr">
        <is>
          <t>G13243</t>
        </is>
      </c>
      <c r="B1024" s="8" t="inlineStr">
        <is>
          <t>Сатар уулу Санжар</t>
        </is>
      </c>
      <c r="C1024" s="8" t="inlineStr">
        <is>
          <t>2476318602</t>
        </is>
      </c>
      <c r="D1024" s="8" t="inlineStr">
        <is>
          <t>ETM, акт 1С за месяц не выгружен</t>
        </is>
      </c>
      <c r="E1024" s="8" t="inlineStr">
        <is>
          <t>Выгрузка 1С</t>
        </is>
      </c>
      <c r="F1024" s="8" t="inlineStr">
        <is>
          <t>B</t>
        </is>
      </c>
      <c r="G1024" s="14" t="n">
        <v>0</v>
      </c>
      <c r="H1024" s="14" t="n">
        <v>-33146.4</v>
      </c>
      <c r="I1024" s="14" t="n"/>
      <c r="J1024" s="14" t="n">
        <v>-33146.4</v>
      </c>
      <c r="K1024" s="21" t="n">
        <v>46183.8313425926</v>
      </c>
      <c r="L1024" s="21" t="n"/>
      <c r="M1024" s="8" t="inlineStr"/>
      <c r="N1024" s="8" t="inlineStr">
        <is>
          <t>Бухгалтер: выгрузить акт</t>
        </is>
      </c>
      <c r="O1024" s="8" t="inlineStr"/>
      <c r="P1024" s="12" t="inlineStr">
        <is>
          <t>Операция есть в ETM, а акт 1С за этот (или следующий) месяц не выгружен — сначала получить акт</t>
        </is>
      </c>
      <c r="Q1024" s="8" t="inlineStr">
        <is>
          <t>57357521</t>
        </is>
      </c>
    </row>
    <row r="1025">
      <c r="A1025" s="8" t="inlineStr">
        <is>
          <t>G13244</t>
        </is>
      </c>
      <c r="B1025" s="8" t="inlineStr">
        <is>
          <t>Сатар уулу Санжар</t>
        </is>
      </c>
      <c r="C1025" s="8" t="inlineStr">
        <is>
          <t>2476318605</t>
        </is>
      </c>
      <c r="D1025" s="8" t="inlineStr">
        <is>
          <t>ETM, акт 1С за месяц не выгружен</t>
        </is>
      </c>
      <c r="E1025" s="8" t="inlineStr">
        <is>
          <t>Выгрузка 1С</t>
        </is>
      </c>
      <c r="F1025" s="8" t="inlineStr">
        <is>
          <t>B</t>
        </is>
      </c>
      <c r="G1025" s="14" t="n">
        <v>0</v>
      </c>
      <c r="H1025" s="14" t="n">
        <v>-33146.4</v>
      </c>
      <c r="I1025" s="14" t="n"/>
      <c r="J1025" s="14" t="n">
        <v>-33146.4</v>
      </c>
      <c r="K1025" s="21" t="n">
        <v>46183.49665509259</v>
      </c>
      <c r="L1025" s="21" t="n"/>
      <c r="M1025" s="8" t="inlineStr"/>
      <c r="N1025" s="8" t="inlineStr">
        <is>
          <t>Бухгалтер: выгрузить акт</t>
        </is>
      </c>
      <c r="O1025" s="8" t="inlineStr"/>
      <c r="P1025" s="12" t="inlineStr">
        <is>
          <t>Операция есть в ETM, а акт 1С за этот (или следующий) месяц не выгружен — сначала получить акт</t>
        </is>
      </c>
      <c r="Q1025" s="8" t="inlineStr">
        <is>
          <t>57357533</t>
        </is>
      </c>
    </row>
    <row r="1026">
      <c r="A1026" s="8" t="inlineStr">
        <is>
          <t>G13245</t>
        </is>
      </c>
      <c r="B1026" s="8" t="inlineStr">
        <is>
          <t>Сатар уулу Санжар</t>
        </is>
      </c>
      <c r="C1026" s="8" t="inlineStr">
        <is>
          <t>2476318607</t>
        </is>
      </c>
      <c r="D1026" s="8" t="inlineStr">
        <is>
          <t>ETM, акт 1С за месяц не выгружен</t>
        </is>
      </c>
      <c r="E1026" s="8" t="inlineStr">
        <is>
          <t>Выгрузка 1С</t>
        </is>
      </c>
      <c r="F1026" s="8" t="inlineStr">
        <is>
          <t>B</t>
        </is>
      </c>
      <c r="G1026" s="14" t="n">
        <v>0</v>
      </c>
      <c r="H1026" s="14" t="n">
        <v>-33146.4</v>
      </c>
      <c r="I1026" s="14" t="n"/>
      <c r="J1026" s="14" t="n">
        <v>-33146.4</v>
      </c>
      <c r="K1026" s="21" t="n">
        <v>46183.38376157408</v>
      </c>
      <c r="L1026" s="21" t="n"/>
      <c r="M1026" s="8" t="inlineStr"/>
      <c r="N1026" s="8" t="inlineStr">
        <is>
          <t>Бухгалтер: выгрузить акт</t>
        </is>
      </c>
      <c r="O1026" s="8" t="inlineStr"/>
      <c r="P1026" s="12" t="inlineStr">
        <is>
          <t>Операция есть в ETM, а акт 1С за этот (или следующий) месяц не выгружен — сначала получить акт</t>
        </is>
      </c>
      <c r="Q1026" s="8" t="inlineStr">
        <is>
          <t>57357546</t>
        </is>
      </c>
    </row>
    <row r="1027">
      <c r="A1027" s="8" t="inlineStr">
        <is>
          <t>G07521</t>
        </is>
      </c>
      <c r="B1027" s="8" t="inlineStr">
        <is>
          <t>Жолчу кызы А.</t>
        </is>
      </c>
      <c r="C1027" s="8" t="inlineStr">
        <is>
          <t>2461882493|2461882495|2461882496</t>
        </is>
      </c>
      <c r="D1027" s="8" t="inlineStr">
        <is>
          <t>ETM, акт 1С за месяц не выгружен</t>
        </is>
      </c>
      <c r="E1027" s="8" t="inlineStr">
        <is>
          <t>Выгрузка 1С</t>
        </is>
      </c>
      <c r="F1027" s="8" t="inlineStr">
        <is>
          <t>B</t>
        </is>
      </c>
      <c r="G1027" s="14" t="n">
        <v>0</v>
      </c>
      <c r="H1027" s="14" t="n">
        <v>-33108</v>
      </c>
      <c r="I1027" s="14" t="n">
        <v>2400</v>
      </c>
      <c r="J1027" s="14" t="n">
        <v>-33108</v>
      </c>
      <c r="K1027" s="21" t="n">
        <v>46153.43675925926</v>
      </c>
      <c r="L1027" s="21" t="n"/>
      <c r="M1027" s="8" t="inlineStr"/>
      <c r="N1027" s="8" t="inlineStr">
        <is>
          <t>Бухгалтер: выгрузить акт</t>
        </is>
      </c>
      <c r="O1027" s="8" t="inlineStr">
        <is>
          <t>a.toktosunova|d.mambetova</t>
        </is>
      </c>
      <c r="P1027" s="12" t="inlineStr">
        <is>
          <t>Операция есть в ETM, а акт 1С за этот (или следующий) месяц не выгружен — сначала получить акт</t>
        </is>
      </c>
      <c r="Q1027" s="8" t="inlineStr">
        <is>
          <t>57272361,57272384,57272409</t>
        </is>
      </c>
    </row>
    <row r="1028">
      <c r="A1028" s="8" t="inlineStr">
        <is>
          <t>G13027</t>
        </is>
      </c>
      <c r="B1028" s="8" t="inlineStr">
        <is>
          <t>Сатар уулу Санжар</t>
        </is>
      </c>
      <c r="C1028" s="8" t="inlineStr">
        <is>
          <t>2459530007|2459530008</t>
        </is>
      </c>
      <c r="D1028" s="8" t="inlineStr">
        <is>
          <t>ETM, акт 1С за месяц не выгружен</t>
        </is>
      </c>
      <c r="E1028" s="8" t="inlineStr">
        <is>
          <t>Выгрузка 1С</t>
        </is>
      </c>
      <c r="F1028" s="8" t="inlineStr">
        <is>
          <t>B</t>
        </is>
      </c>
      <c r="G1028" s="14" t="n">
        <v>0</v>
      </c>
      <c r="H1028" s="14" t="n">
        <v>-32832</v>
      </c>
      <c r="I1028" s="14" t="n"/>
      <c r="J1028" s="14" t="n">
        <v>-32832</v>
      </c>
      <c r="K1028" s="21" t="n">
        <v>46137.71081018518</v>
      </c>
      <c r="L1028" s="21" t="n"/>
      <c r="M1028" s="8" t="inlineStr"/>
      <c r="N1028" s="8" t="inlineStr">
        <is>
          <t>Бухгалтер: выгрузить акт</t>
        </is>
      </c>
      <c r="O1028" s="8" t="inlineStr"/>
      <c r="P1028" s="12" t="inlineStr">
        <is>
          <t>Операция есть в ETM, а акт 1С за этот (или следующий) месяц не выгружен — сначала получить акт</t>
        </is>
      </c>
      <c r="Q1028" s="8" t="inlineStr">
        <is>
          <t>57228919</t>
        </is>
      </c>
    </row>
    <row r="1029">
      <c r="A1029" s="8" t="inlineStr">
        <is>
          <t>G13031</t>
        </is>
      </c>
      <c r="B1029" s="8" t="inlineStr">
        <is>
          <t>Сатар уулу Санжар</t>
        </is>
      </c>
      <c r="C1029" s="8" t="inlineStr">
        <is>
          <t>2459530293|2459530295|2459530296</t>
        </is>
      </c>
      <c r="D1029" s="8" t="inlineStr">
        <is>
          <t>ETM, акт 1С за месяц не выгружен</t>
        </is>
      </c>
      <c r="E1029" s="8" t="inlineStr">
        <is>
          <t>Выгрузка 1С</t>
        </is>
      </c>
      <c r="F1029" s="8" t="inlineStr">
        <is>
          <t>B</t>
        </is>
      </c>
      <c r="G1029" s="14" t="n">
        <v>0</v>
      </c>
      <c r="H1029" s="14" t="n">
        <v>-32739</v>
      </c>
      <c r="I1029" s="14" t="n">
        <v>32739</v>
      </c>
      <c r="J1029" s="14" t="n">
        <v>-32739</v>
      </c>
      <c r="K1029" s="21" t="n">
        <v>46184.4458912037</v>
      </c>
      <c r="L1029" s="21" t="n"/>
      <c r="M1029" s="8" t="inlineStr"/>
      <c r="N1029" s="8" t="inlineStr">
        <is>
          <t>Бухгалтер: выгрузить акт</t>
        </is>
      </c>
      <c r="O1029" s="8" t="inlineStr">
        <is>
          <t>a.toktosunova</t>
        </is>
      </c>
      <c r="P1029" s="12" t="inlineStr">
        <is>
          <t>Операция есть в ETM, а акт 1С за этот (или следующий) месяц не выгружен — сначала получить акт</t>
        </is>
      </c>
      <c r="Q1029" s="8" t="inlineStr">
        <is>
          <t>57359600,57359624,57359564</t>
        </is>
      </c>
    </row>
    <row r="1030">
      <c r="A1030" s="8" t="inlineStr">
        <is>
          <t>G07279</t>
        </is>
      </c>
      <c r="B1030" s="8" t="inlineStr">
        <is>
          <t>Жибек Эйр</t>
        </is>
      </c>
      <c r="C1030" s="8" t="inlineStr">
        <is>
          <t>2460737403</t>
        </is>
      </c>
      <c r="D1030" s="8" t="inlineStr">
        <is>
          <t>ETM, акт 1С за месяц не выгружен</t>
        </is>
      </c>
      <c r="E1030" s="8" t="inlineStr">
        <is>
          <t>Выгрузка 1С</t>
        </is>
      </c>
      <c r="F1030" s="8" t="inlineStr">
        <is>
          <t>B</t>
        </is>
      </c>
      <c r="G1030" s="14" t="n">
        <v>0</v>
      </c>
      <c r="H1030" s="14" t="n">
        <v>-32706</v>
      </c>
      <c r="I1030" s="14" t="n"/>
      <c r="J1030" s="14" t="n">
        <v>-32706</v>
      </c>
      <c r="K1030" s="21" t="n">
        <v>46122.36951388889</v>
      </c>
      <c r="L1030" s="21" t="n"/>
      <c r="M1030" s="8" t="inlineStr"/>
      <c r="N1030" s="8" t="inlineStr">
        <is>
          <t>Бухгалтер: выгрузить акт</t>
        </is>
      </c>
      <c r="O1030" s="8" t="inlineStr"/>
      <c r="P1030" s="12" t="inlineStr">
        <is>
          <t>Операция есть в ETM, а акт 1С за этот (или следующий) месяц не выгружен — сначала получить акт</t>
        </is>
      </c>
      <c r="Q1030" s="8" t="inlineStr">
        <is>
          <t>57200995</t>
        </is>
      </c>
    </row>
    <row r="1031">
      <c r="A1031" s="8" t="inlineStr">
        <is>
          <t>G07280</t>
        </is>
      </c>
      <c r="B1031" s="8" t="inlineStr">
        <is>
          <t>Жибек Эйр</t>
        </is>
      </c>
      <c r="C1031" s="8" t="inlineStr">
        <is>
          <t>2460737406</t>
        </is>
      </c>
      <c r="D1031" s="8" t="inlineStr">
        <is>
          <t>ETM, акт 1С за месяц не выгружен</t>
        </is>
      </c>
      <c r="E1031" s="8" t="inlineStr">
        <is>
          <t>Выгрузка 1С</t>
        </is>
      </c>
      <c r="F1031" s="8" t="inlineStr">
        <is>
          <t>B</t>
        </is>
      </c>
      <c r="G1031" s="14" t="n">
        <v>0</v>
      </c>
      <c r="H1031" s="14" t="n">
        <v>-32706</v>
      </c>
      <c r="I1031" s="14" t="n"/>
      <c r="J1031" s="14" t="n">
        <v>-32706</v>
      </c>
      <c r="K1031" s="21" t="n">
        <v>46122.63261574074</v>
      </c>
      <c r="L1031" s="21" t="n"/>
      <c r="M1031" s="8" t="inlineStr"/>
      <c r="N1031" s="8" t="inlineStr">
        <is>
          <t>Бухгалтер: выгрузить акт</t>
        </is>
      </c>
      <c r="O1031" s="8" t="inlineStr"/>
      <c r="P1031" s="12" t="inlineStr">
        <is>
          <t>Операция есть в ETM, а акт 1С за этот (или следующий) месяц не выгружен — сначала получить акт</t>
        </is>
      </c>
      <c r="Q1031" s="8" t="inlineStr">
        <is>
          <t>57201016</t>
        </is>
      </c>
    </row>
    <row r="1032">
      <c r="A1032" s="8" t="inlineStr">
        <is>
          <t>G14326</t>
        </is>
      </c>
      <c r="B1032" s="8" t="inlineStr">
        <is>
          <t>ЧОЛПОН ТУР</t>
        </is>
      </c>
      <c r="C1032" s="8" t="inlineStr">
        <is>
          <t>2476319561</t>
        </is>
      </c>
      <c r="D1032" s="8" t="inlineStr">
        <is>
          <t>ETM, акт 1С за месяц не выгружен</t>
        </is>
      </c>
      <c r="E1032" s="8" t="inlineStr">
        <is>
          <t>Выгрузка 1С</t>
        </is>
      </c>
      <c r="F1032" s="8" t="inlineStr">
        <is>
          <t>B</t>
        </is>
      </c>
      <c r="G1032" s="14" t="n">
        <v>0</v>
      </c>
      <c r="H1032" s="14" t="n">
        <v>-32443.58</v>
      </c>
      <c r="I1032" s="14" t="n"/>
      <c r="J1032" s="14" t="n">
        <v>-32443.58</v>
      </c>
      <c r="K1032" s="21" t="n">
        <v>46104.43341435185</v>
      </c>
      <c r="L1032" s="21" t="n"/>
      <c r="M1032" s="8" t="inlineStr"/>
      <c r="N1032" s="8" t="inlineStr">
        <is>
          <t>Бухгалтер: выгрузить акт</t>
        </is>
      </c>
      <c r="O1032" s="8" t="inlineStr"/>
      <c r="P1032" s="12" t="inlineStr">
        <is>
          <t>Операция есть в ETM, а акт 1С за этот (или следующий) месяц не выгружен — сначала получить акт</t>
        </is>
      </c>
      <c r="Q1032" s="8" t="inlineStr">
        <is>
          <t>57166945</t>
        </is>
      </c>
    </row>
    <row r="1033">
      <c r="A1033" s="8" t="inlineStr">
        <is>
          <t>G14327</t>
        </is>
      </c>
      <c r="B1033" s="8" t="inlineStr">
        <is>
          <t>ЧОЛПОН ТУР</t>
        </is>
      </c>
      <c r="C1033" s="8" t="inlineStr">
        <is>
          <t>2476319564</t>
        </is>
      </c>
      <c r="D1033" s="8" t="inlineStr">
        <is>
          <t>ETM, акт 1С за месяц не выгружен</t>
        </is>
      </c>
      <c r="E1033" s="8" t="inlineStr">
        <is>
          <t>Выгрузка 1С</t>
        </is>
      </c>
      <c r="F1033" s="8" t="inlineStr">
        <is>
          <t>B</t>
        </is>
      </c>
      <c r="G1033" s="14" t="n">
        <v>0</v>
      </c>
      <c r="H1033" s="14" t="n">
        <v>-32443.58</v>
      </c>
      <c r="I1033" s="14" t="n"/>
      <c r="J1033" s="14" t="n">
        <v>-32443.58</v>
      </c>
      <c r="K1033" s="21" t="n">
        <v>46104.58868055556</v>
      </c>
      <c r="L1033" s="21" t="n"/>
      <c r="M1033" s="8" t="inlineStr"/>
      <c r="N1033" s="8" t="inlineStr">
        <is>
          <t>Бухгалтер: выгрузить акт</t>
        </is>
      </c>
      <c r="O1033" s="8" t="inlineStr"/>
      <c r="P1033" s="12" t="inlineStr">
        <is>
          <t>Операция есть в ETM, а акт 1С за этот (или следующий) месяц не выгружен — сначала получить акт</t>
        </is>
      </c>
      <c r="Q1033" s="8" t="inlineStr">
        <is>
          <t>57166946</t>
        </is>
      </c>
    </row>
    <row r="1034">
      <c r="A1034" s="8" t="inlineStr">
        <is>
          <t>G13021</t>
        </is>
      </c>
      <c r="B1034" s="8" t="inlineStr">
        <is>
          <t>Сатар уулу Санжар</t>
        </is>
      </c>
      <c r="C1034" s="8" t="inlineStr">
        <is>
          <t>2459529811</t>
        </is>
      </c>
      <c r="D1034" s="8" t="inlineStr">
        <is>
          <t>ETM, акт 1С за месяц не выгружен</t>
        </is>
      </c>
      <c r="E1034" s="8" t="inlineStr">
        <is>
          <t>Выгрузка 1С</t>
        </is>
      </c>
      <c r="F1034" s="8" t="inlineStr">
        <is>
          <t>B</t>
        </is>
      </c>
      <c r="G1034" s="14" t="n">
        <v>0</v>
      </c>
      <c r="H1034" s="14" t="n">
        <v>-32411</v>
      </c>
      <c r="I1034" s="14" t="n">
        <v>32411</v>
      </c>
      <c r="J1034" s="14" t="n">
        <v>-32411</v>
      </c>
      <c r="K1034" s="21" t="n">
        <v>46139.53784722222</v>
      </c>
      <c r="L1034" s="21" t="n"/>
      <c r="M1034" s="8" t="inlineStr"/>
      <c r="N1034" s="8" t="inlineStr">
        <is>
          <t>Бухгалтер: выгрузить акт</t>
        </is>
      </c>
      <c r="O1034" s="8" t="inlineStr">
        <is>
          <t>b.isakov</t>
        </is>
      </c>
      <c r="P1034" s="12" t="inlineStr">
        <is>
          <t>Операция есть в ETM, а акт 1С за этот (или следующий) месяц не выгружен — сначала получить акт</t>
        </is>
      </c>
      <c r="Q1034" s="8" t="inlineStr">
        <is>
          <t>57232647</t>
        </is>
      </c>
    </row>
    <row r="1035">
      <c r="A1035" s="8" t="inlineStr">
        <is>
          <t>G07322</t>
        </is>
      </c>
      <c r="B1035" s="8" t="inlineStr">
        <is>
          <t>Жибек Эйр</t>
        </is>
      </c>
      <c r="C1035" s="8" t="inlineStr">
        <is>
          <t>2461885594</t>
        </is>
      </c>
      <c r="D1035" s="8" t="inlineStr">
        <is>
          <t>ETM, акт 1С за месяц не выгружен</t>
        </is>
      </c>
      <c r="E1035" s="8" t="inlineStr">
        <is>
          <t>Выгрузка 1С</t>
        </is>
      </c>
      <c r="F1035" s="8" t="inlineStr">
        <is>
          <t>B</t>
        </is>
      </c>
      <c r="G1035" s="14" t="n">
        <v>0</v>
      </c>
      <c r="H1035" s="14" t="n">
        <v>-32371</v>
      </c>
      <c r="I1035" s="14" t="n">
        <v>32371</v>
      </c>
      <c r="J1035" s="14" t="n">
        <v>-32371</v>
      </c>
      <c r="K1035" s="21" t="n">
        <v>46158.67365740741</v>
      </c>
      <c r="L1035" s="21" t="n"/>
      <c r="M1035" s="8" t="inlineStr"/>
      <c r="N1035" s="8" t="inlineStr">
        <is>
          <t>Бухгалтер: выгрузить акт</t>
        </is>
      </c>
      <c r="O1035" s="8" t="inlineStr">
        <is>
          <t>b.isakov</t>
        </is>
      </c>
      <c r="P1035" s="12" t="inlineStr">
        <is>
          <t>Операция есть в ETM, а акт 1С за этот (или следующий) месяц не выгружен — сначала получить акт</t>
        </is>
      </c>
      <c r="Q1035" s="8" t="inlineStr">
        <is>
          <t>57290720</t>
        </is>
      </c>
    </row>
    <row r="1036">
      <c r="A1036" s="8" t="inlineStr">
        <is>
          <t>G12948</t>
        </is>
      </c>
      <c r="B1036" s="8" t="inlineStr">
        <is>
          <t>Сатар уулу Санжар</t>
        </is>
      </c>
      <c r="C1036" s="8" t="inlineStr">
        <is>
          <t>2420845348|2420845351</t>
        </is>
      </c>
      <c r="D1036" s="8" t="inlineStr">
        <is>
          <t>ETM, акт 1С за месяц не выгружен</t>
        </is>
      </c>
      <c r="E1036" s="8" t="inlineStr">
        <is>
          <t>Выгрузка 1С</t>
        </is>
      </c>
      <c r="F1036" s="8" t="inlineStr">
        <is>
          <t>B</t>
        </is>
      </c>
      <c r="G1036" s="14" t="n">
        <v>0</v>
      </c>
      <c r="H1036" s="14" t="n">
        <v>-32362.94</v>
      </c>
      <c r="I1036" s="14" t="n">
        <v>33262.942</v>
      </c>
      <c r="J1036" s="14" t="n">
        <v>-32362.94</v>
      </c>
      <c r="K1036" s="21" t="n">
        <v>46180.34752314815</v>
      </c>
      <c r="L1036" s="21" t="n"/>
      <c r="M1036" s="8" t="inlineStr"/>
      <c r="N1036" s="8" t="inlineStr">
        <is>
          <t>Бухгалтер: выгрузить акт</t>
        </is>
      </c>
      <c r="O1036" s="8" t="inlineStr">
        <is>
          <t>n.abdyldaeva</t>
        </is>
      </c>
      <c r="P1036" s="12" t="inlineStr">
        <is>
          <t>Операция есть в ETM, а акт 1С за этот (или следующий) месяц не выгружен — сначала получить акт</t>
        </is>
      </c>
      <c r="Q1036" s="8" t="inlineStr">
        <is>
          <t>57349026</t>
        </is>
      </c>
    </row>
    <row r="1037">
      <c r="A1037" s="8" t="inlineStr">
        <is>
          <t>G09207</t>
        </is>
      </c>
      <c r="B1037" s="8" t="inlineStr">
        <is>
          <t>ИССЫК ТРИП</t>
        </is>
      </c>
      <c r="C1037" s="8" t="inlineStr">
        <is>
          <t>2476316200</t>
        </is>
      </c>
      <c r="D1037" s="8" t="inlineStr">
        <is>
          <t>ETM, акт 1С за месяц не выгружен</t>
        </is>
      </c>
      <c r="E1037" s="8" t="inlineStr">
        <is>
          <t>Выгрузка 1С</t>
        </is>
      </c>
      <c r="F1037" s="8" t="inlineStr">
        <is>
          <t>B</t>
        </is>
      </c>
      <c r="G1037" s="14" t="n">
        <v>0</v>
      </c>
      <c r="H1037" s="14" t="n">
        <v>-32311.62</v>
      </c>
      <c r="I1037" s="14" t="n">
        <v>32311.62</v>
      </c>
      <c r="J1037" s="14" t="n">
        <v>-32311.62</v>
      </c>
      <c r="K1037" s="21" t="n">
        <v>46063.47981481482</v>
      </c>
      <c r="L1037" s="21" t="n"/>
      <c r="M1037" s="8" t="inlineStr"/>
      <c r="N1037" s="8" t="inlineStr">
        <is>
          <t>Бухгалтер: выгрузить акт</t>
        </is>
      </c>
      <c r="O1037" s="8" t="inlineStr">
        <is>
          <t>a.toktosunova</t>
        </is>
      </c>
      <c r="P1037" s="12" t="inlineStr">
        <is>
          <t>Операция есть в ETM, а акт 1С за этот (или следующий) месяц не выгружен — сначала получить акт</t>
        </is>
      </c>
      <c r="Q1037" s="8" t="inlineStr">
        <is>
          <t>57083135</t>
        </is>
      </c>
    </row>
    <row r="1038">
      <c r="A1038" s="8" t="inlineStr">
        <is>
          <t>G07270</t>
        </is>
      </c>
      <c r="B1038" s="8" t="inlineStr">
        <is>
          <t>Жибек Эйр</t>
        </is>
      </c>
      <c r="C1038" s="8" t="inlineStr">
        <is>
          <t>2460736282</t>
        </is>
      </c>
      <c r="D1038" s="8" t="inlineStr">
        <is>
          <t>ETM, акт 1С за месяц не выгружен</t>
        </is>
      </c>
      <c r="E1038" s="8" t="inlineStr">
        <is>
          <t>Выгрузка 1С</t>
        </is>
      </c>
      <c r="F1038" s="8" t="inlineStr">
        <is>
          <t>B</t>
        </is>
      </c>
      <c r="G1038" s="14" t="n">
        <v>0</v>
      </c>
      <c r="H1038" s="14" t="n">
        <v>-32250</v>
      </c>
      <c r="I1038" s="14" t="n"/>
      <c r="J1038" s="14" t="n">
        <v>-32250</v>
      </c>
      <c r="K1038" s="21" t="n">
        <v>46119.48060185185</v>
      </c>
      <c r="L1038" s="21" t="n"/>
      <c r="M1038" s="8" t="inlineStr"/>
      <c r="N1038" s="8" t="inlineStr">
        <is>
          <t>Бухгалтер: выгрузить акт</t>
        </is>
      </c>
      <c r="O1038" s="8" t="inlineStr"/>
      <c r="P1038" s="12" t="inlineStr">
        <is>
          <t>Операция есть в ETM, а акт 1С за этот (или следующий) месяц не выгружен — сначала получить акт</t>
        </is>
      </c>
      <c r="Q1038" s="8" t="inlineStr">
        <is>
          <t>57194802</t>
        </is>
      </c>
    </row>
    <row r="1039">
      <c r="A1039" s="8" t="inlineStr">
        <is>
          <t>G07271</t>
        </is>
      </c>
      <c r="B1039" s="8" t="inlineStr">
        <is>
          <t>Жибек Эйр</t>
        </is>
      </c>
      <c r="C1039" s="8" t="inlineStr">
        <is>
          <t>2460736285</t>
        </is>
      </c>
      <c r="D1039" s="8" t="inlineStr">
        <is>
          <t>ETM, акт 1С за месяц не выгружен</t>
        </is>
      </c>
      <c r="E1039" s="8" t="inlineStr">
        <is>
          <t>Выгрузка 1С</t>
        </is>
      </c>
      <c r="F1039" s="8" t="inlineStr">
        <is>
          <t>B</t>
        </is>
      </c>
      <c r="G1039" s="14" t="n">
        <v>0</v>
      </c>
      <c r="H1039" s="14" t="n">
        <v>-32250</v>
      </c>
      <c r="I1039" s="14" t="n"/>
      <c r="J1039" s="14" t="n">
        <v>-32250</v>
      </c>
      <c r="K1039" s="21" t="n">
        <v>46119.80193287037</v>
      </c>
      <c r="L1039" s="21" t="n"/>
      <c r="M1039" s="8" t="inlineStr"/>
      <c r="N1039" s="8" t="inlineStr">
        <is>
          <t>Бухгалтер: выгрузить акт</t>
        </is>
      </c>
      <c r="O1039" s="8" t="inlineStr"/>
      <c r="P1039" s="12" t="inlineStr">
        <is>
          <t>Операция есть в ETM, а акт 1С за этот (или следующий) месяц не выгружен — сначала получить акт</t>
        </is>
      </c>
      <c r="Q1039" s="8" t="inlineStr">
        <is>
          <t>57194831</t>
        </is>
      </c>
    </row>
    <row r="1040">
      <c r="A1040" s="8" t="inlineStr">
        <is>
          <t>G07272</t>
        </is>
      </c>
      <c r="B1040" s="8" t="inlineStr">
        <is>
          <t>Жибек Эйр</t>
        </is>
      </c>
      <c r="C1040" s="8" t="inlineStr">
        <is>
          <t>2460736287</t>
        </is>
      </c>
      <c r="D1040" s="8" t="inlineStr">
        <is>
          <t>ETM, акт 1С за месяц не выгружен</t>
        </is>
      </c>
      <c r="E1040" s="8" t="inlineStr">
        <is>
          <t>Выгрузка 1С</t>
        </is>
      </c>
      <c r="F1040" s="8" t="inlineStr">
        <is>
          <t>B</t>
        </is>
      </c>
      <c r="G1040" s="14" t="n">
        <v>0</v>
      </c>
      <c r="H1040" s="14" t="n">
        <v>-32250</v>
      </c>
      <c r="I1040" s="14" t="n"/>
      <c r="J1040" s="14" t="n">
        <v>-32250</v>
      </c>
      <c r="K1040" s="21" t="n">
        <v>46119.64607638889</v>
      </c>
      <c r="L1040" s="21" t="n"/>
      <c r="M1040" s="8" t="inlineStr"/>
      <c r="N1040" s="8" t="inlineStr">
        <is>
          <t>Бухгалтер: выгрузить акт</t>
        </is>
      </c>
      <c r="O1040" s="8" t="inlineStr"/>
      <c r="P1040" s="12" t="inlineStr">
        <is>
          <t>Операция есть в ETM, а акт 1С за этот (или следующий) месяц не выгружен — сначала получить акт</t>
        </is>
      </c>
      <c r="Q1040" s="8" t="inlineStr">
        <is>
          <t>57194858</t>
        </is>
      </c>
    </row>
    <row r="1041">
      <c r="A1041" s="8" t="inlineStr">
        <is>
          <t>G12869</t>
        </is>
      </c>
      <c r="B1041" s="8" t="inlineStr">
        <is>
          <t>Сатар уулу Санжар</t>
        </is>
      </c>
      <c r="C1041" s="8" t="inlineStr">
        <is>
          <t>2416941757</t>
        </is>
      </c>
      <c r="D1041" s="8" t="inlineStr">
        <is>
          <t>ETM, акт 1С за месяц не выгружен</t>
        </is>
      </c>
      <c r="E1041" s="8" t="inlineStr">
        <is>
          <t>Выгрузка 1С</t>
        </is>
      </c>
      <c r="F1041" s="8" t="inlineStr">
        <is>
          <t>B</t>
        </is>
      </c>
      <c r="G1041" s="14" t="n">
        <v>0</v>
      </c>
      <c r="H1041" s="14" t="n">
        <v>-32209.95</v>
      </c>
      <c r="I1041" s="14" t="n">
        <v>32209.95</v>
      </c>
      <c r="J1041" s="14" t="n">
        <v>-32209.95</v>
      </c>
      <c r="K1041" s="21" t="n">
        <v>46120.40496527778</v>
      </c>
      <c r="L1041" s="21" t="n"/>
      <c r="M1041" s="8" t="inlineStr"/>
      <c r="N1041" s="8" t="inlineStr">
        <is>
          <t>Бухгалтер: выгрузить акт</t>
        </is>
      </c>
      <c r="O1041" s="8" t="inlineStr">
        <is>
          <t>d.mambetova</t>
        </is>
      </c>
      <c r="P1041" s="12" t="inlineStr">
        <is>
          <t>Операция есть в ETM, а акт 1С за этот (или следующий) месяц не выгружен — сначала получить акт</t>
        </is>
      </c>
      <c r="Q1041" s="8" t="inlineStr">
        <is>
          <t>57196352</t>
        </is>
      </c>
    </row>
    <row r="1042">
      <c r="A1042" s="8" t="inlineStr">
        <is>
          <t>G14493</t>
        </is>
      </c>
      <c r="B1042" s="8" t="inlineStr">
        <is>
          <t>Чолпон Тревел</t>
        </is>
      </c>
      <c r="C1042" s="8" t="inlineStr">
        <is>
          <t>2476316617</t>
        </is>
      </c>
      <c r="D1042" s="8" t="inlineStr">
        <is>
          <t>ETM, акт 1С за месяц не выгружен</t>
        </is>
      </c>
      <c r="E1042" s="8" t="inlineStr">
        <is>
          <t>Выгрузка 1С</t>
        </is>
      </c>
      <c r="F1042" s="8" t="inlineStr">
        <is>
          <t>B</t>
        </is>
      </c>
      <c r="G1042" s="14" t="n">
        <v>0</v>
      </c>
      <c r="H1042" s="14" t="n">
        <v>-32202.72</v>
      </c>
      <c r="I1042" s="14" t="n">
        <v>32202.72</v>
      </c>
      <c r="J1042" s="14" t="n">
        <v>-32202.72</v>
      </c>
      <c r="K1042" s="21" t="n">
        <v>46142.51248842593</v>
      </c>
      <c r="L1042" s="21" t="n"/>
      <c r="M1042" s="8" t="inlineStr"/>
      <c r="N1042" s="8" t="inlineStr">
        <is>
          <t>Бухгалтер: выгрузить акт</t>
        </is>
      </c>
      <c r="O1042" s="8" t="inlineStr">
        <is>
          <t>b.isakov</t>
        </is>
      </c>
      <c r="P1042" s="12" t="inlineStr">
        <is>
          <t>Операция есть в ETM, а акт 1С за этот (или следующий) месяц не выгружен — сначала получить акт</t>
        </is>
      </c>
      <c r="Q1042" s="8" t="inlineStr">
        <is>
          <t>57239844</t>
        </is>
      </c>
    </row>
    <row r="1043">
      <c r="A1043" s="8" t="inlineStr">
        <is>
          <t>G13285</t>
        </is>
      </c>
      <c r="B1043" s="8" t="inlineStr">
        <is>
          <t>Сатар уулу Санжар</t>
        </is>
      </c>
      <c r="C1043" s="8" t="inlineStr">
        <is>
          <t>2552669582</t>
        </is>
      </c>
      <c r="D1043" s="8" t="inlineStr">
        <is>
          <t>ETM, акт 1С за месяц не выгружен</t>
        </is>
      </c>
      <c r="E1043" s="8" t="inlineStr">
        <is>
          <t>Выгрузка 1С</t>
        </is>
      </c>
      <c r="F1043" s="8" t="inlineStr">
        <is>
          <t>B</t>
        </is>
      </c>
      <c r="G1043" s="14" t="n">
        <v>0</v>
      </c>
      <c r="H1043" s="14" t="n">
        <v>-32139.22</v>
      </c>
      <c r="I1043" s="14" t="n">
        <v>32139.22</v>
      </c>
      <c r="J1043" s="14" t="n">
        <v>-32139.22</v>
      </c>
      <c r="K1043" s="21" t="n">
        <v>46198.40686342592</v>
      </c>
      <c r="L1043" s="21" t="n"/>
      <c r="M1043" s="8" t="inlineStr"/>
      <c r="N1043" s="8" t="inlineStr">
        <is>
          <t>Бухгалтер: выгрузить акт</t>
        </is>
      </c>
      <c r="O1043" s="8" t="inlineStr">
        <is>
          <t>n.abdyldaeva</t>
        </is>
      </c>
      <c r="P1043" s="12" t="inlineStr">
        <is>
          <t>Операция есть в ETM, а акт 1С за этот (или следующий) месяц не выгружен — сначала получить акт</t>
        </is>
      </c>
      <c r="Q1043" s="8" t="inlineStr">
        <is>
          <t>57399585</t>
        </is>
      </c>
    </row>
    <row r="1044">
      <c r="A1044" s="8" t="inlineStr">
        <is>
          <t>G08563</t>
        </is>
      </c>
      <c r="B1044" s="8" t="inlineStr">
        <is>
          <t>ИП Токтосун кызы Н.</t>
        </is>
      </c>
      <c r="C1044" s="8" t="inlineStr">
        <is>
          <t>2459531183</t>
        </is>
      </c>
      <c r="D1044" s="8" t="inlineStr">
        <is>
          <t>ETM, акт 1С за месяц не выгружен</t>
        </is>
      </c>
      <c r="E1044" s="8" t="inlineStr">
        <is>
          <t>Выгрузка 1С</t>
        </is>
      </c>
      <c r="F1044" s="8" t="inlineStr">
        <is>
          <t>B</t>
        </is>
      </c>
      <c r="G1044" s="14" t="n">
        <v>0</v>
      </c>
      <c r="H1044" s="14" t="n">
        <v>-32107</v>
      </c>
      <c r="I1044" s="14" t="n"/>
      <c r="J1044" s="14" t="n">
        <v>-32107</v>
      </c>
      <c r="K1044" s="21" t="n">
        <v>46064.56466435185</v>
      </c>
      <c r="L1044" s="21" t="n"/>
      <c r="M1044" s="8" t="inlineStr"/>
      <c r="N1044" s="8" t="inlineStr">
        <is>
          <t>Бухгалтер: выгрузить акт</t>
        </is>
      </c>
      <c r="O1044" s="8" t="inlineStr"/>
      <c r="P1044" s="12" t="inlineStr">
        <is>
          <t>Операция есть в ETM, а акт 1С за этот (или следующий) месяц не выгружен — сначала получить акт</t>
        </is>
      </c>
      <c r="Q1044" s="8" t="inlineStr">
        <is>
          <t>57085792</t>
        </is>
      </c>
    </row>
    <row r="1045">
      <c r="A1045" s="8" t="inlineStr">
        <is>
          <t>G13997</t>
        </is>
      </c>
      <c r="B1045" s="8" t="inlineStr">
        <is>
          <t>Тянь-Шань Тур</t>
        </is>
      </c>
      <c r="C1045" s="8" t="inlineStr">
        <is>
          <t>2459529196</t>
        </is>
      </c>
      <c r="D1045" s="8" t="inlineStr">
        <is>
          <t>ETM, акт 1С за месяц не выгружен</t>
        </is>
      </c>
      <c r="E1045" s="8" t="inlineStr">
        <is>
          <t>Выгрузка 1С</t>
        </is>
      </c>
      <c r="F1045" s="8" t="inlineStr">
        <is>
          <t>B</t>
        </is>
      </c>
      <c r="G1045" s="14" t="n">
        <v>0</v>
      </c>
      <c r="H1045" s="14" t="n">
        <v>-32104</v>
      </c>
      <c r="I1045" s="14" t="n">
        <v>32104</v>
      </c>
      <c r="J1045" s="14" t="n">
        <v>-32104</v>
      </c>
      <c r="K1045" s="21" t="n">
        <v>46154.66856481481</v>
      </c>
      <c r="L1045" s="21" t="n"/>
      <c r="M1045" s="8" t="inlineStr"/>
      <c r="N1045" s="8" t="inlineStr">
        <is>
          <t>Бухгалтер: выгрузить акт</t>
        </is>
      </c>
      <c r="O1045" s="8" t="inlineStr">
        <is>
          <t>e.satarov</t>
        </is>
      </c>
      <c r="P1045" s="12" t="inlineStr">
        <is>
          <t>Операция есть в ETM, а акт 1С за этот (или следующий) месяц не выгружен — сначала получить акт</t>
        </is>
      </c>
      <c r="Q1045" s="8" t="inlineStr">
        <is>
          <t>57276418</t>
        </is>
      </c>
    </row>
    <row r="1046">
      <c r="A1046" s="8" t="inlineStr">
        <is>
          <t>G14523</t>
        </is>
      </c>
      <c r="B1046" s="8" t="inlineStr">
        <is>
          <t>Чынар уулу Эмир</t>
        </is>
      </c>
      <c r="C1046" s="8" t="inlineStr">
        <is>
          <t>2420847916|2420847919</t>
        </is>
      </c>
      <c r="D1046" s="8" t="inlineStr">
        <is>
          <t>ETM, акт 1С за месяц не выгружен</t>
        </is>
      </c>
      <c r="E1046" s="8" t="inlineStr">
        <is>
          <t>Выгрузка 1С</t>
        </is>
      </c>
      <c r="F1046" s="8" t="inlineStr">
        <is>
          <t>B</t>
        </is>
      </c>
      <c r="G1046" s="14" t="n">
        <v>0</v>
      </c>
      <c r="H1046" s="14" t="n">
        <v>-32049.32</v>
      </c>
      <c r="I1046" s="14" t="n">
        <v>31049.32</v>
      </c>
      <c r="J1046" s="14" t="n">
        <v>-32049.32</v>
      </c>
      <c r="K1046" s="21" t="n">
        <v>46100.40787037037</v>
      </c>
      <c r="L1046" s="21" t="n"/>
      <c r="M1046" s="8" t="inlineStr"/>
      <c r="N1046" s="8" t="inlineStr">
        <is>
          <t>Бухгалтер: выгрузить акт</t>
        </is>
      </c>
      <c r="O1046" s="8" t="inlineStr">
        <is>
          <t>b.isakov</t>
        </is>
      </c>
      <c r="P1046" s="12" t="inlineStr">
        <is>
          <t>Операция есть в ETM, а акт 1С за этот (или следующий) месяц не выгружен — сначала получить акт</t>
        </is>
      </c>
      <c r="Q1046" s="8" t="inlineStr">
        <is>
          <t>57158630,57158637</t>
        </is>
      </c>
    </row>
    <row r="1047">
      <c r="A1047" s="8" t="inlineStr">
        <is>
          <t>G13154</t>
        </is>
      </c>
      <c r="B1047" s="8" t="inlineStr">
        <is>
          <t>Сатар уулу Санжар</t>
        </is>
      </c>
      <c r="C1047" s="8" t="inlineStr">
        <is>
          <t>2461883638</t>
        </is>
      </c>
      <c r="D1047" s="8" t="inlineStr">
        <is>
          <t>ETM, акт 1С за месяц не выгружен</t>
        </is>
      </c>
      <c r="E1047" s="8" t="inlineStr">
        <is>
          <t>Выгрузка 1С</t>
        </is>
      </c>
      <c r="F1047" s="8" t="inlineStr">
        <is>
          <t>B</t>
        </is>
      </c>
      <c r="G1047" s="14" t="n">
        <v>0</v>
      </c>
      <c r="H1047" s="14" t="n">
        <v>-31892</v>
      </c>
      <c r="I1047" s="14" t="n"/>
      <c r="J1047" s="14" t="n">
        <v>-31892</v>
      </c>
      <c r="K1047" s="21" t="n">
        <v>46188.81555555556</v>
      </c>
      <c r="L1047" s="21" t="n"/>
      <c r="M1047" s="8" t="inlineStr"/>
      <c r="N1047" s="8" t="inlineStr">
        <is>
          <t>Бухгалтер: выгрузить акт</t>
        </is>
      </c>
      <c r="O1047" s="8" t="inlineStr"/>
      <c r="P1047" s="12" t="inlineStr">
        <is>
          <t>Операция есть в ETM, а акт 1С за этот (или следующий) месяц не выгружен — сначала получить акт</t>
        </is>
      </c>
      <c r="Q1047" s="8" t="inlineStr">
        <is>
          <t>57369904</t>
        </is>
      </c>
    </row>
    <row r="1048">
      <c r="A1048" s="8" t="inlineStr">
        <is>
          <t>G13155</t>
        </is>
      </c>
      <c r="B1048" s="8" t="inlineStr">
        <is>
          <t>Сатар уулу Санжар</t>
        </is>
      </c>
      <c r="C1048" s="8" t="inlineStr">
        <is>
          <t>2461883641</t>
        </is>
      </c>
      <c r="D1048" s="8" t="inlineStr">
        <is>
          <t>ETM, акт 1С за месяц не выгружен</t>
        </is>
      </c>
      <c r="E1048" s="8" t="inlineStr">
        <is>
          <t>Выгрузка 1С</t>
        </is>
      </c>
      <c r="F1048" s="8" t="inlineStr">
        <is>
          <t>B</t>
        </is>
      </c>
      <c r="G1048" s="14" t="n">
        <v>0</v>
      </c>
      <c r="H1048" s="14" t="n">
        <v>-31892</v>
      </c>
      <c r="I1048" s="14" t="n"/>
      <c r="J1048" s="14" t="n">
        <v>-31892</v>
      </c>
      <c r="K1048" s="21" t="n">
        <v>46188.54113425926</v>
      </c>
      <c r="L1048" s="21" t="n"/>
      <c r="M1048" s="8" t="inlineStr"/>
      <c r="N1048" s="8" t="inlineStr">
        <is>
          <t>Бухгалтер: выгрузить акт</t>
        </is>
      </c>
      <c r="O1048" s="8" t="inlineStr"/>
      <c r="P1048" s="12" t="inlineStr">
        <is>
          <t>Операция есть в ETM, а акт 1С за этот (или следующий) месяц не выгружен — сначала получить акт</t>
        </is>
      </c>
      <c r="Q1048" s="8" t="inlineStr">
        <is>
          <t>57369915</t>
        </is>
      </c>
    </row>
    <row r="1049">
      <c r="A1049" s="8" t="inlineStr">
        <is>
          <t>G13156</t>
        </is>
      </c>
      <c r="B1049" s="8" t="inlineStr">
        <is>
          <t>Сатар уулу Санжар</t>
        </is>
      </c>
      <c r="C1049" s="8" t="inlineStr">
        <is>
          <t>2461883644</t>
        </is>
      </c>
      <c r="D1049" s="8" t="inlineStr">
        <is>
          <t>ETM, акт 1С за месяц не выгружен</t>
        </is>
      </c>
      <c r="E1049" s="8" t="inlineStr">
        <is>
          <t>Выгрузка 1С</t>
        </is>
      </c>
      <c r="F1049" s="8" t="inlineStr">
        <is>
          <t>B</t>
        </is>
      </c>
      <c r="G1049" s="14" t="n">
        <v>0</v>
      </c>
      <c r="H1049" s="14" t="n">
        <v>-31892</v>
      </c>
      <c r="I1049" s="14" t="n"/>
      <c r="J1049" s="14" t="n">
        <v>-31892</v>
      </c>
      <c r="K1049" s="21" t="n">
        <v>46188.63765046297</v>
      </c>
      <c r="L1049" s="21" t="n"/>
      <c r="M1049" s="8" t="inlineStr"/>
      <c r="N1049" s="8" t="inlineStr">
        <is>
          <t>Бухгалтер: выгрузить акт</t>
        </is>
      </c>
      <c r="O1049" s="8" t="inlineStr"/>
      <c r="P1049" s="12" t="inlineStr">
        <is>
          <t>Операция есть в ETM, а акт 1С за этот (или следующий) месяц не выгружен — сначала получить акт</t>
        </is>
      </c>
      <c r="Q1049" s="8" t="inlineStr">
        <is>
          <t>57369944</t>
        </is>
      </c>
    </row>
    <row r="1050">
      <c r="A1050" s="8" t="inlineStr">
        <is>
          <t>G13157</t>
        </is>
      </c>
      <c r="B1050" s="8" t="inlineStr">
        <is>
          <t>Сатар уулу Санжар</t>
        </is>
      </c>
      <c r="C1050" s="8" t="inlineStr">
        <is>
          <t>2461883646</t>
        </is>
      </c>
      <c r="D1050" s="8" t="inlineStr">
        <is>
          <t>ETM, акт 1С за месяц не выгружен</t>
        </is>
      </c>
      <c r="E1050" s="8" t="inlineStr">
        <is>
          <t>Выгрузка 1С</t>
        </is>
      </c>
      <c r="F1050" s="8" t="inlineStr">
        <is>
          <t>B</t>
        </is>
      </c>
      <c r="G1050" s="14" t="n">
        <v>0</v>
      </c>
      <c r="H1050" s="14" t="n">
        <v>-31892</v>
      </c>
      <c r="I1050" s="14" t="n"/>
      <c r="J1050" s="14" t="n">
        <v>-31892</v>
      </c>
      <c r="K1050" s="21" t="n">
        <v>46188.81931712963</v>
      </c>
      <c r="L1050" s="21" t="n"/>
      <c r="M1050" s="8" t="inlineStr"/>
      <c r="N1050" s="8" t="inlineStr">
        <is>
          <t>Бухгалтер: выгрузить акт</t>
        </is>
      </c>
      <c r="O1050" s="8" t="inlineStr"/>
      <c r="P1050" s="12" t="inlineStr">
        <is>
          <t>Операция есть в ETM, а акт 1С за этот (или следующий) месяц не выгружен — сначала получить акт</t>
        </is>
      </c>
      <c r="Q1050" s="8" t="inlineStr">
        <is>
          <t>57369954</t>
        </is>
      </c>
    </row>
    <row r="1051">
      <c r="A1051" s="8" t="inlineStr">
        <is>
          <t>G09056</t>
        </is>
      </c>
      <c r="B1051" s="8" t="inlineStr">
        <is>
          <t>ИССЫК ТРИП</t>
        </is>
      </c>
      <c r="C1051" s="8" t="inlineStr">
        <is>
          <t>2460733215</t>
        </is>
      </c>
      <c r="D1051" s="8" t="inlineStr">
        <is>
          <t>ETM, акт 1С за месяц не выгружен</t>
        </is>
      </c>
      <c r="E1051" s="8" t="inlineStr">
        <is>
          <t>Выгрузка 1С</t>
        </is>
      </c>
      <c r="F1051" s="8" t="inlineStr">
        <is>
          <t>B</t>
        </is>
      </c>
      <c r="G1051" s="14" t="n">
        <v>0</v>
      </c>
      <c r="H1051" s="14" t="n">
        <v>-31863</v>
      </c>
      <c r="I1051" s="14" t="n"/>
      <c r="J1051" s="14" t="n">
        <v>-31863</v>
      </c>
      <c r="K1051" s="21" t="n">
        <v>46064.64155092592</v>
      </c>
      <c r="L1051" s="21" t="n"/>
      <c r="M1051" s="8" t="inlineStr"/>
      <c r="N1051" s="8" t="inlineStr">
        <is>
          <t>Бухгалтер: выгрузить акт</t>
        </is>
      </c>
      <c r="O1051" s="8" t="inlineStr"/>
      <c r="P1051" s="12" t="inlineStr">
        <is>
          <t>Операция есть в ETM, а акт 1С за этот (или следующий) месяц не выгружен — сначала получить акт</t>
        </is>
      </c>
      <c r="Q1051" s="8" t="inlineStr">
        <is>
          <t>57084555</t>
        </is>
      </c>
    </row>
    <row r="1052">
      <c r="A1052" s="8" t="inlineStr">
        <is>
          <t>G07310</t>
        </is>
      </c>
      <c r="B1052" s="8" t="inlineStr">
        <is>
          <t>Жибек Эйр</t>
        </is>
      </c>
      <c r="C1052" s="8" t="inlineStr">
        <is>
          <t>2461883670|2461883673</t>
        </is>
      </c>
      <c r="D1052" s="8" t="inlineStr">
        <is>
          <t>ETM, акт 1С за месяц не выгружен</t>
        </is>
      </c>
      <c r="E1052" s="8" t="inlineStr">
        <is>
          <t>Выгрузка 1С</t>
        </is>
      </c>
      <c r="F1052" s="8" t="inlineStr">
        <is>
          <t>B</t>
        </is>
      </c>
      <c r="G1052" s="14" t="n">
        <v>0</v>
      </c>
      <c r="H1052" s="14" t="n">
        <v>-31794</v>
      </c>
      <c r="I1052" s="14" t="n">
        <v>31794</v>
      </c>
      <c r="J1052" s="14" t="n">
        <v>-31794</v>
      </c>
      <c r="K1052" s="21" t="n">
        <v>46163.58478009259</v>
      </c>
      <c r="L1052" s="21" t="n"/>
      <c r="M1052" s="8" t="inlineStr"/>
      <c r="N1052" s="8" t="inlineStr">
        <is>
          <t>Бухгалтер: выгрузить акт</t>
        </is>
      </c>
      <c r="O1052" s="8" t="inlineStr">
        <is>
          <t>e.satarov</t>
        </is>
      </c>
      <c r="P1052" s="12" t="inlineStr">
        <is>
          <t>Операция есть в ETM, а акт 1С за этот (или следующий) месяц не выгружен — сначала получить акт</t>
        </is>
      </c>
      <c r="Q1052" s="8" t="inlineStr">
        <is>
          <t>57304990,57304971</t>
        </is>
      </c>
    </row>
    <row r="1053">
      <c r="A1053" s="8" t="inlineStr">
        <is>
          <t>G07251</t>
        </is>
      </c>
      <c r="B1053" s="8" t="inlineStr">
        <is>
          <t>Жибек Эйр</t>
        </is>
      </c>
      <c r="C1053" s="8" t="inlineStr">
        <is>
          <t>2460733648|2460733649</t>
        </is>
      </c>
      <c r="D1053" s="8" t="inlineStr">
        <is>
          <t>ETM, акт 1С за месяц не выгружен</t>
        </is>
      </c>
      <c r="E1053" s="8" t="inlineStr">
        <is>
          <t>Выгрузка 1С</t>
        </is>
      </c>
      <c r="F1053" s="8" t="inlineStr">
        <is>
          <t>B</t>
        </is>
      </c>
      <c r="G1053" s="14" t="n">
        <v>0</v>
      </c>
      <c r="H1053" s="14" t="n">
        <v>-31782</v>
      </c>
      <c r="I1053" s="14" t="n">
        <v>31782</v>
      </c>
      <c r="J1053" s="14" t="n">
        <v>-31782</v>
      </c>
      <c r="K1053" s="21" t="n">
        <v>46113.47766203704</v>
      </c>
      <c r="L1053" s="21" t="n"/>
      <c r="M1053" s="8" t="inlineStr"/>
      <c r="N1053" s="8" t="inlineStr">
        <is>
          <t>Бухгалтер: выгрузить акт</t>
        </is>
      </c>
      <c r="O1053" s="8" t="inlineStr">
        <is>
          <t>k.dzhumaev</t>
        </is>
      </c>
      <c r="P1053" s="12" t="inlineStr">
        <is>
          <t>Операция есть в ETM, а акт 1С за этот (или следующий) месяц не выгружен — сначала получить акт</t>
        </is>
      </c>
      <c r="Q1053" s="8" t="inlineStr">
        <is>
          <t>57184540,57184528</t>
        </is>
      </c>
    </row>
    <row r="1054">
      <c r="A1054" s="8" t="inlineStr">
        <is>
          <t>G13993</t>
        </is>
      </c>
      <c r="B1054" s="8" t="inlineStr">
        <is>
          <t>Тянь-Шань Тур</t>
        </is>
      </c>
      <c r="C1054" s="8" t="inlineStr">
        <is>
          <t>2459527705|2459527706</t>
        </is>
      </c>
      <c r="D1054" s="8" t="inlineStr">
        <is>
          <t>ETM, акт 1С за месяц не выгружен</t>
        </is>
      </c>
      <c r="E1054" s="8" t="inlineStr">
        <is>
          <t>Выгрузка 1С</t>
        </is>
      </c>
      <c r="F1054" s="8" t="inlineStr">
        <is>
          <t>B</t>
        </is>
      </c>
      <c r="G1054" s="14" t="n">
        <v>0</v>
      </c>
      <c r="H1054" s="14" t="n">
        <v>-31728</v>
      </c>
      <c r="I1054" s="14" t="n">
        <v>31728</v>
      </c>
      <c r="J1054" s="14" t="n">
        <v>-31728</v>
      </c>
      <c r="K1054" s="21" t="n">
        <v>46135.49916666667</v>
      </c>
      <c r="L1054" s="21" t="n"/>
      <c r="M1054" s="8" t="inlineStr"/>
      <c r="N1054" s="8" t="inlineStr">
        <is>
          <t>Бухгалтер: выгрузить акт</t>
        </is>
      </c>
      <c r="O1054" s="8" t="inlineStr">
        <is>
          <t>d.mambetova</t>
        </is>
      </c>
      <c r="P1054" s="12" t="inlineStr">
        <is>
          <t>Операция есть в ETM, а акт 1С за этот (или следующий) месяц не выгружен — сначала получить акт</t>
        </is>
      </c>
      <c r="Q1054" s="8" t="inlineStr">
        <is>
          <t>57223856</t>
        </is>
      </c>
    </row>
    <row r="1055">
      <c r="A1055" s="8" t="inlineStr">
        <is>
          <t>G13168</t>
        </is>
      </c>
      <c r="B1055" s="8" t="inlineStr">
        <is>
          <t>Сатар уулу Санжар</t>
        </is>
      </c>
      <c r="C1055" s="8" t="inlineStr">
        <is>
          <t>2461885266</t>
        </is>
      </c>
      <c r="D1055" s="8" t="inlineStr">
        <is>
          <t>ETM, акт 1С за месяц не выгружен</t>
        </is>
      </c>
      <c r="E1055" s="8" t="inlineStr">
        <is>
          <t>Выгрузка 1С</t>
        </is>
      </c>
      <c r="F1055" s="8" t="inlineStr">
        <is>
          <t>B</t>
        </is>
      </c>
      <c r="G1055" s="14" t="n">
        <v>0</v>
      </c>
      <c r="H1055" s="14" t="n">
        <v>-31675</v>
      </c>
      <c r="I1055" s="14" t="n"/>
      <c r="J1055" s="14" t="n">
        <v>-31675</v>
      </c>
      <c r="K1055" s="21" t="n">
        <v>46116.60347222222</v>
      </c>
      <c r="L1055" s="21" t="n"/>
      <c r="M1055" s="8" t="inlineStr"/>
      <c r="N1055" s="8" t="inlineStr">
        <is>
          <t>Бухгалтер: выгрузить акт</t>
        </is>
      </c>
      <c r="O1055" s="8" t="inlineStr"/>
      <c r="P1055" s="12" t="inlineStr">
        <is>
          <t>Операция есть в ETM, а акт 1С за этот (или следующий) месяц не выгружен — сначала получить акт</t>
        </is>
      </c>
      <c r="Q1055" s="8" t="inlineStr">
        <is>
          <t>57190576</t>
        </is>
      </c>
    </row>
    <row r="1056">
      <c r="A1056" s="8" t="inlineStr">
        <is>
          <t>G13169</t>
        </is>
      </c>
      <c r="B1056" s="8" t="inlineStr">
        <is>
          <t>Сатар уулу Санжар</t>
        </is>
      </c>
      <c r="C1056" s="8" t="inlineStr">
        <is>
          <t>2461885269</t>
        </is>
      </c>
      <c r="D1056" s="8" t="inlineStr">
        <is>
          <t>ETM, акт 1С за месяц не выгружен</t>
        </is>
      </c>
      <c r="E1056" s="8" t="inlineStr">
        <is>
          <t>Выгрузка 1С</t>
        </is>
      </c>
      <c r="F1056" s="8" t="inlineStr">
        <is>
          <t>B</t>
        </is>
      </c>
      <c r="G1056" s="14" t="n">
        <v>0</v>
      </c>
      <c r="H1056" s="14" t="n">
        <v>-31675</v>
      </c>
      <c r="I1056" s="14" t="n"/>
      <c r="J1056" s="14" t="n">
        <v>-31675</v>
      </c>
      <c r="K1056" s="21" t="n">
        <v>46116.81261574074</v>
      </c>
      <c r="L1056" s="21" t="n"/>
      <c r="M1056" s="8" t="inlineStr"/>
      <c r="N1056" s="8" t="inlineStr">
        <is>
          <t>Бухгалтер: выгрузить акт</t>
        </is>
      </c>
      <c r="O1056" s="8" t="inlineStr"/>
      <c r="P1056" s="12" t="inlineStr">
        <is>
          <t>Операция есть в ETM, а акт 1С за этот (или следующий) месяц не выгружен — сначала получить акт</t>
        </is>
      </c>
      <c r="Q1056" s="8" t="inlineStr">
        <is>
          <t>57190599</t>
        </is>
      </c>
    </row>
    <row r="1057">
      <c r="A1057" s="8" t="inlineStr">
        <is>
          <t>G12938</t>
        </is>
      </c>
      <c r="B1057" s="8" t="inlineStr">
        <is>
          <t>Сатар уулу Санжар</t>
        </is>
      </c>
      <c r="C1057" s="8" t="inlineStr">
        <is>
          <t>2420844780</t>
        </is>
      </c>
      <c r="D1057" s="8" t="inlineStr">
        <is>
          <t>ETM, акт 1С за месяц не выгружен</t>
        </is>
      </c>
      <c r="E1057" s="8" t="inlineStr">
        <is>
          <t>Выгрузка 1С</t>
        </is>
      </c>
      <c r="F1057" s="8" t="inlineStr">
        <is>
          <t>B</t>
        </is>
      </c>
      <c r="G1057" s="14" t="n">
        <v>0</v>
      </c>
      <c r="H1057" s="14" t="n">
        <v>-31666.42</v>
      </c>
      <c r="I1057" s="14" t="n"/>
      <c r="J1057" s="14" t="n">
        <v>-31666.42</v>
      </c>
      <c r="K1057" s="21" t="n">
        <v>46194.49616898148</v>
      </c>
      <c r="L1057" s="21" t="n"/>
      <c r="M1057" s="8" t="inlineStr"/>
      <c r="N1057" s="8" t="inlineStr">
        <is>
          <t>Бухгалтер: выгрузить акт</t>
        </is>
      </c>
      <c r="O1057" s="8" t="inlineStr"/>
      <c r="P1057" s="12" t="inlineStr">
        <is>
          <t>Операция есть в ETM, а акт 1С за этот (или следующий) месяц не выгружен — сначала получить акт</t>
        </is>
      </c>
      <c r="Q1057" s="8" t="inlineStr">
        <is>
          <t>57386025</t>
        </is>
      </c>
    </row>
    <row r="1058">
      <c r="A1058" s="8" t="inlineStr">
        <is>
          <t>G14010</t>
        </is>
      </c>
      <c r="B1058" s="8" t="inlineStr">
        <is>
          <t>Тянь-Шань Тур</t>
        </is>
      </c>
      <c r="C1058" s="8" t="inlineStr">
        <is>
          <t>2461881118</t>
        </is>
      </c>
      <c r="D1058" s="8" t="inlineStr">
        <is>
          <t>ETM, акт 1С за месяц не выгружен</t>
        </is>
      </c>
      <c r="E1058" s="8" t="inlineStr">
        <is>
          <t>Выгрузка 1С</t>
        </is>
      </c>
      <c r="F1058" s="8" t="inlineStr">
        <is>
          <t>B</t>
        </is>
      </c>
      <c r="G1058" s="14" t="n">
        <v>0</v>
      </c>
      <c r="H1058" s="14" t="n">
        <v>-31568</v>
      </c>
      <c r="I1058" s="14" t="n"/>
      <c r="J1058" s="14" t="n">
        <v>-31568</v>
      </c>
      <c r="K1058" s="21" t="n">
        <v>46143.53576388889</v>
      </c>
      <c r="L1058" s="21" t="n"/>
      <c r="M1058" s="8" t="inlineStr"/>
      <c r="N1058" s="8" t="inlineStr">
        <is>
          <t>Бухгалтер: выгрузить акт</t>
        </is>
      </c>
      <c r="O1058" s="8" t="inlineStr"/>
      <c r="P1058" s="12" t="inlineStr">
        <is>
          <t>Операция есть в ETM, а акт 1С за этот (или следующий) месяц не выгружен — сначала получить акт</t>
        </is>
      </c>
      <c r="Q1058" s="8" t="inlineStr">
        <is>
          <t>57241173</t>
        </is>
      </c>
    </row>
    <row r="1059">
      <c r="A1059" s="8" t="inlineStr">
        <is>
          <t>G14006</t>
        </is>
      </c>
      <c r="B1059" s="8" t="inlineStr">
        <is>
          <t>Тянь-Шань Тур</t>
        </is>
      </c>
      <c r="C1059" s="8" t="inlineStr">
        <is>
          <t>2460737666</t>
        </is>
      </c>
      <c r="D1059" s="8" t="inlineStr">
        <is>
          <t>ETM, акт 1С за месяц не выгружен</t>
        </is>
      </c>
      <c r="E1059" s="8" t="inlineStr">
        <is>
          <t>Выгрузка 1С</t>
        </is>
      </c>
      <c r="F1059" s="8" t="inlineStr">
        <is>
          <t>B</t>
        </is>
      </c>
      <c r="G1059" s="14" t="n">
        <v>0</v>
      </c>
      <c r="H1059" s="14" t="n">
        <v>-31521</v>
      </c>
      <c r="I1059" s="14" t="n"/>
      <c r="J1059" s="14" t="n">
        <v>-31521</v>
      </c>
      <c r="K1059" s="21" t="n">
        <v>46132.83251157407</v>
      </c>
      <c r="L1059" s="21" t="n"/>
      <c r="M1059" s="8" t="inlineStr"/>
      <c r="N1059" s="8" t="inlineStr">
        <is>
          <t>Бухгалтер: выгрузить акт</t>
        </is>
      </c>
      <c r="O1059" s="8" t="inlineStr"/>
      <c r="P1059" s="12" t="inlineStr">
        <is>
          <t>Операция есть в ETM, а акт 1С за этот (или следующий) месяц не выгружен — сначала получить акт</t>
        </is>
      </c>
      <c r="Q1059" s="8" t="inlineStr">
        <is>
          <t>57218448</t>
        </is>
      </c>
    </row>
    <row r="1060">
      <c r="A1060" s="8" t="inlineStr">
        <is>
          <t>G12892</t>
        </is>
      </c>
      <c r="B1060" s="8" t="inlineStr">
        <is>
          <t>Сатар уулу Санжар</t>
        </is>
      </c>
      <c r="C1060" s="8" t="inlineStr">
        <is>
          <t>2416944441</t>
        </is>
      </c>
      <c r="D1060" s="8" t="inlineStr">
        <is>
          <t>ETM, акт 1С за месяц не выгружен</t>
        </is>
      </c>
      <c r="E1060" s="8" t="inlineStr">
        <is>
          <t>Выгрузка 1С</t>
        </is>
      </c>
      <c r="F1060" s="8" t="inlineStr">
        <is>
          <t>B</t>
        </is>
      </c>
      <c r="G1060" s="14" t="n">
        <v>0</v>
      </c>
      <c r="H1060" s="14" t="n">
        <v>-31148.02</v>
      </c>
      <c r="I1060" s="14" t="n">
        <v>31148.02</v>
      </c>
      <c r="J1060" s="14" t="n">
        <v>-31148.02</v>
      </c>
      <c r="K1060" s="21" t="n">
        <v>46202.7766087963</v>
      </c>
      <c r="L1060" s="21" t="n"/>
      <c r="M1060" s="8" t="inlineStr"/>
      <c r="N1060" s="8" t="inlineStr">
        <is>
          <t>Бухгалтер: выгрузить акт</t>
        </is>
      </c>
      <c r="O1060" s="8" t="inlineStr">
        <is>
          <t>r.sydykov</t>
        </is>
      </c>
      <c r="P1060" s="12" t="inlineStr">
        <is>
          <t>Операция есть в ETM, а акт 1С за этот (или следующий) месяц не выгружен — сначала получить акт</t>
        </is>
      </c>
      <c r="Q1060" s="8" t="inlineStr">
        <is>
          <t>57412128</t>
        </is>
      </c>
    </row>
    <row r="1061">
      <c r="A1061" s="8" t="inlineStr">
        <is>
          <t>G08863</t>
        </is>
      </c>
      <c r="B1061" s="8" t="inlineStr">
        <is>
          <t>ИССЫК ТРИП</t>
        </is>
      </c>
      <c r="C1061" s="8" t="inlineStr">
        <is>
          <t>2416941993</t>
        </is>
      </c>
      <c r="D1061" s="8" t="inlineStr">
        <is>
          <t>ETM, акт 1С за месяц не выгружен</t>
        </is>
      </c>
      <c r="E1061" s="8" t="inlineStr">
        <is>
          <t>Выгрузка 1С</t>
        </is>
      </c>
      <c r="F1061" s="8" t="inlineStr">
        <is>
          <t>B</t>
        </is>
      </c>
      <c r="G1061" s="14" t="n">
        <v>0</v>
      </c>
      <c r="H1061" s="14" t="n">
        <v>-30929.97</v>
      </c>
      <c r="I1061" s="14" t="n">
        <v>30929.97</v>
      </c>
      <c r="J1061" s="14" t="n">
        <v>-30929.97</v>
      </c>
      <c r="K1061" s="21" t="n">
        <v>46061.43376157407</v>
      </c>
      <c r="L1061" s="21" t="n"/>
      <c r="M1061" s="8" t="inlineStr"/>
      <c r="N1061" s="8" t="inlineStr">
        <is>
          <t>Бухгалтер: выгрузить акт</t>
        </is>
      </c>
      <c r="O1061" s="8" t="inlineStr">
        <is>
          <t>k.dzhumaev</t>
        </is>
      </c>
      <c r="P1061" s="12" t="inlineStr">
        <is>
          <t>Операция есть в ETM, а акт 1С за этот (или следующий) месяц не выгружен — сначала получить акт</t>
        </is>
      </c>
      <c r="Q1061" s="8" t="inlineStr">
        <is>
          <t>57079182</t>
        </is>
      </c>
    </row>
    <row r="1062">
      <c r="A1062" s="8" t="inlineStr">
        <is>
          <t>G08224</t>
        </is>
      </c>
      <c r="B1062" s="8" t="inlineStr">
        <is>
          <t>ИП Жумабекова Б. Н.</t>
        </is>
      </c>
      <c r="C1062" s="8" t="inlineStr">
        <is>
          <t>2559099676</t>
        </is>
      </c>
      <c r="D1062" s="8" t="inlineStr">
        <is>
          <t>ETM, акт 1С за месяц не выгружен</t>
        </is>
      </c>
      <c r="E1062" s="8" t="inlineStr">
        <is>
          <t>Выгрузка 1С</t>
        </is>
      </c>
      <c r="F1062" s="8" t="inlineStr">
        <is>
          <t>B</t>
        </is>
      </c>
      <c r="G1062" s="14" t="n">
        <v>0</v>
      </c>
      <c r="H1062" s="14" t="n">
        <v>-30875.36</v>
      </c>
      <c r="I1062" s="14" t="n">
        <v>30875.36</v>
      </c>
      <c r="J1062" s="14" t="n">
        <v>-30875.36</v>
      </c>
      <c r="K1062" s="21" t="n">
        <v>46161.65219907407</v>
      </c>
      <c r="L1062" s="21" t="n"/>
      <c r="M1062" s="8" t="inlineStr"/>
      <c r="N1062" s="8" t="inlineStr">
        <is>
          <t>Бухгалтер: выгрузить акт</t>
        </is>
      </c>
      <c r="O1062" s="8" t="inlineStr">
        <is>
          <t>r.sydykov</t>
        </is>
      </c>
      <c r="P1062" s="12" t="inlineStr">
        <is>
          <t>Операция есть в ETM, а акт 1С за этот (или следующий) месяц не выгружен — сначала получить акт</t>
        </is>
      </c>
      <c r="Q1062" s="8" t="inlineStr">
        <is>
          <t>57297721</t>
        </is>
      </c>
    </row>
    <row r="1063">
      <c r="A1063" s="8" t="inlineStr">
        <is>
          <t>G13345</t>
        </is>
      </c>
      <c r="B1063" s="8" t="inlineStr">
        <is>
          <t>Сатар уулу Санжар</t>
        </is>
      </c>
      <c r="C1063" s="8" t="inlineStr">
        <is>
          <t>2559100708</t>
        </is>
      </c>
      <c r="D1063" s="8" t="inlineStr">
        <is>
          <t>ETM, акт 1С за месяц не выгружен</t>
        </is>
      </c>
      <c r="E1063" s="8" t="inlineStr">
        <is>
          <t>Выгрузка 1С</t>
        </is>
      </c>
      <c r="F1063" s="8" t="inlineStr">
        <is>
          <t>B</t>
        </is>
      </c>
      <c r="G1063" s="14" t="n">
        <v>0</v>
      </c>
      <c r="H1063" s="14" t="n">
        <v>-30865.5</v>
      </c>
      <c r="I1063" s="14" t="n">
        <v>30865.5</v>
      </c>
      <c r="J1063" s="14" t="n">
        <v>-30865.5</v>
      </c>
      <c r="K1063" s="21" t="n">
        <v>46190.33793981482</v>
      </c>
      <c r="L1063" s="21" t="n"/>
      <c r="M1063" s="8" t="inlineStr"/>
      <c r="N1063" s="8" t="inlineStr">
        <is>
          <t>Бухгалтер: выгрузить акт</t>
        </is>
      </c>
      <c r="O1063" s="8" t="inlineStr">
        <is>
          <t>n.abdyldaeva</t>
        </is>
      </c>
      <c r="P1063" s="12" t="inlineStr">
        <is>
          <t>Операция есть в ETM, а акт 1С за этот (или следующий) месяц не выгружен — сначала получить акт</t>
        </is>
      </c>
      <c r="Q1063" s="8" t="inlineStr">
        <is>
          <t>57376050</t>
        </is>
      </c>
    </row>
    <row r="1064">
      <c r="A1064" s="8" t="inlineStr">
        <is>
          <t>G10638</t>
        </is>
      </c>
      <c r="B1064" s="8" t="inlineStr">
        <is>
          <t>Манас Туризм</t>
        </is>
      </c>
      <c r="C1064" s="8" t="inlineStr">
        <is>
          <t>2420843816</t>
        </is>
      </c>
      <c r="D1064" s="8" t="inlineStr">
        <is>
          <t>ETM, акт 1С за месяц не выгружен</t>
        </is>
      </c>
      <c r="E1064" s="8" t="inlineStr">
        <is>
          <t>Выгрузка 1С</t>
        </is>
      </c>
      <c r="F1064" s="8" t="inlineStr">
        <is>
          <t>B</t>
        </is>
      </c>
      <c r="G1064" s="14" t="n">
        <v>0</v>
      </c>
      <c r="H1064" s="14" t="n">
        <v>-30577.09</v>
      </c>
      <c r="I1064" s="14" t="n"/>
      <c r="J1064" s="14" t="n">
        <v>-30577.09</v>
      </c>
      <c r="K1064" s="21" t="n">
        <v>46164.63271990741</v>
      </c>
      <c r="L1064" s="21" t="n"/>
      <c r="M1064" s="8" t="inlineStr"/>
      <c r="N1064" s="8" t="inlineStr">
        <is>
          <t>Бухгалтер: выгрузить акт</t>
        </is>
      </c>
      <c r="O1064" s="8" t="inlineStr"/>
      <c r="P1064" s="12" t="inlineStr">
        <is>
          <t>Операция есть в ETM, а акт 1С за этот (или следующий) месяц не выгружен — сначала получить акт</t>
        </is>
      </c>
      <c r="Q1064" s="8" t="inlineStr">
        <is>
          <t>57306602</t>
        </is>
      </c>
    </row>
    <row r="1065">
      <c r="A1065" s="8" t="inlineStr">
        <is>
          <t>G10630</t>
        </is>
      </c>
      <c r="B1065" s="8" t="inlineStr">
        <is>
          <t>Манас Туризм</t>
        </is>
      </c>
      <c r="C1065" s="8" t="inlineStr">
        <is>
          <t>2416943009</t>
        </is>
      </c>
      <c r="D1065" s="8" t="inlineStr">
        <is>
          <t>ETM, акт 1С за месяц не выгружен</t>
        </is>
      </c>
      <c r="E1065" s="8" t="inlineStr">
        <is>
          <t>Выгрузка 1С</t>
        </is>
      </c>
      <c r="F1065" s="8" t="inlineStr">
        <is>
          <t>B</t>
        </is>
      </c>
      <c r="G1065" s="14" t="n">
        <v>0</v>
      </c>
      <c r="H1065" s="14" t="n">
        <v>-30336.08</v>
      </c>
      <c r="I1065" s="14" t="n">
        <v>30336.075</v>
      </c>
      <c r="J1065" s="14" t="n">
        <v>-30336.08</v>
      </c>
      <c r="K1065" s="21" t="n">
        <v>46181.60699074074</v>
      </c>
      <c r="L1065" s="21" t="n"/>
      <c r="M1065" s="8" t="inlineStr"/>
      <c r="N1065" s="8" t="inlineStr">
        <is>
          <t>Бухгалтер: выгрузить акт</t>
        </is>
      </c>
      <c r="O1065" s="8" t="inlineStr">
        <is>
          <t>n.abdyldaeva</t>
        </is>
      </c>
      <c r="P1065" s="12" t="inlineStr">
        <is>
          <t>Операция есть в ETM, а акт 1С за этот (или следующий) месяц не выгружен — сначала получить акт</t>
        </is>
      </c>
      <c r="Q1065" s="8" t="inlineStr">
        <is>
          <t>57351671</t>
        </is>
      </c>
    </row>
    <row r="1066">
      <c r="A1066" s="8" t="inlineStr">
        <is>
          <t>G10706</t>
        </is>
      </c>
      <c r="B1066" s="8" t="inlineStr">
        <is>
          <t>Манас Туризм</t>
        </is>
      </c>
      <c r="C1066" s="8" t="inlineStr">
        <is>
          <t>2559100140</t>
        </is>
      </c>
      <c r="D1066" s="8" t="inlineStr">
        <is>
          <t>ETM, акт 1С за месяц не выгружен</t>
        </is>
      </c>
      <c r="E1066" s="8" t="inlineStr">
        <is>
          <t>Выгрузка 1С</t>
        </is>
      </c>
      <c r="F1066" s="8" t="inlineStr">
        <is>
          <t>B</t>
        </is>
      </c>
      <c r="G1066" s="14" t="n">
        <v>0</v>
      </c>
      <c r="H1066" s="14" t="n">
        <v>-30269.1</v>
      </c>
      <c r="I1066" s="14" t="n">
        <v>30269.1</v>
      </c>
      <c r="J1066" s="14" t="n">
        <v>-30269.1</v>
      </c>
      <c r="K1066" s="21" t="n">
        <v>46202.51141203703</v>
      </c>
      <c r="L1066" s="21" t="n"/>
      <c r="M1066" s="8" t="inlineStr"/>
      <c r="N1066" s="8" t="inlineStr">
        <is>
          <t>Бухгалтер: выгрузить акт</t>
        </is>
      </c>
      <c r="O1066" s="8" t="inlineStr">
        <is>
          <t>a.toktosunova</t>
        </is>
      </c>
      <c r="P1066" s="12" t="inlineStr">
        <is>
          <t>Операция есть в ETM, а акт 1С за этот (или следующий) месяц не выгружен — сначала получить акт</t>
        </is>
      </c>
      <c r="Q1066" s="8" t="inlineStr">
        <is>
          <t>57411297</t>
        </is>
      </c>
    </row>
    <row r="1067">
      <c r="A1067" s="8" t="inlineStr">
        <is>
          <t>G13528</t>
        </is>
      </c>
      <c r="B1067" s="8" t="inlineStr">
        <is>
          <t>Сыдыков С. У.</t>
        </is>
      </c>
      <c r="C1067" s="8" t="inlineStr">
        <is>
          <t>2416943898</t>
        </is>
      </c>
      <c r="D1067" s="8" t="inlineStr">
        <is>
          <t>ETM, акт 1С за месяц не выгружен</t>
        </is>
      </c>
      <c r="E1067" s="8" t="inlineStr">
        <is>
          <t>Выгрузка 1С</t>
        </is>
      </c>
      <c r="F1067" s="8" t="inlineStr">
        <is>
          <t>B</t>
        </is>
      </c>
      <c r="G1067" s="14" t="n">
        <v>0</v>
      </c>
      <c r="H1067" s="14" t="n">
        <v>-30194.91</v>
      </c>
      <c r="I1067" s="14" t="n"/>
      <c r="J1067" s="14" t="n">
        <v>-30194.91</v>
      </c>
      <c r="K1067" s="21" t="n">
        <v>46146.6278587963</v>
      </c>
      <c r="L1067" s="21" t="n"/>
      <c r="M1067" s="8" t="inlineStr"/>
      <c r="N1067" s="8" t="inlineStr">
        <is>
          <t>Бухгалтер: выгрузить акт</t>
        </is>
      </c>
      <c r="O1067" s="8" t="inlineStr"/>
      <c r="P1067" s="12" t="inlineStr">
        <is>
          <t>Операция есть в ETM, а акт 1С за этот (или следующий) месяц не выгружен — сначала получить акт</t>
        </is>
      </c>
      <c r="Q1067" s="8" t="inlineStr">
        <is>
          <t>57251535</t>
        </is>
      </c>
    </row>
    <row r="1068">
      <c r="A1068" s="8" t="inlineStr">
        <is>
          <t>G13529</t>
        </is>
      </c>
      <c r="B1068" s="8" t="inlineStr">
        <is>
          <t>Сыдыков С. У.</t>
        </is>
      </c>
      <c r="C1068" s="8" t="inlineStr">
        <is>
          <t>2416943900</t>
        </is>
      </c>
      <c r="D1068" s="8" t="inlineStr">
        <is>
          <t>ETM, акт 1С за месяц не выгружен</t>
        </is>
      </c>
      <c r="E1068" s="8" t="inlineStr">
        <is>
          <t>Выгрузка 1С</t>
        </is>
      </c>
      <c r="F1068" s="8" t="inlineStr">
        <is>
          <t>B</t>
        </is>
      </c>
      <c r="G1068" s="14" t="n">
        <v>0</v>
      </c>
      <c r="H1068" s="14" t="n">
        <v>-30194.91</v>
      </c>
      <c r="I1068" s="14" t="n"/>
      <c r="J1068" s="14" t="n">
        <v>-30194.91</v>
      </c>
      <c r="K1068" s="21" t="n">
        <v>46146.48344907408</v>
      </c>
      <c r="L1068" s="21" t="n"/>
      <c r="M1068" s="8" t="inlineStr"/>
      <c r="N1068" s="8" t="inlineStr">
        <is>
          <t>Бухгалтер: выгрузить акт</t>
        </is>
      </c>
      <c r="O1068" s="8" t="inlineStr"/>
      <c r="P1068" s="12" t="inlineStr">
        <is>
          <t>Операция есть в ETM, а акт 1С за этот (или следующий) месяц не выгружен — сначала получить акт</t>
        </is>
      </c>
      <c r="Q1068" s="8" t="inlineStr">
        <is>
          <t>57251549</t>
        </is>
      </c>
    </row>
    <row r="1069">
      <c r="A1069" s="8" t="inlineStr">
        <is>
          <t>G08691</t>
        </is>
      </c>
      <c r="B1069" s="8" t="inlineStr">
        <is>
          <t>ИП Токтосун кызы Н.</t>
        </is>
      </c>
      <c r="C1069" s="8" t="inlineStr">
        <is>
          <t>2552672785</t>
        </is>
      </c>
      <c r="D1069" s="8" t="inlineStr">
        <is>
          <t>ETM, акт 1С за месяц не выгружен</t>
        </is>
      </c>
      <c r="E1069" s="8" t="inlineStr">
        <is>
          <t>Выгрузка 1С</t>
        </is>
      </c>
      <c r="F1069" s="8" t="inlineStr">
        <is>
          <t>B</t>
        </is>
      </c>
      <c r="G1069" s="14" t="n">
        <v>0</v>
      </c>
      <c r="H1069" s="14" t="n">
        <v>-29978.91</v>
      </c>
      <c r="I1069" s="14" t="n"/>
      <c r="J1069" s="14" t="n">
        <v>-29978.91</v>
      </c>
      <c r="K1069" s="21" t="n">
        <v>46077.39649305555</v>
      </c>
      <c r="L1069" s="21" t="n"/>
      <c r="M1069" s="8" t="inlineStr"/>
      <c r="N1069" s="8" t="inlineStr">
        <is>
          <t>Бухгалтер: выгрузить акт</t>
        </is>
      </c>
      <c r="O1069" s="8" t="inlineStr"/>
      <c r="P1069" s="12" t="inlineStr">
        <is>
          <t>Операция есть в ETM, а акт 1С за этот (или следующий) месяц не выгружен — сначала получить акт</t>
        </is>
      </c>
      <c r="Q1069" s="8" t="inlineStr">
        <is>
          <t>57107459</t>
        </is>
      </c>
    </row>
    <row r="1070">
      <c r="A1070" s="8" t="inlineStr">
        <is>
          <t>G10684</t>
        </is>
      </c>
      <c r="B1070" s="8" t="inlineStr">
        <is>
          <t>Манас Туризм</t>
        </is>
      </c>
      <c r="C1070" s="8" t="inlineStr">
        <is>
          <t>2476316573</t>
        </is>
      </c>
      <c r="D1070" s="8" t="inlineStr">
        <is>
          <t>ETM, акт 1С за месяц не выгружен</t>
        </is>
      </c>
      <c r="E1070" s="8" t="inlineStr">
        <is>
          <t>Выгрузка 1С</t>
        </is>
      </c>
      <c r="F1070" s="8" t="inlineStr">
        <is>
          <t>B</t>
        </is>
      </c>
      <c r="G1070" s="14" t="n">
        <v>0</v>
      </c>
      <c r="H1070" s="14" t="n">
        <v>-29940.73</v>
      </c>
      <c r="I1070" s="14" t="n">
        <v>29940.7319</v>
      </c>
      <c r="J1070" s="14" t="n">
        <v>-29940.73</v>
      </c>
      <c r="K1070" s="21" t="n">
        <v>46180.75164351852</v>
      </c>
      <c r="L1070" s="21" t="n"/>
      <c r="M1070" s="8" t="inlineStr"/>
      <c r="N1070" s="8" t="inlineStr">
        <is>
          <t>Бухгалтер: выгрузить акт</t>
        </is>
      </c>
      <c r="O1070" s="8" t="inlineStr">
        <is>
          <t>g.omurbekova</t>
        </is>
      </c>
      <c r="P1070" s="12" t="inlineStr">
        <is>
          <t>Операция есть в ETM, а акт 1С за этот (или следующий) месяц не выгружен — сначала получить акт</t>
        </is>
      </c>
      <c r="Q1070" s="8" t="inlineStr">
        <is>
          <t>57349054</t>
        </is>
      </c>
    </row>
    <row r="1071">
      <c r="A1071" s="8" t="inlineStr">
        <is>
          <t>G07444</t>
        </is>
      </c>
      <c r="B1071" s="8" t="inlineStr">
        <is>
          <t>Жибек Эйр</t>
        </is>
      </c>
      <c r="C1071" s="8" t="inlineStr">
        <is>
          <t>2559103195</t>
        </is>
      </c>
      <c r="D1071" s="8" t="inlineStr">
        <is>
          <t>ETM, акт 1С за месяц не выгружен</t>
        </is>
      </c>
      <c r="E1071" s="8" t="inlineStr">
        <is>
          <t>Выгрузка 1С</t>
        </is>
      </c>
      <c r="F1071" s="8" t="inlineStr">
        <is>
          <t>B</t>
        </is>
      </c>
      <c r="G1071" s="14" t="n">
        <v>0</v>
      </c>
      <c r="H1071" s="14" t="n">
        <v>-29731.68</v>
      </c>
      <c r="I1071" s="14" t="n">
        <v>29731.68</v>
      </c>
      <c r="J1071" s="14" t="n">
        <v>-29731.68</v>
      </c>
      <c r="K1071" s="21" t="n">
        <v>46150.82689814815</v>
      </c>
      <c r="L1071" s="21" t="n"/>
      <c r="M1071" s="8" t="inlineStr"/>
      <c r="N1071" s="8" t="inlineStr">
        <is>
          <t>Бухгалтер: выгрузить акт</t>
        </is>
      </c>
      <c r="O1071" s="8" t="inlineStr">
        <is>
          <t>n.abdyldaeva</t>
        </is>
      </c>
      <c r="P1071" s="12" t="inlineStr">
        <is>
          <t>Операция есть в ETM, а акт 1С за этот (или следующий) месяц не выгружен — сначала получить акт</t>
        </is>
      </c>
      <c r="Q1071" s="8" t="inlineStr">
        <is>
          <t>57265725</t>
        </is>
      </c>
    </row>
    <row r="1072">
      <c r="A1072" s="8" t="inlineStr">
        <is>
          <t>G07189</t>
        </is>
      </c>
      <c r="B1072" s="8" t="inlineStr">
        <is>
          <t>Жибек Эйр</t>
        </is>
      </c>
      <c r="C1072" s="8" t="inlineStr">
        <is>
          <t>2420846535</t>
        </is>
      </c>
      <c r="D1072" s="8" t="inlineStr">
        <is>
          <t>ETM, акт 1С за месяц не выгружен</t>
        </is>
      </c>
      <c r="E1072" s="8" t="inlineStr">
        <is>
          <t>Выгрузка 1С</t>
        </is>
      </c>
      <c r="F1072" s="8" t="inlineStr">
        <is>
          <t>B</t>
        </is>
      </c>
      <c r="G1072" s="14" t="n">
        <v>0</v>
      </c>
      <c r="H1072" s="14" t="n">
        <v>-29716.55</v>
      </c>
      <c r="I1072" s="14" t="n"/>
      <c r="J1072" s="14" t="n">
        <v>-29716.55</v>
      </c>
      <c r="K1072" s="21" t="n">
        <v>46157.353125</v>
      </c>
      <c r="L1072" s="21" t="n"/>
      <c r="M1072" s="8" t="inlineStr"/>
      <c r="N1072" s="8" t="inlineStr">
        <is>
          <t>Бухгалтер: выгрузить акт</t>
        </is>
      </c>
      <c r="O1072" s="8" t="inlineStr"/>
      <c r="P1072" s="12" t="inlineStr">
        <is>
          <t>Операция есть в ETM, а акт 1С за этот (или следующий) месяц не выгружен — сначала получить акт</t>
        </is>
      </c>
      <c r="Q1072" s="8" t="inlineStr">
        <is>
          <t>57287094</t>
        </is>
      </c>
    </row>
    <row r="1073">
      <c r="A1073" s="8" t="inlineStr">
        <is>
          <t>G07190</t>
        </is>
      </c>
      <c r="B1073" s="8" t="inlineStr">
        <is>
          <t>Жибек Эйр</t>
        </is>
      </c>
      <c r="C1073" s="8" t="inlineStr">
        <is>
          <t>2420846538</t>
        </is>
      </c>
      <c r="D1073" s="8" t="inlineStr">
        <is>
          <t>ETM, акт 1С за месяц не выгружен</t>
        </is>
      </c>
      <c r="E1073" s="8" t="inlineStr">
        <is>
          <t>Выгрузка 1С</t>
        </is>
      </c>
      <c r="F1073" s="8" t="inlineStr">
        <is>
          <t>B</t>
        </is>
      </c>
      <c r="G1073" s="14" t="n">
        <v>0</v>
      </c>
      <c r="H1073" s="14" t="n">
        <v>-29716.55</v>
      </c>
      <c r="I1073" s="14" t="n"/>
      <c r="J1073" s="14" t="n">
        <v>-29716.55</v>
      </c>
      <c r="K1073" s="21" t="n">
        <v>46157.78780092593</v>
      </c>
      <c r="L1073" s="21" t="n"/>
      <c r="M1073" s="8" t="inlineStr"/>
      <c r="N1073" s="8" t="inlineStr">
        <is>
          <t>Бухгалтер: выгрузить акт</t>
        </is>
      </c>
      <c r="O1073" s="8" t="inlineStr"/>
      <c r="P1073" s="12" t="inlineStr">
        <is>
          <t>Операция есть в ETM, а акт 1С за этот (или следующий) месяц не выгружен — сначала получить акт</t>
        </is>
      </c>
      <c r="Q1073" s="8" t="inlineStr">
        <is>
          <t>57287111</t>
        </is>
      </c>
    </row>
    <row r="1074">
      <c r="A1074" s="8" t="inlineStr">
        <is>
          <t>G07191</t>
        </is>
      </c>
      <c r="B1074" s="8" t="inlineStr">
        <is>
          <t>Жибек Эйр</t>
        </is>
      </c>
      <c r="C1074" s="8" t="inlineStr">
        <is>
          <t>2420846541</t>
        </is>
      </c>
      <c r="D1074" s="8" t="inlineStr">
        <is>
          <t>ETM, акт 1С за месяц не выгружен</t>
        </is>
      </c>
      <c r="E1074" s="8" t="inlineStr">
        <is>
          <t>Выгрузка 1С</t>
        </is>
      </c>
      <c r="F1074" s="8" t="inlineStr">
        <is>
          <t>B</t>
        </is>
      </c>
      <c r="G1074" s="14" t="n">
        <v>0</v>
      </c>
      <c r="H1074" s="14" t="n">
        <v>-29716.55</v>
      </c>
      <c r="I1074" s="14" t="n"/>
      <c r="J1074" s="14" t="n">
        <v>-29716.55</v>
      </c>
      <c r="K1074" s="21" t="n">
        <v>46157.63024305556</v>
      </c>
      <c r="L1074" s="21" t="n"/>
      <c r="M1074" s="8" t="inlineStr"/>
      <c r="N1074" s="8" t="inlineStr">
        <is>
          <t>Бухгалтер: выгрузить акт</t>
        </is>
      </c>
      <c r="O1074" s="8" t="inlineStr"/>
      <c r="P1074" s="12" t="inlineStr">
        <is>
          <t>Операция есть в ETM, а акт 1С за этот (или следующий) месяц не выгружен — сначала получить акт</t>
        </is>
      </c>
      <c r="Q1074" s="8" t="inlineStr">
        <is>
          <t>57287124</t>
        </is>
      </c>
    </row>
    <row r="1075">
      <c r="A1075" s="8" t="inlineStr">
        <is>
          <t>G13534</t>
        </is>
      </c>
      <c r="B1075" s="8" t="inlineStr">
        <is>
          <t>Сыдыков С. У.</t>
        </is>
      </c>
      <c r="C1075" s="8" t="inlineStr">
        <is>
          <t>2420844659</t>
        </is>
      </c>
      <c r="D1075" s="8" t="inlineStr">
        <is>
          <t>ETM, акт 1С за месяц не выгружен</t>
        </is>
      </c>
      <c r="E1075" s="8" t="inlineStr">
        <is>
          <t>Выгрузка 1С</t>
        </is>
      </c>
      <c r="F1075" s="8" t="inlineStr">
        <is>
          <t>B</t>
        </is>
      </c>
      <c r="G1075" s="14" t="n">
        <v>0</v>
      </c>
      <c r="H1075" s="14" t="n">
        <v>-29711.94</v>
      </c>
      <c r="I1075" s="14" t="n"/>
      <c r="J1075" s="14" t="n">
        <v>-29711.94</v>
      </c>
      <c r="K1075" s="21" t="n">
        <v>46165.34422453704</v>
      </c>
      <c r="L1075" s="21" t="n"/>
      <c r="M1075" s="8" t="inlineStr"/>
      <c r="N1075" s="8" t="inlineStr">
        <is>
          <t>Бухгалтер: выгрузить акт</t>
        </is>
      </c>
      <c r="O1075" s="8" t="inlineStr"/>
      <c r="P1075" s="12" t="inlineStr">
        <is>
          <t>Операция есть в ETM, а акт 1С за этот (или следующий) месяц не выгружен — сначала получить акт</t>
        </is>
      </c>
      <c r="Q1075" s="8" t="inlineStr">
        <is>
          <t>57310222</t>
        </is>
      </c>
    </row>
    <row r="1076">
      <c r="A1076" s="8" t="inlineStr">
        <is>
          <t>G07871</t>
        </is>
      </c>
      <c r="B1076" s="8" t="inlineStr">
        <is>
          <t>ИП Асанов К. Б.</t>
        </is>
      </c>
      <c r="C1076" s="8" t="inlineStr">
        <is>
          <t>2476319525</t>
        </is>
      </c>
      <c r="D1076" s="8" t="inlineStr">
        <is>
          <t>ETM, акт 1С за месяц не выгружен</t>
        </is>
      </c>
      <c r="E1076" s="8" t="inlineStr">
        <is>
          <t>Выгрузка 1С</t>
        </is>
      </c>
      <c r="F1076" s="8" t="inlineStr">
        <is>
          <t>B</t>
        </is>
      </c>
      <c r="G1076" s="14" t="n">
        <v>0</v>
      </c>
      <c r="H1076" s="14" t="n">
        <v>-29605.12</v>
      </c>
      <c r="I1076" s="14" t="n">
        <v>29605.118</v>
      </c>
      <c r="J1076" s="14" t="n">
        <v>-29605.12</v>
      </c>
      <c r="K1076" s="21" t="n">
        <v>46074.39262731482</v>
      </c>
      <c r="L1076" s="21" t="n"/>
      <c r="M1076" s="8" t="inlineStr"/>
      <c r="N1076" s="8" t="inlineStr">
        <is>
          <t>Бухгалтер: выгрузить акт</t>
        </is>
      </c>
      <c r="O1076" s="8" t="inlineStr">
        <is>
          <t>k.dzhumaev</t>
        </is>
      </c>
      <c r="P1076" s="12" t="inlineStr">
        <is>
          <t>Операция есть в ETM, а акт 1С за этот (или следующий) месяц не выгружен — сначала получить акт</t>
        </is>
      </c>
      <c r="Q1076" s="8" t="inlineStr">
        <is>
          <t>57102431</t>
        </is>
      </c>
    </row>
    <row r="1077">
      <c r="A1077" s="8" t="inlineStr">
        <is>
          <t>G13587</t>
        </is>
      </c>
      <c r="B1077" s="8" t="inlineStr">
        <is>
          <t>Сыдыков С. У.</t>
        </is>
      </c>
      <c r="C1077" s="8" t="inlineStr">
        <is>
          <t>2559101371</t>
        </is>
      </c>
      <c r="D1077" s="8" t="inlineStr">
        <is>
          <t>ETM, акт 1С за месяц не выгружен</t>
        </is>
      </c>
      <c r="E1077" s="8" t="inlineStr">
        <is>
          <t>Выгрузка 1С</t>
        </is>
      </c>
      <c r="F1077" s="8" t="inlineStr">
        <is>
          <t>B</t>
        </is>
      </c>
      <c r="G1077" s="14" t="n">
        <v>0</v>
      </c>
      <c r="H1077" s="14" t="n">
        <v>-29528.95</v>
      </c>
      <c r="I1077" s="14" t="n">
        <v>29528.95</v>
      </c>
      <c r="J1077" s="14" t="n">
        <v>-29528.95</v>
      </c>
      <c r="K1077" s="21" t="n">
        <v>46159.51667824074</v>
      </c>
      <c r="L1077" s="21" t="n"/>
      <c r="M1077" s="8" t="inlineStr"/>
      <c r="N1077" s="8" t="inlineStr">
        <is>
          <t>Бухгалтер: выгрузить акт</t>
        </is>
      </c>
      <c r="O1077" s="8" t="inlineStr">
        <is>
          <t>k.dzhumaev</t>
        </is>
      </c>
      <c r="P1077" s="12" t="inlineStr">
        <is>
          <t>Операция есть в ETM, а акт 1С за этот (или следующий) месяц не выгружен — сначала получить акт</t>
        </is>
      </c>
      <c r="Q1077" s="8" t="inlineStr">
        <is>
          <t>57293270</t>
        </is>
      </c>
    </row>
    <row r="1078">
      <c r="A1078" s="8" t="inlineStr">
        <is>
          <t>G07166</t>
        </is>
      </c>
      <c r="B1078" s="8" t="inlineStr">
        <is>
          <t>Жибек Эйр</t>
        </is>
      </c>
      <c r="C1078" s="8" t="inlineStr">
        <is>
          <t>2416945404</t>
        </is>
      </c>
      <c r="D1078" s="8" t="inlineStr">
        <is>
          <t>ETM, акт 1С за месяц не выгружен</t>
        </is>
      </c>
      <c r="E1078" s="8" t="inlineStr">
        <is>
          <t>Выгрузка 1С</t>
        </is>
      </c>
      <c r="F1078" s="8" t="inlineStr">
        <is>
          <t>B</t>
        </is>
      </c>
      <c r="G1078" s="14" t="n">
        <v>0</v>
      </c>
      <c r="H1078" s="14" t="n">
        <v>-29500.52</v>
      </c>
      <c r="I1078" s="14" t="n">
        <v>29500.515</v>
      </c>
      <c r="J1078" s="14" t="n">
        <v>-29500.52</v>
      </c>
      <c r="K1078" s="21" t="n">
        <v>46163.4171412037</v>
      </c>
      <c r="L1078" s="21" t="n"/>
      <c r="M1078" s="8" t="inlineStr"/>
      <c r="N1078" s="8" t="inlineStr">
        <is>
          <t>Бухгалтер: выгрузить акт</t>
        </is>
      </c>
      <c r="O1078" s="8" t="inlineStr">
        <is>
          <t>b.isakov</t>
        </is>
      </c>
      <c r="P1078" s="12" t="inlineStr">
        <is>
          <t>Операция есть в ETM, а акт 1С за этот (или следующий) месяц не выгружен — сначала получить акт</t>
        </is>
      </c>
      <c r="Q1078" s="8" t="inlineStr">
        <is>
          <t>57305569</t>
        </is>
      </c>
    </row>
    <row r="1079">
      <c r="A1079" s="8" t="inlineStr">
        <is>
          <t>G07175</t>
        </is>
      </c>
      <c r="B1079" s="8" t="inlineStr">
        <is>
          <t>Жибек Эйр</t>
        </is>
      </c>
      <c r="C1079" s="8" t="inlineStr">
        <is>
          <t>2420843266</t>
        </is>
      </c>
      <c r="D1079" s="8" t="inlineStr">
        <is>
          <t>ETM, акт 1С за месяц не выгружен</t>
        </is>
      </c>
      <c r="E1079" s="8" t="inlineStr">
        <is>
          <t>Выгрузка 1С</t>
        </is>
      </c>
      <c r="F1079" s="8" t="inlineStr">
        <is>
          <t>B</t>
        </is>
      </c>
      <c r="G1079" s="14" t="n">
        <v>0</v>
      </c>
      <c r="H1079" s="14" t="n">
        <v>-29464.88</v>
      </c>
      <c r="I1079" s="14" t="n">
        <v>29464.8782</v>
      </c>
      <c r="J1079" s="14" t="n">
        <v>-29464.88</v>
      </c>
      <c r="K1079" s="21" t="n">
        <v>46159.56796296296</v>
      </c>
      <c r="L1079" s="21" t="n"/>
      <c r="M1079" s="8" t="inlineStr"/>
      <c r="N1079" s="8" t="inlineStr">
        <is>
          <t>Бухгалтер: выгрузить акт</t>
        </is>
      </c>
      <c r="O1079" s="8" t="inlineStr">
        <is>
          <t>n.abdyldaeva</t>
        </is>
      </c>
      <c r="P1079" s="12" t="inlineStr">
        <is>
          <t>Операция есть в ETM, а акт 1С за этот (или следующий) месяц не выгружен — сначала получить акт</t>
        </is>
      </c>
      <c r="Q1079" s="8" t="inlineStr">
        <is>
          <t>57292046</t>
        </is>
      </c>
    </row>
    <row r="1080">
      <c r="A1080" s="8" t="inlineStr">
        <is>
          <t>G07192</t>
        </is>
      </c>
      <c r="B1080" s="8" t="inlineStr">
        <is>
          <t>Жибек Эйр</t>
        </is>
      </c>
      <c r="C1080" s="8" t="inlineStr">
        <is>
          <t>2420846570</t>
        </is>
      </c>
      <c r="D1080" s="8" t="inlineStr">
        <is>
          <t>ETM, акт 1С за месяц не выгружен</t>
        </is>
      </c>
      <c r="E1080" s="8" t="inlineStr">
        <is>
          <t>Выгрузка 1С</t>
        </is>
      </c>
      <c r="F1080" s="8" t="inlineStr">
        <is>
          <t>B</t>
        </is>
      </c>
      <c r="G1080" s="14" t="n">
        <v>0</v>
      </c>
      <c r="H1080" s="14" t="n">
        <v>-29459.47</v>
      </c>
      <c r="I1080" s="14" t="n">
        <v>29459.4681</v>
      </c>
      <c r="J1080" s="14" t="n">
        <v>-29459.47</v>
      </c>
      <c r="K1080" s="21" t="n">
        <v>46148.48954861111</v>
      </c>
      <c r="L1080" s="21" t="n"/>
      <c r="M1080" s="8" t="inlineStr"/>
      <c r="N1080" s="8" t="inlineStr">
        <is>
          <t>Бухгалтер: выгрузить акт</t>
        </is>
      </c>
      <c r="O1080" s="8" t="inlineStr">
        <is>
          <t>r.sydykov</t>
        </is>
      </c>
      <c r="P1080" s="12" t="inlineStr">
        <is>
          <t>Операция есть в ETM, а акт 1С за этот (или следующий) месяц не выгружен — сначала получить акт</t>
        </is>
      </c>
      <c r="Q1080" s="8" t="inlineStr">
        <is>
          <t>57258921</t>
        </is>
      </c>
    </row>
    <row r="1081">
      <c r="A1081" s="8" t="inlineStr">
        <is>
          <t>G08470</t>
        </is>
      </c>
      <c r="B1081" s="8" t="inlineStr">
        <is>
          <t>ИП Муратов Э. У.</t>
        </is>
      </c>
      <c r="C1081" s="8" t="inlineStr">
        <is>
          <t>2559098853</t>
        </is>
      </c>
      <c r="D1081" s="8" t="inlineStr">
        <is>
          <t>ETM, акт 1С за месяц не выгружен</t>
        </is>
      </c>
      <c r="E1081" s="8" t="inlineStr">
        <is>
          <t>Выгрузка 1С</t>
        </is>
      </c>
      <c r="F1081" s="8" t="inlineStr">
        <is>
          <t>B</t>
        </is>
      </c>
      <c r="G1081" s="14" t="n">
        <v>0</v>
      </c>
      <c r="H1081" s="14" t="n">
        <v>-29330.88</v>
      </c>
      <c r="I1081" s="14" t="n">
        <v>29330.88</v>
      </c>
      <c r="J1081" s="14" t="n">
        <v>-29330.88</v>
      </c>
      <c r="K1081" s="21" t="n">
        <v>46105.47456018518</v>
      </c>
      <c r="L1081" s="21" t="n"/>
      <c r="M1081" s="8" t="inlineStr"/>
      <c r="N1081" s="8" t="inlineStr">
        <is>
          <t>Бухгалтер: выгрузить акт</t>
        </is>
      </c>
      <c r="O1081" s="8" t="inlineStr">
        <is>
          <t>n.abdyldaeva</t>
        </is>
      </c>
      <c r="P1081" s="12" t="inlineStr">
        <is>
          <t>Операция есть в ETM, а акт 1С за этот (или следующий) месяц не выгружен — сначала получить акт</t>
        </is>
      </c>
      <c r="Q1081" s="8" t="inlineStr">
        <is>
          <t>57167887</t>
        </is>
      </c>
    </row>
    <row r="1082">
      <c r="A1082" s="8" t="inlineStr">
        <is>
          <t>G10001</t>
        </is>
      </c>
      <c r="B1082" s="8" t="inlineStr">
        <is>
          <t>МУРАС ТРИП</t>
        </is>
      </c>
      <c r="C1082" s="8" t="inlineStr">
        <is>
          <t>2559103533</t>
        </is>
      </c>
      <c r="D1082" s="8" t="inlineStr">
        <is>
          <t>ETM, акт 1С за месяц не выгружен</t>
        </is>
      </c>
      <c r="E1082" s="8" t="inlineStr">
        <is>
          <t>Выгрузка 1С</t>
        </is>
      </c>
      <c r="F1082" s="8" t="inlineStr">
        <is>
          <t>B</t>
        </is>
      </c>
      <c r="G1082" s="14" t="n">
        <v>0</v>
      </c>
      <c r="H1082" s="14" t="n">
        <v>-29142.3</v>
      </c>
      <c r="I1082" s="14" t="n">
        <v>29142.3</v>
      </c>
      <c r="J1082" s="14" t="n">
        <v>-29142.3</v>
      </c>
      <c r="K1082" s="21" t="n">
        <v>46179.64280092593</v>
      </c>
      <c r="L1082" s="21" t="n"/>
      <c r="M1082" s="8" t="inlineStr"/>
      <c r="N1082" s="8" t="inlineStr">
        <is>
          <t>Бухгалтер: выгрузить акт</t>
        </is>
      </c>
      <c r="O1082" s="8" t="inlineStr">
        <is>
          <t>e.satarov</t>
        </is>
      </c>
      <c r="P1082" s="12" t="inlineStr">
        <is>
          <t>Операция есть в ETM, а акт 1С за этот (или следующий) месяц не выгружен — сначала получить акт</t>
        </is>
      </c>
      <c r="Q1082" s="8" t="inlineStr">
        <is>
          <t>57347565</t>
        </is>
      </c>
    </row>
    <row r="1083">
      <c r="A1083" s="8" t="inlineStr">
        <is>
          <t>G13358</t>
        </is>
      </c>
      <c r="B1083" s="8" t="inlineStr">
        <is>
          <t>Сатар уулу Санжар</t>
        </is>
      </c>
      <c r="C1083" s="8" t="inlineStr">
        <is>
          <t>2559102070</t>
        </is>
      </c>
      <c r="D1083" s="8" t="inlineStr">
        <is>
          <t>ETM, акт 1С за месяц не выгружен</t>
        </is>
      </c>
      <c r="E1083" s="8" t="inlineStr">
        <is>
          <t>Выгрузка 1С</t>
        </is>
      </c>
      <c r="F1083" s="8" t="inlineStr">
        <is>
          <t>B</t>
        </is>
      </c>
      <c r="G1083" s="14" t="n">
        <v>0</v>
      </c>
      <c r="H1083" s="14" t="n">
        <v>-29121.3</v>
      </c>
      <c r="I1083" s="14" t="n"/>
      <c r="J1083" s="14" t="n">
        <v>-29121.3</v>
      </c>
      <c r="K1083" s="21" t="n">
        <v>46128.60056712963</v>
      </c>
      <c r="L1083" s="21" t="n"/>
      <c r="M1083" s="8" t="inlineStr"/>
      <c r="N1083" s="8" t="inlineStr">
        <is>
          <t>Бухгалтер: выгрузить акт</t>
        </is>
      </c>
      <c r="O1083" s="8" t="inlineStr"/>
      <c r="P1083" s="12" t="inlineStr">
        <is>
          <t>Операция есть в ETM, а акт 1С за этот (или следующий) месяц не выгружен — сначала получить акт</t>
        </is>
      </c>
      <c r="Q1083" s="8" t="inlineStr">
        <is>
          <t>57210921</t>
        </is>
      </c>
    </row>
    <row r="1084">
      <c r="A1084" s="8" t="inlineStr">
        <is>
          <t>G07118</t>
        </is>
      </c>
      <c r="B1084" s="8" t="inlineStr">
        <is>
          <t>Жибек Вояж</t>
        </is>
      </c>
      <c r="C1084" s="8" t="inlineStr">
        <is>
          <t>2552670756</t>
        </is>
      </c>
      <c r="D1084" s="8" t="inlineStr">
        <is>
          <t>ETM, акт 1С за месяц не выгружен</t>
        </is>
      </c>
      <c r="E1084" s="8" t="inlineStr">
        <is>
          <t>Выгрузка 1С</t>
        </is>
      </c>
      <c r="F1084" s="8" t="inlineStr">
        <is>
          <t>B</t>
        </is>
      </c>
      <c r="G1084" s="14" t="n">
        <v>0</v>
      </c>
      <c r="H1084" s="14" t="n">
        <v>-29094.62</v>
      </c>
      <c r="I1084" s="14" t="n"/>
      <c r="J1084" s="14" t="n">
        <v>-29094.62</v>
      </c>
      <c r="K1084" s="21" t="n">
        <v>46125.76313657407</v>
      </c>
      <c r="L1084" s="21" t="n"/>
      <c r="M1084" s="8" t="inlineStr"/>
      <c r="N1084" s="8" t="inlineStr">
        <is>
          <t>Бухгалтер: выгрузить акт</t>
        </is>
      </c>
      <c r="O1084" s="8" t="inlineStr"/>
      <c r="P1084" s="12" t="inlineStr">
        <is>
          <t>Операция есть в ETM, а акт 1С за этот (или следующий) месяц не выгружен — сначала получить акт</t>
        </is>
      </c>
      <c r="Q1084" s="8" t="inlineStr">
        <is>
          <t>57205373</t>
        </is>
      </c>
    </row>
    <row r="1085">
      <c r="A1085" s="8" t="inlineStr">
        <is>
          <t>G08320</t>
        </is>
      </c>
      <c r="B1085" s="8" t="inlineStr">
        <is>
          <t>ИП Муратов Э. У.</t>
        </is>
      </c>
      <c r="C1085" s="8" t="inlineStr">
        <is>
          <t>2416941193</t>
        </is>
      </c>
      <c r="D1085" s="8" t="inlineStr">
        <is>
          <t>ETM, акт 1С за месяц не выгружен</t>
        </is>
      </c>
      <c r="E1085" s="8" t="inlineStr">
        <is>
          <t>Выгрузка 1С</t>
        </is>
      </c>
      <c r="F1085" s="8" t="inlineStr">
        <is>
          <t>B</t>
        </is>
      </c>
      <c r="G1085" s="14" t="n">
        <v>0</v>
      </c>
      <c r="H1085" s="14" t="n">
        <v>-28929.6</v>
      </c>
      <c r="I1085" s="14" t="n">
        <v>28929.6</v>
      </c>
      <c r="J1085" s="14" t="n">
        <v>-28929.6</v>
      </c>
      <c r="K1085" s="21" t="n">
        <v>46101.43949074074</v>
      </c>
      <c r="L1085" s="21" t="n"/>
      <c r="M1085" s="8" t="inlineStr"/>
      <c r="N1085" s="8" t="inlineStr">
        <is>
          <t>Бухгалтер: выгрузить акт</t>
        </is>
      </c>
      <c r="O1085" s="8" t="inlineStr">
        <is>
          <t>d.mambetova</t>
        </is>
      </c>
      <c r="P1085" s="12" t="inlineStr">
        <is>
          <t>Операция есть в ETM, а акт 1С за этот (или следующий) месяц не выгружен — сначала получить акт</t>
        </is>
      </c>
      <c r="Q1085" s="8" t="inlineStr">
        <is>
          <t>57159574</t>
        </is>
      </c>
    </row>
    <row r="1086">
      <c r="A1086" s="8" t="inlineStr">
        <is>
          <t>G13238</t>
        </is>
      </c>
      <c r="B1086" s="8" t="inlineStr">
        <is>
          <t>Сатар уулу Санжар</t>
        </is>
      </c>
      <c r="C1086" s="8" t="inlineStr">
        <is>
          <t>2476318323</t>
        </is>
      </c>
      <c r="D1086" s="8" t="inlineStr">
        <is>
          <t>ETM, акт 1С за месяц не выгружен</t>
        </is>
      </c>
      <c r="E1086" s="8" t="inlineStr">
        <is>
          <t>Выгрузка 1С</t>
        </is>
      </c>
      <c r="F1086" s="8" t="inlineStr">
        <is>
          <t>B</t>
        </is>
      </c>
      <c r="G1086" s="14" t="n">
        <v>0</v>
      </c>
      <c r="H1086" s="14" t="n">
        <v>-28377.4</v>
      </c>
      <c r="I1086" s="14" t="n"/>
      <c r="J1086" s="14" t="n">
        <v>-28377.4</v>
      </c>
      <c r="K1086" s="21" t="n">
        <v>46195.3371412037</v>
      </c>
      <c r="L1086" s="21" t="n"/>
      <c r="M1086" s="8" t="inlineStr"/>
      <c r="N1086" s="8" t="inlineStr">
        <is>
          <t>Бухгалтер: выгрузить акт</t>
        </is>
      </c>
      <c r="O1086" s="8" t="inlineStr"/>
      <c r="P1086" s="12" t="inlineStr">
        <is>
          <t>Операция есть в ETM, а акт 1С за этот (или следующий) месяц не выгружен — сначала получить акт</t>
        </is>
      </c>
      <c r="Q1086" s="8" t="inlineStr">
        <is>
          <t>57390349</t>
        </is>
      </c>
    </row>
    <row r="1087">
      <c r="A1087" s="8" t="inlineStr">
        <is>
          <t>G12942</t>
        </is>
      </c>
      <c r="B1087" s="8" t="inlineStr">
        <is>
          <t>Сатар уулу Санжар</t>
        </is>
      </c>
      <c r="C1087" s="8" t="inlineStr">
        <is>
          <t>2420845114</t>
        </is>
      </c>
      <c r="D1087" s="8" t="inlineStr">
        <is>
          <t>ETM, акт 1С за месяц не выгружен</t>
        </is>
      </c>
      <c r="E1087" s="8" t="inlineStr">
        <is>
          <t>Выгрузка 1С</t>
        </is>
      </c>
      <c r="F1087" s="8" t="inlineStr">
        <is>
          <t>B</t>
        </is>
      </c>
      <c r="G1087" s="14" t="n">
        <v>0</v>
      </c>
      <c r="H1087" s="14" t="n">
        <v>-28344.08</v>
      </c>
      <c r="I1087" s="14" t="n"/>
      <c r="J1087" s="14" t="n">
        <v>-28344.08</v>
      </c>
      <c r="K1087" s="21" t="n">
        <v>46134.62608796296</v>
      </c>
      <c r="L1087" s="21" t="n"/>
      <c r="M1087" s="8" t="inlineStr"/>
      <c r="N1087" s="8" t="inlineStr">
        <is>
          <t>Бухгалтер: выгрузить акт</t>
        </is>
      </c>
      <c r="O1087" s="8" t="inlineStr"/>
      <c r="P1087" s="12" t="inlineStr">
        <is>
          <t>Операция есть в ETM, а акт 1С за этот (или следующий) месяц не выгружен — сначала получить акт</t>
        </is>
      </c>
      <c r="Q1087" s="8" t="inlineStr">
        <is>
          <t>57221922</t>
        </is>
      </c>
    </row>
    <row r="1088">
      <c r="A1088" s="8" t="inlineStr">
        <is>
          <t>G14331</t>
        </is>
      </c>
      <c r="B1088" s="8" t="inlineStr">
        <is>
          <t>ЧОЛПОН ТУР</t>
        </is>
      </c>
      <c r="C1088" s="8" t="inlineStr">
        <is>
          <t>2476320069</t>
        </is>
      </c>
      <c r="D1088" s="8" t="inlineStr">
        <is>
          <t>ETM, акт 1С за месяц не выгружен</t>
        </is>
      </c>
      <c r="E1088" s="8" t="inlineStr">
        <is>
          <t>Выгрузка 1С</t>
        </is>
      </c>
      <c r="F1088" s="8" t="inlineStr">
        <is>
          <t>B</t>
        </is>
      </c>
      <c r="G1088" s="14" t="n">
        <v>0</v>
      </c>
      <c r="H1088" s="14" t="n">
        <v>-28262.67</v>
      </c>
      <c r="I1088" s="14" t="n"/>
      <c r="J1088" s="14" t="n">
        <v>-28262.67</v>
      </c>
      <c r="K1088" s="21" t="n">
        <v>46122.63975694445</v>
      </c>
      <c r="L1088" s="21" t="n"/>
      <c r="M1088" s="8" t="inlineStr"/>
      <c r="N1088" s="8" t="inlineStr">
        <is>
          <t>Бухгалтер: выгрузить акт</t>
        </is>
      </c>
      <c r="O1088" s="8" t="inlineStr"/>
      <c r="P1088" s="12" t="inlineStr">
        <is>
          <t>Операция есть в ETM, а акт 1С за этот (или следующий) месяц не выгружен — сначала получить акт</t>
        </is>
      </c>
      <c r="Q1088" s="8" t="inlineStr">
        <is>
          <t>57201672</t>
        </is>
      </c>
    </row>
    <row r="1089">
      <c r="A1089" s="8" t="inlineStr">
        <is>
          <t>G08917</t>
        </is>
      </c>
      <c r="B1089" s="8" t="inlineStr">
        <is>
          <t>ИССЫК ТРИП</t>
        </is>
      </c>
      <c r="C1089" s="8" t="inlineStr">
        <is>
          <t>2420843941</t>
        </is>
      </c>
      <c r="D1089" s="8" t="inlineStr">
        <is>
          <t>ETM, акт 1С за месяц не выгружен</t>
        </is>
      </c>
      <c r="E1089" s="8" t="inlineStr">
        <is>
          <t>Выгрузка 1С</t>
        </is>
      </c>
      <c r="F1089" s="8" t="inlineStr">
        <is>
          <t>B</t>
        </is>
      </c>
      <c r="G1089" s="14" t="n">
        <v>0</v>
      </c>
      <c r="H1089" s="14" t="n">
        <v>-28176.06</v>
      </c>
      <c r="I1089" s="14" t="n"/>
      <c r="J1089" s="14" t="n">
        <v>-28176.06</v>
      </c>
      <c r="K1089" s="21" t="n">
        <v>46064.37325231481</v>
      </c>
      <c r="L1089" s="21" t="n"/>
      <c r="M1089" s="8" t="inlineStr"/>
      <c r="N1089" s="8" t="inlineStr">
        <is>
          <t>Бухгалтер: выгрузить акт</t>
        </is>
      </c>
      <c r="O1089" s="8" t="inlineStr"/>
      <c r="P1089" s="12" t="inlineStr">
        <is>
          <t>Операция есть в ETM, а акт 1С за этот (или следующий) месяц не выгружен — сначала получить акт</t>
        </is>
      </c>
      <c r="Q1089" s="8" t="inlineStr">
        <is>
          <t>57084661</t>
        </is>
      </c>
    </row>
    <row r="1090">
      <c r="A1090" s="8" t="inlineStr">
        <is>
          <t>G13205</t>
        </is>
      </c>
      <c r="B1090" s="8" t="inlineStr">
        <is>
          <t>Сатар уулу Санжар</t>
        </is>
      </c>
      <c r="C1090" s="8" t="inlineStr">
        <is>
          <t>2476315676</t>
        </is>
      </c>
      <c r="D1090" s="8" t="inlineStr">
        <is>
          <t>ETM, акт 1С за месяц не выгружен</t>
        </is>
      </c>
      <c r="E1090" s="8" t="inlineStr">
        <is>
          <t>Выгрузка 1С</t>
        </is>
      </c>
      <c r="F1090" s="8" t="inlineStr">
        <is>
          <t>B</t>
        </is>
      </c>
      <c r="G1090" s="14" t="n">
        <v>0</v>
      </c>
      <c r="H1090" s="14" t="n">
        <v>-28115.36</v>
      </c>
      <c r="I1090" s="14" t="n"/>
      <c r="J1090" s="14" t="n">
        <v>-28115.36</v>
      </c>
      <c r="K1090" s="21" t="n">
        <v>46195.34908564815</v>
      </c>
      <c r="L1090" s="21" t="n"/>
      <c r="M1090" s="8" t="inlineStr"/>
      <c r="N1090" s="8" t="inlineStr">
        <is>
          <t>Бухгалтер: выгрузить акт</t>
        </is>
      </c>
      <c r="O1090" s="8" t="inlineStr"/>
      <c r="P1090" s="12" t="inlineStr">
        <is>
          <t>Операция есть в ETM, а акт 1С за этот (или следующий) месяц не выгружен — сначала получить акт</t>
        </is>
      </c>
      <c r="Q1090" s="8" t="inlineStr">
        <is>
          <t>57389234</t>
        </is>
      </c>
    </row>
    <row r="1091">
      <c r="A1091" s="8" t="inlineStr">
        <is>
          <t>G14042</t>
        </is>
      </c>
      <c r="B1091" s="8" t="inlineStr">
        <is>
          <t>Тянь-Шань Тур</t>
        </is>
      </c>
      <c r="C1091" s="8" t="inlineStr">
        <is>
          <t>2559102156</t>
        </is>
      </c>
      <c r="D1091" s="8" t="inlineStr">
        <is>
          <t>ETM, акт 1С за месяц не выгружен</t>
        </is>
      </c>
      <c r="E1091" s="8" t="inlineStr">
        <is>
          <t>Выгрузка 1С</t>
        </is>
      </c>
      <c r="F1091" s="8" t="inlineStr">
        <is>
          <t>B</t>
        </is>
      </c>
      <c r="G1091" s="14" t="n">
        <v>0</v>
      </c>
      <c r="H1091" s="14" t="n">
        <v>-27956.97</v>
      </c>
      <c r="I1091" s="14" t="n"/>
      <c r="J1091" s="14" t="n">
        <v>-27956.97</v>
      </c>
      <c r="K1091" s="21" t="n">
        <v>46155.70859953704</v>
      </c>
      <c r="L1091" s="21" t="n"/>
      <c r="M1091" s="8" t="inlineStr"/>
      <c r="N1091" s="8" t="inlineStr">
        <is>
          <t>Бухгалтер: выгрузить акт</t>
        </is>
      </c>
      <c r="O1091" s="8" t="inlineStr"/>
      <c r="P1091" s="12" t="inlineStr">
        <is>
          <t>Операция есть в ETM, а акт 1С за этот (или следующий) месяц не выгружен — сначала получить акт</t>
        </is>
      </c>
      <c r="Q1091" s="8" t="inlineStr">
        <is>
          <t>57280473</t>
        </is>
      </c>
    </row>
    <row r="1092">
      <c r="A1092" s="8" t="inlineStr">
        <is>
          <t>G14043</t>
        </is>
      </c>
      <c r="B1092" s="8" t="inlineStr">
        <is>
          <t>Тянь-Шань Тур</t>
        </is>
      </c>
      <c r="C1092" s="8" t="inlineStr">
        <is>
          <t>2559102157</t>
        </is>
      </c>
      <c r="D1092" s="8" t="inlineStr">
        <is>
          <t>ETM, акт 1С за месяц не выгружен</t>
        </is>
      </c>
      <c r="E1092" s="8" t="inlineStr">
        <is>
          <t>Выгрузка 1С</t>
        </is>
      </c>
      <c r="F1092" s="8" t="inlineStr">
        <is>
          <t>B</t>
        </is>
      </c>
      <c r="G1092" s="14" t="n">
        <v>0</v>
      </c>
      <c r="H1092" s="14" t="n">
        <v>-27956.97</v>
      </c>
      <c r="I1092" s="14" t="n"/>
      <c r="J1092" s="14" t="n">
        <v>-27956.97</v>
      </c>
      <c r="K1092" s="21" t="n">
        <v>46155.41958333334</v>
      </c>
      <c r="L1092" s="21" t="n"/>
      <c r="M1092" s="8" t="inlineStr"/>
      <c r="N1092" s="8" t="inlineStr">
        <is>
          <t>Бухгалтер: выгрузить акт</t>
        </is>
      </c>
      <c r="O1092" s="8" t="inlineStr"/>
      <c r="P1092" s="12" t="inlineStr">
        <is>
          <t>Операция есть в ETM, а акт 1С за этот (или следующий) месяц не выгружен — сначала получить акт</t>
        </is>
      </c>
      <c r="Q1092" s="8" t="inlineStr">
        <is>
          <t>57280489</t>
        </is>
      </c>
    </row>
    <row r="1093">
      <c r="A1093" s="8" t="inlineStr">
        <is>
          <t>G14044</t>
        </is>
      </c>
      <c r="B1093" s="8" t="inlineStr">
        <is>
          <t>Тянь-Шань Тур</t>
        </is>
      </c>
      <c r="C1093" s="8" t="inlineStr">
        <is>
          <t>2559102158</t>
        </is>
      </c>
      <c r="D1093" s="8" t="inlineStr">
        <is>
          <t>ETM, акт 1С за месяц не выгружен</t>
        </is>
      </c>
      <c r="E1093" s="8" t="inlineStr">
        <is>
          <t>Выгрузка 1С</t>
        </is>
      </c>
      <c r="F1093" s="8" t="inlineStr">
        <is>
          <t>B</t>
        </is>
      </c>
      <c r="G1093" s="14" t="n">
        <v>0</v>
      </c>
      <c r="H1093" s="14" t="n">
        <v>-27956.97</v>
      </c>
      <c r="I1093" s="14" t="n"/>
      <c r="J1093" s="14" t="n">
        <v>-27956.97</v>
      </c>
      <c r="K1093" s="21" t="n">
        <v>46155.51351851852</v>
      </c>
      <c r="L1093" s="21" t="n"/>
      <c r="M1093" s="8" t="inlineStr"/>
      <c r="N1093" s="8" t="inlineStr">
        <is>
          <t>Бухгалтер: выгрузить акт</t>
        </is>
      </c>
      <c r="O1093" s="8" t="inlineStr"/>
      <c r="P1093" s="12" t="inlineStr">
        <is>
          <t>Операция есть в ETM, а акт 1С за этот (или следующий) месяц не выгружен — сначала получить акт</t>
        </is>
      </c>
      <c r="Q1093" s="8" t="inlineStr">
        <is>
          <t>57280527</t>
        </is>
      </c>
    </row>
    <row r="1094">
      <c r="A1094" s="8" t="inlineStr">
        <is>
          <t>G09215</t>
        </is>
      </c>
      <c r="B1094" s="8" t="inlineStr">
        <is>
          <t>ИССЫК ТРИП</t>
        </is>
      </c>
      <c r="C1094" s="8" t="inlineStr">
        <is>
          <t>2476316940</t>
        </is>
      </c>
      <c r="D1094" s="8" t="inlineStr">
        <is>
          <t>ETM, акт 1С за месяц не выгружен</t>
        </is>
      </c>
      <c r="E1094" s="8" t="inlineStr">
        <is>
          <t>Выгрузка 1С</t>
        </is>
      </c>
      <c r="F1094" s="8" t="inlineStr">
        <is>
          <t>B</t>
        </is>
      </c>
      <c r="G1094" s="14" t="n">
        <v>0</v>
      </c>
      <c r="H1094" s="14" t="n">
        <v>-27871.57</v>
      </c>
      <c r="I1094" s="14" t="n">
        <v>27871.57</v>
      </c>
      <c r="J1094" s="14" t="n">
        <v>-27871.57</v>
      </c>
      <c r="K1094" s="21" t="n">
        <v>46070.48190972222</v>
      </c>
      <c r="L1094" s="21" t="n"/>
      <c r="M1094" s="8" t="inlineStr"/>
      <c r="N1094" s="8" t="inlineStr">
        <is>
          <t>Бухгалтер: выгрузить акт</t>
        </is>
      </c>
      <c r="O1094" s="8" t="inlineStr">
        <is>
          <t>e.satarov</t>
        </is>
      </c>
      <c r="P1094" s="12" t="inlineStr">
        <is>
          <t>Операция есть в ETM, а акт 1С за этот (или следующий) месяц не выгружен — сначала получить акт</t>
        </is>
      </c>
      <c r="Q1094" s="8" t="inlineStr">
        <is>
          <t>57095023</t>
        </is>
      </c>
    </row>
    <row r="1095">
      <c r="A1095" s="8" t="inlineStr">
        <is>
          <t>G14456</t>
        </is>
      </c>
      <c r="B1095" s="8" t="inlineStr">
        <is>
          <t>Чолпон Тревел</t>
        </is>
      </c>
      <c r="C1095" s="8" t="inlineStr">
        <is>
          <t>2416943264</t>
        </is>
      </c>
      <c r="D1095" s="8" t="inlineStr">
        <is>
          <t>ETM, акт 1С за месяц не выгружен</t>
        </is>
      </c>
      <c r="E1095" s="8" t="inlineStr">
        <is>
          <t>Выгрузка 1С</t>
        </is>
      </c>
      <c r="F1095" s="8" t="inlineStr">
        <is>
          <t>B</t>
        </is>
      </c>
      <c r="G1095" s="14" t="n">
        <v>0</v>
      </c>
      <c r="H1095" s="14" t="n">
        <v>-27753.37</v>
      </c>
      <c r="I1095" s="14" t="n">
        <v>27753.37</v>
      </c>
      <c r="J1095" s="14" t="n">
        <v>-27753.37</v>
      </c>
      <c r="K1095" s="21" t="n">
        <v>46120.74178240741</v>
      </c>
      <c r="L1095" s="21" t="n"/>
      <c r="M1095" s="8" t="inlineStr"/>
      <c r="N1095" s="8" t="inlineStr">
        <is>
          <t>Бухгалтер: выгрузить акт</t>
        </is>
      </c>
      <c r="O1095" s="8" t="inlineStr">
        <is>
          <t>a.toktosunova</t>
        </is>
      </c>
      <c r="P1095" s="12" t="inlineStr">
        <is>
          <t>Операция есть в ETM, а акт 1С за этот (или следующий) месяц не выгружен — сначала получить акт</t>
        </is>
      </c>
      <c r="Q1095" s="8" t="inlineStr">
        <is>
          <t>57196814</t>
        </is>
      </c>
    </row>
    <row r="1096">
      <c r="A1096" s="8" t="inlineStr">
        <is>
          <t>G10663</t>
        </is>
      </c>
      <c r="B1096" s="8" t="inlineStr">
        <is>
          <t>Манас Туризм</t>
        </is>
      </c>
      <c r="C1096" s="8" t="inlineStr">
        <is>
          <t>2460735194|2460735197</t>
        </is>
      </c>
      <c r="D1096" s="8" t="inlineStr">
        <is>
          <t>ETM, акт 1С за месяц не выгружен</t>
        </is>
      </c>
      <c r="E1096" s="8" t="inlineStr">
        <is>
          <t>Выгрузка 1С</t>
        </is>
      </c>
      <c r="F1096" s="8" t="inlineStr">
        <is>
          <t>B</t>
        </is>
      </c>
      <c r="G1096" s="14" t="n">
        <v>0</v>
      </c>
      <c r="H1096" s="14" t="n">
        <v>-27752</v>
      </c>
      <c r="I1096" s="14" t="n">
        <v>27752</v>
      </c>
      <c r="J1096" s="14" t="n">
        <v>-27752</v>
      </c>
      <c r="K1096" s="21" t="n">
        <v>46202.35086805555</v>
      </c>
      <c r="L1096" s="21" t="n"/>
      <c r="M1096" s="8" t="inlineStr"/>
      <c r="N1096" s="8" t="inlineStr">
        <is>
          <t>Бухгалтер: выгрузить акт</t>
        </is>
      </c>
      <c r="O1096" s="8" t="inlineStr">
        <is>
          <t>k.dzhumaev</t>
        </is>
      </c>
      <c r="P1096" s="12" t="inlineStr">
        <is>
          <t>Операция есть в ETM, а акт 1С за этот (или следующий) месяц не выгружен — сначала получить акт</t>
        </is>
      </c>
      <c r="Q1096" s="8" t="inlineStr">
        <is>
          <t>57411580</t>
        </is>
      </c>
    </row>
    <row r="1097">
      <c r="A1097" s="8" t="inlineStr">
        <is>
          <t>G14491</t>
        </is>
      </c>
      <c r="B1097" s="8" t="inlineStr">
        <is>
          <t>Чолпон Тревел</t>
        </is>
      </c>
      <c r="C1097" s="8" t="inlineStr">
        <is>
          <t>2476316374</t>
        </is>
      </c>
      <c r="D1097" s="8" t="inlineStr">
        <is>
          <t>ETM, акт 1С за месяц не выгружен</t>
        </is>
      </c>
      <c r="E1097" s="8" t="inlineStr">
        <is>
          <t>Выгрузка 1С</t>
        </is>
      </c>
      <c r="F1097" s="8" t="inlineStr">
        <is>
          <t>B</t>
        </is>
      </c>
      <c r="G1097" s="14" t="n">
        <v>0</v>
      </c>
      <c r="H1097" s="14" t="n">
        <v>-27456.88</v>
      </c>
      <c r="I1097" s="14" t="n">
        <v>27456.88</v>
      </c>
      <c r="J1097" s="14" t="n">
        <v>-27456.88</v>
      </c>
      <c r="K1097" s="21" t="n">
        <v>46171.79482638889</v>
      </c>
      <c r="L1097" s="21" t="n"/>
      <c r="M1097" s="8" t="inlineStr"/>
      <c r="N1097" s="8" t="inlineStr">
        <is>
          <t>Бухгалтер: выгрузить акт</t>
        </is>
      </c>
      <c r="O1097" s="8" t="inlineStr">
        <is>
          <t>a.toktosunova</t>
        </is>
      </c>
      <c r="P1097" s="12" t="inlineStr">
        <is>
          <t>Операция есть в ETM, а акт 1С за этот (или следующий) месяц не выгружен — сначала получить акт</t>
        </is>
      </c>
      <c r="Q1097" s="8" t="inlineStr">
        <is>
          <t>57325917</t>
        </is>
      </c>
    </row>
    <row r="1098">
      <c r="A1098" s="8" t="inlineStr">
        <is>
          <t>G13570</t>
        </is>
      </c>
      <c r="B1098" s="8" t="inlineStr">
        <is>
          <t>Сыдыков С. У.</t>
        </is>
      </c>
      <c r="C1098" s="8" t="inlineStr">
        <is>
          <t>2552669864</t>
        </is>
      </c>
      <c r="D1098" s="8" t="inlineStr">
        <is>
          <t>ETM, акт 1С за месяц не выгружен</t>
        </is>
      </c>
      <c r="E1098" s="8" t="inlineStr">
        <is>
          <t>Выгрузка 1С</t>
        </is>
      </c>
      <c r="F1098" s="8" t="inlineStr">
        <is>
          <t>B</t>
        </is>
      </c>
      <c r="G1098" s="14" t="n">
        <v>0</v>
      </c>
      <c r="H1098" s="14" t="n">
        <v>-27408.31</v>
      </c>
      <c r="I1098" s="14" t="n"/>
      <c r="J1098" s="14" t="n">
        <v>-27408.31</v>
      </c>
      <c r="K1098" s="21" t="n">
        <v>46173.51561342592</v>
      </c>
      <c r="L1098" s="21" t="n"/>
      <c r="M1098" s="8" t="inlineStr"/>
      <c r="N1098" s="8" t="inlineStr">
        <is>
          <t>Бухгалтер: выгрузить акт</t>
        </is>
      </c>
      <c r="O1098" s="8" t="inlineStr"/>
      <c r="P1098" s="12" t="inlineStr">
        <is>
          <t>Операция есть в ETM, а акт 1С за этот (или следующий) месяц не выгружен — сначала получить акт</t>
        </is>
      </c>
      <c r="Q1098" s="8" t="inlineStr">
        <is>
          <t>57331125</t>
        </is>
      </c>
    </row>
    <row r="1099">
      <c r="A1099" s="8" t="inlineStr">
        <is>
          <t>G13241</t>
        </is>
      </c>
      <c r="B1099" s="8" t="inlineStr">
        <is>
          <t>Сатар уулу Санжар</t>
        </is>
      </c>
      <c r="C1099" s="8" t="inlineStr">
        <is>
          <t>2476318488</t>
        </is>
      </c>
      <c r="D1099" s="8" t="inlineStr">
        <is>
          <t>ETM, акт 1С за месяц не выгружен</t>
        </is>
      </c>
      <c r="E1099" s="8" t="inlineStr">
        <is>
          <t>Выгрузка 1С</t>
        </is>
      </c>
      <c r="F1099" s="8" t="inlineStr">
        <is>
          <t>B</t>
        </is>
      </c>
      <c r="G1099" s="14" t="n">
        <v>0</v>
      </c>
      <c r="H1099" s="14" t="n">
        <v>-27394.25</v>
      </c>
      <c r="I1099" s="14" t="n">
        <v>27394.25</v>
      </c>
      <c r="J1099" s="14" t="n">
        <v>-27394.25</v>
      </c>
      <c r="K1099" s="21" t="n">
        <v>46124.41101851852</v>
      </c>
      <c r="L1099" s="21" t="n"/>
      <c r="M1099" s="8" t="inlineStr"/>
      <c r="N1099" s="8" t="inlineStr">
        <is>
          <t>Бухгалтер: выгрузить акт</t>
        </is>
      </c>
      <c r="O1099" s="8" t="inlineStr">
        <is>
          <t>a.toktosunova</t>
        </is>
      </c>
      <c r="P1099" s="12" t="inlineStr">
        <is>
          <t>Операция есть в ETM, а акт 1С за этот (или следующий) месяц не выгружен — сначала получить акт</t>
        </is>
      </c>
      <c r="Q1099" s="8" t="inlineStr">
        <is>
          <t>57203873</t>
        </is>
      </c>
    </row>
    <row r="1100">
      <c r="A1100" s="8" t="inlineStr">
        <is>
          <t>G00010</t>
        </is>
      </c>
      <c r="B1100" s="8" t="inlineStr">
        <is>
          <t>Ak-Bulak Voyage</t>
        </is>
      </c>
      <c r="C1100" s="8" t="inlineStr">
        <is>
          <t>2420845933</t>
        </is>
      </c>
      <c r="D1100" s="8" t="inlineStr">
        <is>
          <t>ETM, акт 1С за месяц не выгружен</t>
        </is>
      </c>
      <c r="E1100" s="8" t="inlineStr">
        <is>
          <t>Выгрузка 1С</t>
        </is>
      </c>
      <c r="F1100" s="8" t="inlineStr">
        <is>
          <t>B</t>
        </is>
      </c>
      <c r="G1100" s="14" t="n">
        <v>0</v>
      </c>
      <c r="H1100" s="14" t="n">
        <v>-27331.38</v>
      </c>
      <c r="I1100" s="14" t="n">
        <v>27331.3836</v>
      </c>
      <c r="J1100" s="14" t="n">
        <v>-27331.38</v>
      </c>
      <c r="K1100" s="21" t="n">
        <v>46077.47603009259</v>
      </c>
      <c r="L1100" s="21" t="n"/>
      <c r="M1100" s="8" t="inlineStr"/>
      <c r="N1100" s="8" t="inlineStr">
        <is>
          <t>Бухгалтер: выгрузить акт</t>
        </is>
      </c>
      <c r="O1100" s="8" t="inlineStr">
        <is>
          <t>a.toktosunova</t>
        </is>
      </c>
      <c r="P1100" s="12" t="inlineStr">
        <is>
          <t>Операция есть в ETM, а акт 1С за этот (или следующий) месяц не выгружен — сначала получить акт</t>
        </is>
      </c>
      <c r="Q1100" s="8" t="inlineStr">
        <is>
          <t>57106769</t>
        </is>
      </c>
    </row>
    <row r="1101">
      <c r="A1101" s="8" t="inlineStr">
        <is>
          <t>G13105</t>
        </is>
      </c>
      <c r="B1101" s="8" t="inlineStr">
        <is>
          <t>Сатар уулу Санжар</t>
        </is>
      </c>
      <c r="C1101" s="8" t="inlineStr">
        <is>
          <t>2460737030</t>
        </is>
      </c>
      <c r="D1101" s="8" t="inlineStr">
        <is>
          <t>ETM, акт 1С за месяц не выгружен</t>
        </is>
      </c>
      <c r="E1101" s="8" t="inlineStr">
        <is>
          <t>Выгрузка 1С</t>
        </is>
      </c>
      <c r="F1101" s="8" t="inlineStr">
        <is>
          <t>B</t>
        </is>
      </c>
      <c r="G1101" s="14" t="n">
        <v>0</v>
      </c>
      <c r="H1101" s="14" t="n">
        <v>-27304</v>
      </c>
      <c r="I1101" s="14" t="n">
        <v>13652</v>
      </c>
      <c r="J1101" s="14" t="n">
        <v>-27304</v>
      </c>
      <c r="K1101" s="21" t="n">
        <v>46142.44105324074</v>
      </c>
      <c r="L1101" s="21" t="n"/>
      <c r="M1101" s="8" t="inlineStr"/>
      <c r="N1101" s="8" t="inlineStr">
        <is>
          <t>Бухгалтер: выгрузить акт</t>
        </is>
      </c>
      <c r="O1101" s="8" t="inlineStr">
        <is>
          <t>b.isakov</t>
        </is>
      </c>
      <c r="P1101" s="12" t="inlineStr">
        <is>
          <t>Операция есть в ETM, а акт 1С за этот (или следующий) месяц не выгружен — сначала получить акт</t>
        </is>
      </c>
      <c r="Q1101" s="8" t="inlineStr">
        <is>
          <t>57240182,57240183</t>
        </is>
      </c>
    </row>
    <row r="1102">
      <c r="A1102" s="8" t="inlineStr">
        <is>
          <t>G13584</t>
        </is>
      </c>
      <c r="B1102" s="8" t="inlineStr">
        <is>
          <t>Сыдыков С. У.</t>
        </is>
      </c>
      <c r="C1102" s="8" t="inlineStr">
        <is>
          <t>2559100136</t>
        </is>
      </c>
      <c r="D1102" s="8" t="inlineStr">
        <is>
          <t>ETM, акт 1С за месяц не выгружен</t>
        </is>
      </c>
      <c r="E1102" s="8" t="inlineStr">
        <is>
          <t>Выгрузка 1С</t>
        </is>
      </c>
      <c r="F1102" s="8" t="inlineStr">
        <is>
          <t>B</t>
        </is>
      </c>
      <c r="G1102" s="14" t="n">
        <v>0</v>
      </c>
      <c r="H1102" s="14" t="n">
        <v>-27093.63</v>
      </c>
      <c r="I1102" s="14" t="n"/>
      <c r="J1102" s="14" t="n">
        <v>-27093.63</v>
      </c>
      <c r="K1102" s="21" t="n">
        <v>46146.42971064815</v>
      </c>
      <c r="L1102" s="21" t="n"/>
      <c r="M1102" s="8" t="inlineStr"/>
      <c r="N1102" s="8" t="inlineStr">
        <is>
          <t>Бухгалтер: выгрузить акт</t>
        </is>
      </c>
      <c r="O1102" s="8" t="inlineStr"/>
      <c r="P1102" s="12" t="inlineStr">
        <is>
          <t>Операция есть в ETM, а акт 1С за этот (или следующий) месяц не выгружен — сначала получить акт</t>
        </is>
      </c>
      <c r="Q1102" s="8" t="inlineStr">
        <is>
          <t>57250906</t>
        </is>
      </c>
    </row>
    <row r="1103">
      <c r="A1103" s="8" t="inlineStr">
        <is>
          <t>G14994</t>
        </is>
      </c>
      <c r="B1103" s="8" t="inlineStr">
        <is>
          <t>Ыйык Тур</t>
        </is>
      </c>
      <c r="C1103" s="8" t="inlineStr">
        <is>
          <t>2420848383|2420848385|2420848386</t>
        </is>
      </c>
      <c r="D1103" s="8" t="inlineStr">
        <is>
          <t>Сумма не сходится</t>
        </is>
      </c>
      <c r="E1103" s="8" t="inlineStr">
        <is>
          <t>1С</t>
        </is>
      </c>
      <c r="F1103" s="8" t="inlineStr">
        <is>
          <t>B</t>
        </is>
      </c>
      <c r="G1103" s="14" t="n">
        <v>58406.16</v>
      </c>
      <c r="H1103" s="14" t="n">
        <v>-85406.16</v>
      </c>
      <c r="I1103" s="14" t="n"/>
      <c r="J1103" s="14" t="n">
        <v>-27000</v>
      </c>
      <c r="K1103" s="21" t="n">
        <v>46103.58712962963</v>
      </c>
      <c r="L1103" s="21" t="n">
        <v>46103</v>
      </c>
      <c r="M1103" s="8" t="inlineStr">
        <is>
          <t>TRANSPOSITION</t>
        </is>
      </c>
      <c r="N1103" s="8" t="inlineStr">
        <is>
          <t>Бухгалтер 1С</t>
        </is>
      </c>
      <c r="O1103" s="8" t="inlineStr"/>
      <c r="P1103" s="12" t="inlineStr">
        <is>
          <t>Суммы 1С (58,406.16) и ETM (85,406.16) отличаются перестановкой — похоже на ручную опечатку при вводе акта в 1С (гипотеза, подтвердить у бухгалтера)</t>
        </is>
      </c>
      <c r="Q1103" s="8" t="inlineStr">
        <is>
          <t>57164741</t>
        </is>
      </c>
    </row>
    <row r="1104">
      <c r="A1104" s="8" t="inlineStr">
        <is>
          <t>G07133</t>
        </is>
      </c>
      <c r="B1104" s="8" t="inlineStr">
        <is>
          <t>Жибек Эйр</t>
        </is>
      </c>
      <c r="C1104" s="8" t="inlineStr">
        <is>
          <t>2416941926</t>
        </is>
      </c>
      <c r="D1104" s="8" t="inlineStr">
        <is>
          <t>ETM, акт 1С за месяц не выгружен</t>
        </is>
      </c>
      <c r="E1104" s="8" t="inlineStr">
        <is>
          <t>Выгрузка 1С</t>
        </is>
      </c>
      <c r="F1104" s="8" t="inlineStr">
        <is>
          <t>B</t>
        </is>
      </c>
      <c r="G1104" s="14" t="n">
        <v>0</v>
      </c>
      <c r="H1104" s="14" t="n">
        <v>-26876.6</v>
      </c>
      <c r="I1104" s="14" t="n">
        <v>26876.6</v>
      </c>
      <c r="J1104" s="14" t="n">
        <v>-26876.6</v>
      </c>
      <c r="K1104" s="21" t="n">
        <v>46156.75436342593</v>
      </c>
      <c r="L1104" s="21" t="n"/>
      <c r="M1104" s="8" t="inlineStr"/>
      <c r="N1104" s="8" t="inlineStr">
        <is>
          <t>Бухгалтер: выгрузить акт</t>
        </is>
      </c>
      <c r="O1104" s="8" t="inlineStr">
        <is>
          <t>d.mambetova</t>
        </is>
      </c>
      <c r="P1104" s="12" t="inlineStr">
        <is>
          <t>Операция есть в ETM, а акт 1С за этот (или следующий) месяц не выгружен — сначала получить акт</t>
        </is>
      </c>
      <c r="Q1104" s="8" t="inlineStr">
        <is>
          <t>57283043</t>
        </is>
      </c>
    </row>
    <row r="1105">
      <c r="A1105" s="8" t="inlineStr">
        <is>
          <t>G07169</t>
        </is>
      </c>
      <c r="B1105" s="8" t="inlineStr">
        <is>
          <t>Жибек Эйр</t>
        </is>
      </c>
      <c r="C1105" s="8" t="inlineStr">
        <is>
          <t>2416945774</t>
        </is>
      </c>
      <c r="D1105" s="8" t="inlineStr">
        <is>
          <t>ETM, акт 1С за месяц не выгружен</t>
        </is>
      </c>
      <c r="E1105" s="8" t="inlineStr">
        <is>
          <t>Выгрузка 1С</t>
        </is>
      </c>
      <c r="F1105" s="8" t="inlineStr">
        <is>
          <t>B</t>
        </is>
      </c>
      <c r="G1105" s="14" t="n">
        <v>0</v>
      </c>
      <c r="H1105" s="14" t="n">
        <v>-26764.16</v>
      </c>
      <c r="I1105" s="14" t="n">
        <v>26764.16</v>
      </c>
      <c r="J1105" s="14" t="n">
        <v>-26764.16</v>
      </c>
      <c r="K1105" s="21" t="n">
        <v>46154.48394675926</v>
      </c>
      <c r="L1105" s="21" t="n"/>
      <c r="M1105" s="8" t="inlineStr"/>
      <c r="N1105" s="8" t="inlineStr">
        <is>
          <t>Бухгалтер: выгрузить акт</t>
        </is>
      </c>
      <c r="O1105" s="8" t="inlineStr">
        <is>
          <t>n.abdyldaeva</t>
        </is>
      </c>
      <c r="P1105" s="12" t="inlineStr">
        <is>
          <t>Операция есть в ETM, а акт 1С за этот (или следующий) месяц не выгружен — сначала получить акт</t>
        </is>
      </c>
      <c r="Q1105" s="8" t="inlineStr">
        <is>
          <t>57277654</t>
        </is>
      </c>
    </row>
    <row r="1106">
      <c r="A1106" s="8" t="inlineStr">
        <is>
          <t>G12971</t>
        </is>
      </c>
      <c r="B1106" s="8" t="inlineStr">
        <is>
          <t>Сатар уулу Санжар</t>
        </is>
      </c>
      <c r="C1106" s="8" t="inlineStr">
        <is>
          <t>2420846945</t>
        </is>
      </c>
      <c r="D1106" s="8" t="inlineStr">
        <is>
          <t>ETM, акт 1С за месяц не выгружен</t>
        </is>
      </c>
      <c r="E1106" s="8" t="inlineStr">
        <is>
          <t>Выгрузка 1С</t>
        </is>
      </c>
      <c r="F1106" s="8" t="inlineStr">
        <is>
          <t>B</t>
        </is>
      </c>
      <c r="G1106" s="14" t="n">
        <v>0</v>
      </c>
      <c r="H1106" s="14" t="n">
        <v>-26563.84</v>
      </c>
      <c r="I1106" s="14" t="n">
        <v>26563.8446</v>
      </c>
      <c r="J1106" s="14" t="n">
        <v>-26563.84</v>
      </c>
      <c r="K1106" s="21" t="n">
        <v>46184.77267361111</v>
      </c>
      <c r="L1106" s="21" t="n"/>
      <c r="M1106" s="8" t="inlineStr"/>
      <c r="N1106" s="8" t="inlineStr">
        <is>
          <t>Бухгалтер: выгрузить акт</t>
        </is>
      </c>
      <c r="O1106" s="8" t="inlineStr">
        <is>
          <t>k.dzhumaev</t>
        </is>
      </c>
      <c r="P1106" s="12" t="inlineStr">
        <is>
          <t>Операция есть в ETM, а акт 1С за этот (или следующий) месяц не выгружен — сначала получить акт</t>
        </is>
      </c>
      <c r="Q1106" s="8" t="inlineStr">
        <is>
          <t>57359692</t>
        </is>
      </c>
    </row>
    <row r="1107">
      <c r="A1107" s="8" t="inlineStr">
        <is>
          <t>G07172</t>
        </is>
      </c>
      <c r="B1107" s="8" t="inlineStr">
        <is>
          <t>Жибек Эйр</t>
        </is>
      </c>
      <c r="C1107" s="8" t="inlineStr">
        <is>
          <t>2416946208</t>
        </is>
      </c>
      <c r="D1107" s="8" t="inlineStr">
        <is>
          <t>ETM, акт 1С за месяц не выгружен</t>
        </is>
      </c>
      <c r="E1107" s="8" t="inlineStr">
        <is>
          <t>Выгрузка 1С</t>
        </is>
      </c>
      <c r="F1107" s="8" t="inlineStr">
        <is>
          <t>B</t>
        </is>
      </c>
      <c r="G1107" s="14" t="n">
        <v>0</v>
      </c>
      <c r="H1107" s="14" t="n">
        <v>-26340.6</v>
      </c>
      <c r="I1107" s="14" t="n"/>
      <c r="J1107" s="14" t="n">
        <v>-26340.6</v>
      </c>
      <c r="K1107" s="21" t="n">
        <v>46138.62591435185</v>
      </c>
      <c r="L1107" s="21" t="n"/>
      <c r="M1107" s="8" t="inlineStr"/>
      <c r="N1107" s="8" t="inlineStr">
        <is>
          <t>Бухгалтер: выгрузить акт</t>
        </is>
      </c>
      <c r="O1107" s="8" t="inlineStr"/>
      <c r="P1107" s="12" t="inlineStr">
        <is>
          <t>Операция есть в ETM, а акт 1С за этот (или следующий) месяц не выгружен — сначала получить акт</t>
        </is>
      </c>
      <c r="Q1107" s="8" t="inlineStr">
        <is>
          <t>57231282</t>
        </is>
      </c>
    </row>
    <row r="1108">
      <c r="A1108" s="8" t="inlineStr">
        <is>
          <t>G07173</t>
        </is>
      </c>
      <c r="B1108" s="8" t="inlineStr">
        <is>
          <t>Жибек Эйр</t>
        </is>
      </c>
      <c r="C1108" s="8" t="inlineStr">
        <is>
          <t>2416946210</t>
        </is>
      </c>
      <c r="D1108" s="8" t="inlineStr">
        <is>
          <t>ETM, акт 1С за месяц не выгружен</t>
        </is>
      </c>
      <c r="E1108" s="8" t="inlineStr">
        <is>
          <t>Выгрузка 1С</t>
        </is>
      </c>
      <c r="F1108" s="8" t="inlineStr">
        <is>
          <t>B</t>
        </is>
      </c>
      <c r="G1108" s="14" t="n">
        <v>0</v>
      </c>
      <c r="H1108" s="14" t="n">
        <v>-26340.6</v>
      </c>
      <c r="I1108" s="14" t="n"/>
      <c r="J1108" s="14" t="n">
        <v>-26340.6</v>
      </c>
      <c r="K1108" s="21" t="n">
        <v>46138.35958333333</v>
      </c>
      <c r="L1108" s="21" t="n"/>
      <c r="M1108" s="8" t="inlineStr"/>
      <c r="N1108" s="8" t="inlineStr">
        <is>
          <t>Бухгалтер: выгрузить акт</t>
        </is>
      </c>
      <c r="O1108" s="8" t="inlineStr"/>
      <c r="P1108" s="12" t="inlineStr">
        <is>
          <t>Операция есть в ETM, а акт 1С за этот (или следующий) месяц не выгружен — сначала получить акт</t>
        </is>
      </c>
      <c r="Q1108" s="8" t="inlineStr">
        <is>
          <t>57231318</t>
        </is>
      </c>
    </row>
    <row r="1109">
      <c r="A1109" s="8" t="inlineStr">
        <is>
          <t>G13352</t>
        </is>
      </c>
      <c r="B1109" s="8" t="inlineStr">
        <is>
          <t>Сатар уулу Санжар</t>
        </is>
      </c>
      <c r="C1109" s="8" t="inlineStr">
        <is>
          <t>2559101618</t>
        </is>
      </c>
      <c r="D1109" s="8" t="inlineStr">
        <is>
          <t>ETM, акт 1С за месяц не выгружен</t>
        </is>
      </c>
      <c r="E1109" s="8" t="inlineStr">
        <is>
          <t>Выгрузка 1С</t>
        </is>
      </c>
      <c r="F1109" s="8" t="inlineStr">
        <is>
          <t>B</t>
        </is>
      </c>
      <c r="G1109" s="14" t="n">
        <v>0</v>
      </c>
      <c r="H1109" s="14" t="n">
        <v>-26339.58</v>
      </c>
      <c r="I1109" s="14" t="n">
        <v>26339.58</v>
      </c>
      <c r="J1109" s="14" t="n">
        <v>-26339.58</v>
      </c>
      <c r="K1109" s="21" t="n">
        <v>46134.75746527778</v>
      </c>
      <c r="L1109" s="21" t="n"/>
      <c r="M1109" s="8" t="inlineStr"/>
      <c r="N1109" s="8" t="inlineStr">
        <is>
          <t>Бухгалтер: выгрузить акт</t>
        </is>
      </c>
      <c r="O1109" s="8" t="inlineStr">
        <is>
          <t>n.abdyldaeva</t>
        </is>
      </c>
      <c r="P1109" s="12" t="inlineStr">
        <is>
          <t>Операция есть в ETM, а акт 1С за этот (или следующий) месяц не выгружен — сначала получить акт</t>
        </is>
      </c>
      <c r="Q1109" s="8" t="inlineStr">
        <is>
          <t>57222352</t>
        </is>
      </c>
    </row>
    <row r="1110">
      <c r="A1110" s="8" t="inlineStr">
        <is>
          <t>G14307</t>
        </is>
      </c>
      <c r="B1110" s="8" t="inlineStr">
        <is>
          <t>ЧОЛПОН ТУР</t>
        </is>
      </c>
      <c r="C1110" s="8" t="inlineStr">
        <is>
          <t>2461885674</t>
        </is>
      </c>
      <c r="D1110" s="8" t="inlineStr">
        <is>
          <t>ETM, акт 1С за месяц не выгружен</t>
        </is>
      </c>
      <c r="E1110" s="8" t="inlineStr">
        <is>
          <t>Выгрузка 1С</t>
        </is>
      </c>
      <c r="F1110" s="8" t="inlineStr">
        <is>
          <t>B</t>
        </is>
      </c>
      <c r="G1110" s="14" t="n">
        <v>0</v>
      </c>
      <c r="H1110" s="14" t="n">
        <v>-26295</v>
      </c>
      <c r="I1110" s="14" t="n">
        <v>26295</v>
      </c>
      <c r="J1110" s="14" t="n">
        <v>-26295</v>
      </c>
      <c r="K1110" s="21" t="n">
        <v>46088.77591435185</v>
      </c>
      <c r="L1110" s="21" t="n"/>
      <c r="M1110" s="8" t="inlineStr"/>
      <c r="N1110" s="8" t="inlineStr">
        <is>
          <t>Бухгалтер: выгрузить акт</t>
        </is>
      </c>
      <c r="O1110" s="8" t="inlineStr">
        <is>
          <t>d.mambetova</t>
        </is>
      </c>
      <c r="P1110" s="12" t="inlineStr">
        <is>
          <t>Операция есть в ETM, а акт 1С за этот (или следующий) месяц не выгружен — сначала получить акт</t>
        </is>
      </c>
      <c r="Q1110" s="8" t="inlineStr">
        <is>
          <t>57130632</t>
        </is>
      </c>
    </row>
    <row r="1111">
      <c r="A1111" s="8" t="inlineStr">
        <is>
          <t>G14341</t>
        </is>
      </c>
      <c r="B1111" s="8" t="inlineStr">
        <is>
          <t>ЧОЛПОН ТУР</t>
        </is>
      </c>
      <c r="C1111" s="8" t="inlineStr">
        <is>
          <t>2559098910</t>
        </is>
      </c>
      <c r="D1111" s="8" t="inlineStr">
        <is>
          <t>ETM, акт 1С за месяц не выгружен</t>
        </is>
      </c>
      <c r="E1111" s="8" t="inlineStr">
        <is>
          <t>Выгрузка 1С</t>
        </is>
      </c>
      <c r="F1111" s="8" t="inlineStr">
        <is>
          <t>B</t>
        </is>
      </c>
      <c r="G1111" s="14" t="n">
        <v>0</v>
      </c>
      <c r="H1111" s="14" t="n">
        <v>-26227.12</v>
      </c>
      <c r="I1111" s="14" t="n">
        <v>26227.125</v>
      </c>
      <c r="J1111" s="14" t="n">
        <v>-26227.12</v>
      </c>
      <c r="K1111" s="21" t="n">
        <v>46113.4672337963</v>
      </c>
      <c r="L1111" s="21" t="n"/>
      <c r="M1111" s="8" t="inlineStr"/>
      <c r="N1111" s="8" t="inlineStr">
        <is>
          <t>Бухгалтер: выгрузить акт</t>
        </is>
      </c>
      <c r="O1111" s="8" t="inlineStr">
        <is>
          <t>a.toktosunova</t>
        </is>
      </c>
      <c r="P1111" s="12" t="inlineStr">
        <is>
          <t>Операция есть в ETM, а акт 1С за этот (или следующий) месяц не выгружен — сначала получить акт</t>
        </is>
      </c>
      <c r="Q1111" s="8" t="inlineStr">
        <is>
          <t>57184362</t>
        </is>
      </c>
    </row>
    <row r="1112">
      <c r="A1112" s="8" t="inlineStr">
        <is>
          <t>G10651</t>
        </is>
      </c>
      <c r="B1112" s="8" t="inlineStr">
        <is>
          <t>Манас Туризм</t>
        </is>
      </c>
      <c r="C1112" s="8" t="inlineStr">
        <is>
          <t>2459529299</t>
        </is>
      </c>
      <c r="D1112" s="8" t="inlineStr">
        <is>
          <t>ETM, акт 1С за месяц не выгружен</t>
        </is>
      </c>
      <c r="E1112" s="8" t="inlineStr">
        <is>
          <t>Выгрузка 1С</t>
        </is>
      </c>
      <c r="F1112" s="8" t="inlineStr">
        <is>
          <t>B</t>
        </is>
      </c>
      <c r="G1112" s="14" t="n">
        <v>0</v>
      </c>
      <c r="H1112" s="14" t="n">
        <v>-26227</v>
      </c>
      <c r="I1112" s="14" t="n">
        <v>26227</v>
      </c>
      <c r="J1112" s="14" t="n">
        <v>-26227</v>
      </c>
      <c r="K1112" s="21" t="n">
        <v>46200.67081018518</v>
      </c>
      <c r="L1112" s="21" t="n"/>
      <c r="M1112" s="8" t="inlineStr"/>
      <c r="N1112" s="8" t="inlineStr">
        <is>
          <t>Бухгалтер: выгрузить акт</t>
        </is>
      </c>
      <c r="O1112" s="8" t="inlineStr">
        <is>
          <t>r.sydykov</t>
        </is>
      </c>
      <c r="P1112" s="12" t="inlineStr">
        <is>
          <t>Операция есть в ETM, а акт 1С за этот (или следующий) месяц не выгружен — сначала получить акт</t>
        </is>
      </c>
      <c r="Q1112" s="8" t="inlineStr">
        <is>
          <t>57405811</t>
        </is>
      </c>
    </row>
    <row r="1113">
      <c r="A1113" s="8" t="inlineStr">
        <is>
          <t>G14005</t>
        </is>
      </c>
      <c r="B1113" s="8" t="inlineStr">
        <is>
          <t>Тянь-Шань Тур</t>
        </is>
      </c>
      <c r="C1113" s="8" t="inlineStr">
        <is>
          <t>2460736961</t>
        </is>
      </c>
      <c r="D1113" s="8" t="inlineStr">
        <is>
          <t>ETM, акт 1С за месяц не выгружен</t>
        </is>
      </c>
      <c r="E1113" s="8" t="inlineStr">
        <is>
          <t>Выгрузка 1С</t>
        </is>
      </c>
      <c r="F1113" s="8" t="inlineStr">
        <is>
          <t>B</t>
        </is>
      </c>
      <c r="G1113" s="14" t="n">
        <v>0</v>
      </c>
      <c r="H1113" s="14" t="n">
        <v>-26120</v>
      </c>
      <c r="I1113" s="14" t="n"/>
      <c r="J1113" s="14" t="n">
        <v>-26120</v>
      </c>
      <c r="K1113" s="21" t="n">
        <v>46155.7244212963</v>
      </c>
      <c r="L1113" s="21" t="n"/>
      <c r="M1113" s="8" t="inlineStr"/>
      <c r="N1113" s="8" t="inlineStr">
        <is>
          <t>Бухгалтер: выгрузить акт</t>
        </is>
      </c>
      <c r="O1113" s="8" t="inlineStr"/>
      <c r="P1113" s="12" t="inlineStr">
        <is>
          <t>Операция есть в ETM, а акт 1С за этот (или следующий) месяц не выгружен — сначала получить акт</t>
        </is>
      </c>
      <c r="Q1113" s="8" t="inlineStr">
        <is>
          <t>57280706</t>
        </is>
      </c>
    </row>
    <row r="1114">
      <c r="A1114" s="8" t="inlineStr">
        <is>
          <t>G13110</t>
        </is>
      </c>
      <c r="B1114" s="8" t="inlineStr">
        <is>
          <t>Сатар уулу Санжар</t>
        </is>
      </c>
      <c r="C1114" s="8" t="inlineStr">
        <is>
          <t>2460737291|2460737292</t>
        </is>
      </c>
      <c r="D1114" s="8" t="inlineStr">
        <is>
          <t>ETM, акт 1С за месяц не выгружен</t>
        </is>
      </c>
      <c r="E1114" s="8" t="inlineStr">
        <is>
          <t>Выгрузка 1С</t>
        </is>
      </c>
      <c r="F1114" s="8" t="inlineStr">
        <is>
          <t>B</t>
        </is>
      </c>
      <c r="G1114" s="14" t="n">
        <v>0</v>
      </c>
      <c r="H1114" s="14" t="n">
        <v>-26092</v>
      </c>
      <c r="I1114" s="14" t="n"/>
      <c r="J1114" s="14" t="n">
        <v>-26092</v>
      </c>
      <c r="K1114" s="21" t="n">
        <v>46133.36047453704</v>
      </c>
      <c r="L1114" s="21" t="n"/>
      <c r="M1114" s="8" t="inlineStr"/>
      <c r="N1114" s="8" t="inlineStr">
        <is>
          <t>Бухгалтер: выгрузить акт</t>
        </is>
      </c>
      <c r="O1114" s="8" t="inlineStr"/>
      <c r="P1114" s="12" t="inlineStr">
        <is>
          <t>Операция есть в ETM, а акт 1С за этот (или следующий) месяц не выгружен — сначала получить акт</t>
        </is>
      </c>
      <c r="Q1114" s="8" t="inlineStr">
        <is>
          <t>57220585</t>
        </is>
      </c>
    </row>
    <row r="1115">
      <c r="A1115" s="8" t="inlineStr">
        <is>
          <t>G08896</t>
        </is>
      </c>
      <c r="B1115" s="8" t="inlineStr">
        <is>
          <t>ИССЫК ТРИП</t>
        </is>
      </c>
      <c r="C1115" s="8" t="inlineStr">
        <is>
          <t>2416945268</t>
        </is>
      </c>
      <c r="D1115" s="8" t="inlineStr">
        <is>
          <t>ETM, акт 1С за месяц не выгружен</t>
        </is>
      </c>
      <c r="E1115" s="8" t="inlineStr">
        <is>
          <t>Выгрузка 1С</t>
        </is>
      </c>
      <c r="F1115" s="8" t="inlineStr">
        <is>
          <t>B</t>
        </is>
      </c>
      <c r="G1115" s="14" t="n">
        <v>0</v>
      </c>
      <c r="H1115" s="14" t="n">
        <v>-26045.19</v>
      </c>
      <c r="I1115" s="14" t="n"/>
      <c r="J1115" s="14" t="n">
        <v>-26045.19</v>
      </c>
      <c r="K1115" s="21" t="n">
        <v>46077.5646412037</v>
      </c>
      <c r="L1115" s="21" t="n"/>
      <c r="M1115" s="8" t="inlineStr"/>
      <c r="N1115" s="8" t="inlineStr">
        <is>
          <t>Бухгалтер: выгрузить акт</t>
        </is>
      </c>
      <c r="O1115" s="8" t="inlineStr"/>
      <c r="P1115" s="12" t="inlineStr">
        <is>
          <t>Операция есть в ETM, а акт 1С за этот (или следующий) месяц не выгружен — сначала получить акт</t>
        </is>
      </c>
      <c r="Q1115" s="8" t="inlineStr">
        <is>
          <t>57107115</t>
        </is>
      </c>
    </row>
    <row r="1116">
      <c r="A1116" s="8" t="inlineStr">
        <is>
          <t>G08897</t>
        </is>
      </c>
      <c r="B1116" s="8" t="inlineStr">
        <is>
          <t>ИССЫК ТРИП</t>
        </is>
      </c>
      <c r="C1116" s="8" t="inlineStr">
        <is>
          <t>2416945269</t>
        </is>
      </c>
      <c r="D1116" s="8" t="inlineStr">
        <is>
          <t>ETM, акт 1С за месяц не выгружен</t>
        </is>
      </c>
      <c r="E1116" s="8" t="inlineStr">
        <is>
          <t>Выгрузка 1С</t>
        </is>
      </c>
      <c r="F1116" s="8" t="inlineStr">
        <is>
          <t>B</t>
        </is>
      </c>
      <c r="G1116" s="14" t="n">
        <v>0</v>
      </c>
      <c r="H1116" s="14" t="n">
        <v>-26045.19</v>
      </c>
      <c r="I1116" s="14" t="n"/>
      <c r="J1116" s="14" t="n">
        <v>-26045.19</v>
      </c>
      <c r="K1116" s="21" t="n">
        <v>46077.41686342593</v>
      </c>
      <c r="L1116" s="21" t="n"/>
      <c r="M1116" s="8" t="inlineStr"/>
      <c r="N1116" s="8" t="inlineStr">
        <is>
          <t>Бухгалтер: выгрузить акт</t>
        </is>
      </c>
      <c r="O1116" s="8" t="inlineStr"/>
      <c r="P1116" s="12" t="inlineStr">
        <is>
          <t>Операция есть в ETM, а акт 1С за этот (или следующий) месяц не выгружен — сначала получить акт</t>
        </is>
      </c>
      <c r="Q1116" s="8" t="inlineStr">
        <is>
          <t>57107131</t>
        </is>
      </c>
    </row>
    <row r="1117">
      <c r="A1117" s="8" t="inlineStr">
        <is>
          <t>G09137</t>
        </is>
      </c>
      <c r="B1117" s="8" t="inlineStr">
        <is>
          <t>ИССЫК ТРИП</t>
        </is>
      </c>
      <c r="C1117" s="8" t="inlineStr">
        <is>
          <t>2461882967</t>
        </is>
      </c>
      <c r="D1117" s="8" t="inlineStr">
        <is>
          <t>ETM, акт 1С за месяц не выгружен</t>
        </is>
      </c>
      <c r="E1117" s="8" t="inlineStr">
        <is>
          <t>Выгрузка 1С</t>
        </is>
      </c>
      <c r="F1117" s="8" t="inlineStr">
        <is>
          <t>B</t>
        </is>
      </c>
      <c r="G1117" s="14" t="n">
        <v>0</v>
      </c>
      <c r="H1117" s="14" t="n">
        <v>-25827</v>
      </c>
      <c r="I1117" s="14" t="n">
        <v>25827</v>
      </c>
      <c r="J1117" s="14" t="n">
        <v>-25827</v>
      </c>
      <c r="K1117" s="21" t="n">
        <v>46064.64581018518</v>
      </c>
      <c r="L1117" s="21" t="n"/>
      <c r="M1117" s="8" t="inlineStr"/>
      <c r="N1117" s="8" t="inlineStr">
        <is>
          <t>Бухгалтер: выгрузить акт</t>
        </is>
      </c>
      <c r="O1117" s="8" t="inlineStr">
        <is>
          <t>k.dzhumaev</t>
        </is>
      </c>
      <c r="P1117" s="12" t="inlineStr">
        <is>
          <t>Операция есть в ETM, а акт 1С за этот (или следующий) месяц не выгружен — сначала получить акт</t>
        </is>
      </c>
      <c r="Q1117" s="8" t="inlineStr">
        <is>
          <t>57085128</t>
        </is>
      </c>
    </row>
    <row r="1118">
      <c r="A1118" s="8" t="inlineStr">
        <is>
          <t>G07203</t>
        </is>
      </c>
      <c r="B1118" s="8" t="inlineStr">
        <is>
          <t>Жибек Эйр</t>
        </is>
      </c>
      <c r="C1118" s="8" t="inlineStr">
        <is>
          <t>2420848671</t>
        </is>
      </c>
      <c r="D1118" s="8" t="inlineStr">
        <is>
          <t>ETM, акт 1С за месяц не выгружен</t>
        </is>
      </c>
      <c r="E1118" s="8" t="inlineStr">
        <is>
          <t>Выгрузка 1С</t>
        </is>
      </c>
      <c r="F1118" s="8" t="inlineStr">
        <is>
          <t>B</t>
        </is>
      </c>
      <c r="G1118" s="14" t="n">
        <v>0</v>
      </c>
      <c r="H1118" s="14" t="n">
        <v>-25467.65</v>
      </c>
      <c r="I1118" s="14" t="n">
        <v>25467.6456</v>
      </c>
      <c r="J1118" s="14" t="n">
        <v>-25467.65</v>
      </c>
      <c r="K1118" s="21" t="n">
        <v>46166.82481481481</v>
      </c>
      <c r="L1118" s="21" t="n"/>
      <c r="M1118" s="8" t="inlineStr"/>
      <c r="N1118" s="8" t="inlineStr">
        <is>
          <t>Бухгалтер: выгрузить акт</t>
        </is>
      </c>
      <c r="O1118" s="8" t="inlineStr">
        <is>
          <t>r.sydykov</t>
        </is>
      </c>
      <c r="P1118" s="12" t="inlineStr">
        <is>
          <t>Операция есть в ETM, а акт 1С за этот (или следующий) месяц не выгружен — сначала получить акт</t>
        </is>
      </c>
      <c r="Q1118" s="8" t="inlineStr">
        <is>
          <t>57314059</t>
        </is>
      </c>
    </row>
    <row r="1119">
      <c r="A1119" s="8" t="inlineStr">
        <is>
          <t>G09967</t>
        </is>
      </c>
      <c r="B1119" s="8" t="inlineStr">
        <is>
          <t>МУРАС ТРИП</t>
        </is>
      </c>
      <c r="C1119" s="8" t="inlineStr">
        <is>
          <t>2461885679</t>
        </is>
      </c>
      <c r="D1119" s="8" t="inlineStr">
        <is>
          <t>ETM, акт 1С за месяц не выгружен</t>
        </is>
      </c>
      <c r="E1119" s="8" t="inlineStr">
        <is>
          <t>Выгрузка 1С</t>
        </is>
      </c>
      <c r="F1119" s="8" t="inlineStr">
        <is>
          <t>B</t>
        </is>
      </c>
      <c r="G1119" s="14" t="n">
        <v>0</v>
      </c>
      <c r="H1119" s="14" t="n">
        <v>-25465</v>
      </c>
      <c r="I1119" s="14" t="n">
        <v>25465</v>
      </c>
      <c r="J1119" s="14" t="n">
        <v>-25465</v>
      </c>
      <c r="K1119" s="21" t="n">
        <v>46202.45184027778</v>
      </c>
      <c r="L1119" s="21" t="n"/>
      <c r="M1119" s="8" t="inlineStr"/>
      <c r="N1119" s="8" t="inlineStr">
        <is>
          <t>Бухгалтер: выгрузить акт</t>
        </is>
      </c>
      <c r="O1119" s="8" t="inlineStr">
        <is>
          <t>b.isakov</t>
        </is>
      </c>
      <c r="P1119" s="12" t="inlineStr">
        <is>
          <t>Операция есть в ETM, а акт 1С за этот (или следующий) месяц не выгружен — сначала получить акт</t>
        </is>
      </c>
      <c r="Q1119" s="8" t="inlineStr">
        <is>
          <t>57412372</t>
        </is>
      </c>
    </row>
    <row r="1120">
      <c r="A1120" s="8" t="inlineStr">
        <is>
          <t>G08150</t>
        </is>
      </c>
      <c r="B1120" s="8" t="inlineStr">
        <is>
          <t>ИП Жумабекова Б. Н.</t>
        </is>
      </c>
      <c r="C1120" s="8" t="inlineStr">
        <is>
          <t>2420846953</t>
        </is>
      </c>
      <c r="D1120" s="8" t="inlineStr">
        <is>
          <t>ETM, акт 1С за месяц не выгружен</t>
        </is>
      </c>
      <c r="E1120" s="8" t="inlineStr">
        <is>
          <t>Выгрузка 1С</t>
        </is>
      </c>
      <c r="F1120" s="8" t="inlineStr">
        <is>
          <t>B</t>
        </is>
      </c>
      <c r="G1120" s="14" t="n">
        <v>0</v>
      </c>
      <c r="H1120" s="14" t="n">
        <v>-25458.27</v>
      </c>
      <c r="I1120" s="14" t="n"/>
      <c r="J1120" s="14" t="n">
        <v>-25458.27</v>
      </c>
      <c r="K1120" s="21" t="n">
        <v>46164.75910879629</v>
      </c>
      <c r="L1120" s="21" t="n"/>
      <c r="M1120" s="8" t="inlineStr"/>
      <c r="N1120" s="8" t="inlineStr">
        <is>
          <t>Бухгалтер: выгрузить акт</t>
        </is>
      </c>
      <c r="O1120" s="8" t="inlineStr"/>
      <c r="P1120" s="12" t="inlineStr">
        <is>
          <t>Операция есть в ETM, а акт 1С за этот (или следующий) месяц не выгружен — сначала получить акт</t>
        </is>
      </c>
      <c r="Q1120" s="8" t="inlineStr">
        <is>
          <t>57301771</t>
        </is>
      </c>
    </row>
    <row r="1121">
      <c r="A1121" s="8" t="inlineStr">
        <is>
          <t>G08151</t>
        </is>
      </c>
      <c r="B1121" s="8" t="inlineStr">
        <is>
          <t>ИП Жумабекова Б. Н.</t>
        </is>
      </c>
      <c r="C1121" s="8" t="inlineStr">
        <is>
          <t>2420846954</t>
        </is>
      </c>
      <c r="D1121" s="8" t="inlineStr">
        <is>
          <t>ETM, акт 1С за месяц не выгружен</t>
        </is>
      </c>
      <c r="E1121" s="8" t="inlineStr">
        <is>
          <t>Выгрузка 1С</t>
        </is>
      </c>
      <c r="F1121" s="8" t="inlineStr">
        <is>
          <t>B</t>
        </is>
      </c>
      <c r="G1121" s="14" t="n">
        <v>0</v>
      </c>
      <c r="H1121" s="14" t="n">
        <v>-25458.27</v>
      </c>
      <c r="I1121" s="14" t="n"/>
      <c r="J1121" s="14" t="n">
        <v>-25458.27</v>
      </c>
      <c r="K1121" s="21" t="n">
        <v>46164.36129629629</v>
      </c>
      <c r="L1121" s="21" t="n"/>
      <c r="M1121" s="8" t="inlineStr"/>
      <c r="N1121" s="8" t="inlineStr">
        <is>
          <t>Бухгалтер: выгрузить акт</t>
        </is>
      </c>
      <c r="O1121" s="8" t="inlineStr"/>
      <c r="P1121" s="12" t="inlineStr">
        <is>
          <t>Операция есть в ETM, а акт 1С за этот (или следующий) месяц не выгружен — сначала получить акт</t>
        </is>
      </c>
      <c r="Q1121" s="8" t="inlineStr">
        <is>
          <t>57301785</t>
        </is>
      </c>
    </row>
    <row r="1122">
      <c r="A1122" s="8" t="inlineStr">
        <is>
          <t>G12933</t>
        </is>
      </c>
      <c r="B1122" s="8" t="inlineStr">
        <is>
          <t>Сатар уулу Санжар</t>
        </is>
      </c>
      <c r="C1122" s="8" t="inlineStr">
        <is>
          <t>2420844324</t>
        </is>
      </c>
      <c r="D1122" s="8" t="inlineStr">
        <is>
          <t>ETM, акт 1С за месяц не выгружен</t>
        </is>
      </c>
      <c r="E1122" s="8" t="inlineStr">
        <is>
          <t>Выгрузка 1С</t>
        </is>
      </c>
      <c r="F1122" s="8" t="inlineStr">
        <is>
          <t>B</t>
        </is>
      </c>
      <c r="G1122" s="14" t="n">
        <v>0</v>
      </c>
      <c r="H1122" s="14" t="n">
        <v>-25364.82</v>
      </c>
      <c r="I1122" s="14" t="n">
        <v>25475.2756</v>
      </c>
      <c r="J1122" s="14" t="n">
        <v>-25364.82</v>
      </c>
      <c r="K1122" s="21" t="n">
        <v>46142.71572916667</v>
      </c>
      <c r="L1122" s="21" t="n"/>
      <c r="M1122" s="8" t="inlineStr"/>
      <c r="N1122" s="8" t="inlineStr">
        <is>
          <t>Бухгалтер: выгрузить акт</t>
        </is>
      </c>
      <c r="O1122" s="8" t="inlineStr">
        <is>
          <t>e.satarov</t>
        </is>
      </c>
      <c r="P1122" s="12" t="inlineStr">
        <is>
          <t>Операция есть в ETM, а акт 1С за этот (или следующий) месяц не выгружен — сначала получить акт</t>
        </is>
      </c>
      <c r="Q1122" s="8" t="inlineStr">
        <is>
          <t>57234165</t>
        </is>
      </c>
    </row>
    <row r="1123">
      <c r="A1123" s="8" t="inlineStr">
        <is>
          <t>G07851</t>
        </is>
      </c>
      <c r="B1123" s="8" t="inlineStr">
        <is>
          <t>ИП Асанов К. Б.</t>
        </is>
      </c>
      <c r="C1123" s="8" t="inlineStr">
        <is>
          <t>2461881386</t>
        </is>
      </c>
      <c r="D1123" s="8" t="inlineStr">
        <is>
          <t>ETM, акт 1С за месяц не выгружен</t>
        </is>
      </c>
      <c r="E1123" s="8" t="inlineStr">
        <is>
          <t>Выгрузка 1С</t>
        </is>
      </c>
      <c r="F1123" s="8" t="inlineStr">
        <is>
          <t>B</t>
        </is>
      </c>
      <c r="G1123" s="14" t="n">
        <v>0</v>
      </c>
      <c r="H1123" s="14" t="n">
        <v>-25345</v>
      </c>
      <c r="I1123" s="14" t="n">
        <v>25345</v>
      </c>
      <c r="J1123" s="14" t="n">
        <v>-25345</v>
      </c>
      <c r="K1123" s="21" t="n">
        <v>46058.7152662037</v>
      </c>
      <c r="L1123" s="21" t="n"/>
      <c r="M1123" s="8" t="inlineStr"/>
      <c r="N1123" s="8" t="inlineStr">
        <is>
          <t>Бухгалтер: выгрузить акт</t>
        </is>
      </c>
      <c r="O1123" s="8" t="inlineStr">
        <is>
          <t>b.isakov</t>
        </is>
      </c>
      <c r="P1123" s="12" t="inlineStr">
        <is>
          <t>Операция есть в ETM, а акт 1С за этот (или следующий) месяц не выгружен — сначала получить акт</t>
        </is>
      </c>
      <c r="Q1123" s="8" t="inlineStr">
        <is>
          <t>57074057</t>
        </is>
      </c>
    </row>
    <row r="1124">
      <c r="A1124" s="8" t="inlineStr">
        <is>
          <t>G14277</t>
        </is>
      </c>
      <c r="B1124" s="8" t="inlineStr">
        <is>
          <t>ЧОЛПОН ТУР</t>
        </is>
      </c>
      <c r="C1124" s="8" t="inlineStr">
        <is>
          <t>2459530352</t>
        </is>
      </c>
      <c r="D1124" s="8" t="inlineStr">
        <is>
          <t>ETM, акт 1С за месяц не выгружен</t>
        </is>
      </c>
      <c r="E1124" s="8" t="inlineStr">
        <is>
          <t>Выгрузка 1С</t>
        </is>
      </c>
      <c r="F1124" s="8" t="inlineStr">
        <is>
          <t>B</t>
        </is>
      </c>
      <c r="G1124" s="14" t="n">
        <v>0</v>
      </c>
      <c r="H1124" s="14" t="n">
        <v>-25255</v>
      </c>
      <c r="I1124" s="14" t="n">
        <v>25255</v>
      </c>
      <c r="J1124" s="14" t="n">
        <v>-25255</v>
      </c>
      <c r="K1124" s="21" t="n">
        <v>46094.62862268519</v>
      </c>
      <c r="L1124" s="21" t="n"/>
      <c r="M1124" s="8" t="inlineStr"/>
      <c r="N1124" s="8" t="inlineStr">
        <is>
          <t>Бухгалтер: выгрузить акт</t>
        </is>
      </c>
      <c r="O1124" s="8" t="inlineStr">
        <is>
          <t>a.toktosunova</t>
        </is>
      </c>
      <c r="P1124" s="12" t="inlineStr">
        <is>
          <t>Операция есть в ETM, а акт 1С за этот (или следующий) месяц не выгружен — сначала получить акт</t>
        </is>
      </c>
      <c r="Q1124" s="8" t="inlineStr">
        <is>
          <t>57145777</t>
        </is>
      </c>
    </row>
    <row r="1125">
      <c r="A1125" s="8" t="inlineStr">
        <is>
          <t>G08382</t>
        </is>
      </c>
      <c r="B1125" s="8" t="inlineStr">
        <is>
          <t>ИП Муратов Э. У.</t>
        </is>
      </c>
      <c r="C1125" s="8" t="inlineStr">
        <is>
          <t>2459530604</t>
        </is>
      </c>
      <c r="D1125" s="8" t="inlineStr">
        <is>
          <t>ETM, акт 1С за месяц не выгружен</t>
        </is>
      </c>
      <c r="E1125" s="8" t="inlineStr">
        <is>
          <t>Выгрузка 1С</t>
        </is>
      </c>
      <c r="F1125" s="8" t="inlineStr">
        <is>
          <t>B</t>
        </is>
      </c>
      <c r="G1125" s="14" t="n">
        <v>0</v>
      </c>
      <c r="H1125" s="14" t="n">
        <v>-25168</v>
      </c>
      <c r="I1125" s="14" t="n">
        <v>25168</v>
      </c>
      <c r="J1125" s="14" t="n">
        <v>-25168</v>
      </c>
      <c r="K1125" s="21" t="n">
        <v>46090.72491898148</v>
      </c>
      <c r="L1125" s="21" t="n"/>
      <c r="M1125" s="8" t="inlineStr"/>
      <c r="N1125" s="8" t="inlineStr">
        <is>
          <t>Бухгалтер: выгрузить акт</t>
        </is>
      </c>
      <c r="O1125" s="8" t="inlineStr">
        <is>
          <t>g.omurbekova</t>
        </is>
      </c>
      <c r="P1125" s="12" t="inlineStr">
        <is>
          <t>Операция есть в ETM, а акт 1С за этот (или следующий) месяц не выгружен — сначала получить акт</t>
        </is>
      </c>
      <c r="Q1125" s="8" t="inlineStr">
        <is>
          <t>57135267</t>
        </is>
      </c>
    </row>
    <row r="1126">
      <c r="A1126" s="8" t="inlineStr">
        <is>
          <t>G07290</t>
        </is>
      </c>
      <c r="B1126" s="8" t="inlineStr">
        <is>
          <t>Жибек Эйр</t>
        </is>
      </c>
      <c r="C1126" s="8" t="inlineStr">
        <is>
          <t>2461881201</t>
        </is>
      </c>
      <c r="D1126" s="8" t="inlineStr">
        <is>
          <t>ETM, акт 1С за месяц не выгружен</t>
        </is>
      </c>
      <c r="E1126" s="8" t="inlineStr">
        <is>
          <t>Выгрузка 1С</t>
        </is>
      </c>
      <c r="F1126" s="8" t="inlineStr">
        <is>
          <t>B</t>
        </is>
      </c>
      <c r="G1126" s="14" t="n">
        <v>0</v>
      </c>
      <c r="H1126" s="14" t="n">
        <v>-25113</v>
      </c>
      <c r="I1126" s="14" t="n">
        <v>25113</v>
      </c>
      <c r="J1126" s="14" t="n">
        <v>-25113</v>
      </c>
      <c r="K1126" s="21" t="n">
        <v>46168.45443287037</v>
      </c>
      <c r="L1126" s="21" t="n"/>
      <c r="M1126" s="8" t="inlineStr"/>
      <c r="N1126" s="8" t="inlineStr">
        <is>
          <t>Бухгалтер: выгрузить акт</t>
        </is>
      </c>
      <c r="O1126" s="8" t="inlineStr">
        <is>
          <t>k.dzhumaev</t>
        </is>
      </c>
      <c r="P1126" s="12" t="inlineStr">
        <is>
          <t>Операция есть в ETM, а акт 1С за этот (или следующий) месяц не выгружен — сначала получить акт</t>
        </is>
      </c>
      <c r="Q1126" s="8" t="inlineStr">
        <is>
          <t>57317585</t>
        </is>
      </c>
    </row>
    <row r="1127">
      <c r="A1127" s="8" t="inlineStr">
        <is>
          <t>G07478</t>
        </is>
      </c>
      <c r="B1127" s="8" t="inlineStr">
        <is>
          <t>Жолчу кызы А.</t>
        </is>
      </c>
      <c r="C1127" s="8" t="inlineStr">
        <is>
          <t>2420847947</t>
        </is>
      </c>
      <c r="D1127" s="8" t="inlineStr">
        <is>
          <t>ETM, акт 1С за месяц не выгружен</t>
        </is>
      </c>
      <c r="E1127" s="8" t="inlineStr">
        <is>
          <t>Выгрузка 1С</t>
        </is>
      </c>
      <c r="F1127" s="8" t="inlineStr">
        <is>
          <t>B</t>
        </is>
      </c>
      <c r="G1127" s="14" t="n">
        <v>0</v>
      </c>
      <c r="H1127" s="14" t="n">
        <v>-25001.94</v>
      </c>
      <c r="I1127" s="14" t="n">
        <v>25001.9412</v>
      </c>
      <c r="J1127" s="14" t="n">
        <v>-25001.94</v>
      </c>
      <c r="K1127" s="21" t="n">
        <v>46177.79225694444</v>
      </c>
      <c r="L1127" s="21" t="n"/>
      <c r="M1127" s="8" t="inlineStr"/>
      <c r="N1127" s="8" t="inlineStr">
        <is>
          <t>Бухгалтер: выгрузить акт</t>
        </is>
      </c>
      <c r="O1127" s="8" t="inlineStr">
        <is>
          <t>r.sydykov</t>
        </is>
      </c>
      <c r="P1127" s="12" t="inlineStr">
        <is>
          <t>Операция есть в ETM, а акт 1С за этот (или следующий) месяц не выгружен — сначала получить акт</t>
        </is>
      </c>
      <c r="Q1127" s="8" t="inlineStr">
        <is>
          <t>57341610</t>
        </is>
      </c>
    </row>
    <row r="1128">
      <c r="A1128" s="8" t="inlineStr">
        <is>
          <t>G14286</t>
        </is>
      </c>
      <c r="B1128" s="8" t="inlineStr">
        <is>
          <t>ЧОЛПОН ТУР</t>
        </is>
      </c>
      <c r="C1128" s="8" t="inlineStr">
        <is>
          <t>2460733525|2460733527</t>
        </is>
      </c>
      <c r="D1128" s="8" t="inlineStr">
        <is>
          <t>ETM, акт 1С за месяц не выгружен</t>
        </is>
      </c>
      <c r="E1128" s="8" t="inlineStr">
        <is>
          <t>Выгрузка 1С</t>
        </is>
      </c>
      <c r="F1128" s="8" t="inlineStr">
        <is>
          <t>B</t>
        </is>
      </c>
      <c r="G1128" s="14" t="n">
        <v>0</v>
      </c>
      <c r="H1128" s="14" t="n">
        <v>-24998</v>
      </c>
      <c r="I1128" s="14" t="n">
        <v>24998</v>
      </c>
      <c r="J1128" s="14" t="n">
        <v>-24998</v>
      </c>
      <c r="K1128" s="21" t="n">
        <v>46100.52949074074</v>
      </c>
      <c r="L1128" s="21" t="n"/>
      <c r="M1128" s="8" t="inlineStr"/>
      <c r="N1128" s="8" t="inlineStr">
        <is>
          <t>Бухгалтер: выгрузить акт</t>
        </is>
      </c>
      <c r="O1128" s="8" t="inlineStr">
        <is>
          <t>e.satarov</t>
        </is>
      </c>
      <c r="P1128" s="12" t="inlineStr">
        <is>
          <t>Операция есть в ETM, а акт 1С за этот (или следующий) месяц не выгружен — сначала получить акт</t>
        </is>
      </c>
      <c r="Q1128" s="8" t="inlineStr">
        <is>
          <t>57157120,57157159</t>
        </is>
      </c>
    </row>
    <row r="1129">
      <c r="A1129" s="8" t="inlineStr">
        <is>
          <t>G08686</t>
        </is>
      </c>
      <c r="B1129" s="8" t="inlineStr">
        <is>
          <t>ИП Токтосун кызы Н.</t>
        </is>
      </c>
      <c r="C1129" s="8" t="inlineStr">
        <is>
          <t>2552672076</t>
        </is>
      </c>
      <c r="D1129" s="8" t="inlineStr">
        <is>
          <t>ETM, акт 1С за месяц не выгружен</t>
        </is>
      </c>
      <c r="E1129" s="8" t="inlineStr">
        <is>
          <t>Выгрузка 1С</t>
        </is>
      </c>
      <c r="F1129" s="8" t="inlineStr">
        <is>
          <t>B</t>
        </is>
      </c>
      <c r="G1129" s="14" t="n">
        <v>0</v>
      </c>
      <c r="H1129" s="14" t="n">
        <v>-24987.54</v>
      </c>
      <c r="I1129" s="14" t="n"/>
      <c r="J1129" s="14" t="n">
        <v>-24987.54</v>
      </c>
      <c r="K1129" s="21" t="n">
        <v>46071.58055555556</v>
      </c>
      <c r="L1129" s="21" t="n"/>
      <c r="M1129" s="8" t="inlineStr"/>
      <c r="N1129" s="8" t="inlineStr">
        <is>
          <t>Бухгалтер: выгрузить акт</t>
        </is>
      </c>
      <c r="O1129" s="8" t="inlineStr"/>
      <c r="P1129" s="12" t="inlineStr">
        <is>
          <t>Операция есть в ETM, а акт 1С за этот (или следующий) месяц не выгружен — сначала получить акт</t>
        </is>
      </c>
      <c r="Q1129" s="8" t="inlineStr">
        <is>
          <t>57096792</t>
        </is>
      </c>
    </row>
    <row r="1130">
      <c r="A1130" s="8" t="inlineStr">
        <is>
          <t>G08687</t>
        </is>
      </c>
      <c r="B1130" s="8" t="inlineStr">
        <is>
          <t>ИП Токтосун кызы Н.</t>
        </is>
      </c>
      <c r="C1130" s="8" t="inlineStr">
        <is>
          <t>2552672079</t>
        </is>
      </c>
      <c r="D1130" s="8" t="inlineStr">
        <is>
          <t>ETM, акт 1С за месяц не выгружен</t>
        </is>
      </c>
      <c r="E1130" s="8" t="inlineStr">
        <is>
          <t>Выгрузка 1С</t>
        </is>
      </c>
      <c r="F1130" s="8" t="inlineStr">
        <is>
          <t>B</t>
        </is>
      </c>
      <c r="G1130" s="14" t="n">
        <v>0</v>
      </c>
      <c r="H1130" s="14" t="n">
        <v>-24987.54</v>
      </c>
      <c r="I1130" s="14" t="n"/>
      <c r="J1130" s="14" t="n">
        <v>-24987.54</v>
      </c>
      <c r="K1130" s="21" t="n">
        <v>46071.58009259259</v>
      </c>
      <c r="L1130" s="21" t="n"/>
      <c r="M1130" s="8" t="inlineStr"/>
      <c r="N1130" s="8" t="inlineStr">
        <is>
          <t>Бухгалтер: выгрузить акт</t>
        </is>
      </c>
      <c r="O1130" s="8" t="inlineStr"/>
      <c r="P1130" s="12" t="inlineStr">
        <is>
          <t>Операция есть в ETM, а акт 1С за этот (или следующий) месяц не выгружен — сначала получить акт</t>
        </is>
      </c>
      <c r="Q1130" s="8" t="inlineStr">
        <is>
          <t>57096826</t>
        </is>
      </c>
    </row>
    <row r="1131">
      <c r="A1131" s="8" t="inlineStr">
        <is>
          <t>G08688</t>
        </is>
      </c>
      <c r="B1131" s="8" t="inlineStr">
        <is>
          <t>ИП Токтосун кызы Н.</t>
        </is>
      </c>
      <c r="C1131" s="8" t="inlineStr">
        <is>
          <t>2552672081</t>
        </is>
      </c>
      <c r="D1131" s="8" t="inlineStr">
        <is>
          <t>ETM, акт 1С за месяц не выгружен</t>
        </is>
      </c>
      <c r="E1131" s="8" t="inlineStr">
        <is>
          <t>Выгрузка 1С</t>
        </is>
      </c>
      <c r="F1131" s="8" t="inlineStr">
        <is>
          <t>B</t>
        </is>
      </c>
      <c r="G1131" s="14" t="n">
        <v>0</v>
      </c>
      <c r="H1131" s="14" t="n">
        <v>-24987.54</v>
      </c>
      <c r="I1131" s="14" t="n"/>
      <c r="J1131" s="14" t="n">
        <v>-24987.54</v>
      </c>
      <c r="K1131" s="21" t="n">
        <v>46071.77006944444</v>
      </c>
      <c r="L1131" s="21" t="n"/>
      <c r="M1131" s="8" t="inlineStr"/>
      <c r="N1131" s="8" t="inlineStr">
        <is>
          <t>Бухгалтер: выгрузить акт</t>
        </is>
      </c>
      <c r="O1131" s="8" t="inlineStr"/>
      <c r="P1131" s="12" t="inlineStr">
        <is>
          <t>Операция есть в ETM, а акт 1С за этот (или следующий) месяц не выгружен — сначала получить акт</t>
        </is>
      </c>
      <c r="Q1131" s="8" t="inlineStr">
        <is>
          <t>57096844</t>
        </is>
      </c>
    </row>
    <row r="1132">
      <c r="A1132" s="8" t="inlineStr">
        <is>
          <t>G08928</t>
        </is>
      </c>
      <c r="B1132" s="8" t="inlineStr">
        <is>
          <t>ИССЫК ТРИП</t>
        </is>
      </c>
      <c r="C1132" s="8" t="inlineStr">
        <is>
          <t>2420844999</t>
        </is>
      </c>
      <c r="D1132" s="8" t="inlineStr">
        <is>
          <t>ETM, акт 1С за месяц не выгружен</t>
        </is>
      </c>
      <c r="E1132" s="8" t="inlineStr">
        <is>
          <t>Выгрузка 1С</t>
        </is>
      </c>
      <c r="F1132" s="8" t="inlineStr">
        <is>
          <t>B</t>
        </is>
      </c>
      <c r="G1132" s="14" t="n">
        <v>0</v>
      </c>
      <c r="H1132" s="14" t="n">
        <v>-24960.45</v>
      </c>
      <c r="I1132" s="14" t="n">
        <v>24960.4525</v>
      </c>
      <c r="J1132" s="14" t="n">
        <v>-24960.45</v>
      </c>
      <c r="K1132" s="21" t="n">
        <v>46056.48884259259</v>
      </c>
      <c r="L1132" s="21" t="n"/>
      <c r="M1132" s="8" t="inlineStr"/>
      <c r="N1132" s="8" t="inlineStr">
        <is>
          <t>Бухгалтер: выгрузить акт</t>
        </is>
      </c>
      <c r="O1132" s="8" t="inlineStr">
        <is>
          <t>e.satarov</t>
        </is>
      </c>
      <c r="P1132" s="12" t="inlineStr">
        <is>
          <t>Операция есть в ETM, а акт 1С за этот (или следующий) месяц не выгружен — сначала получить акт</t>
        </is>
      </c>
      <c r="Q1132" s="8" t="inlineStr">
        <is>
          <t>57071034</t>
        </is>
      </c>
    </row>
    <row r="1133">
      <c r="A1133" s="8" t="inlineStr">
        <is>
          <t>G12986</t>
        </is>
      </c>
      <c r="B1133" s="8" t="inlineStr">
        <is>
          <t>Сатар уулу Санжар</t>
        </is>
      </c>
      <c r="C1133" s="8" t="inlineStr">
        <is>
          <t>2420848678</t>
        </is>
      </c>
      <c r="D1133" s="8" t="inlineStr">
        <is>
          <t>ETM, акт 1С за месяц не выгружен</t>
        </is>
      </c>
      <c r="E1133" s="8" t="inlineStr">
        <is>
          <t>Выгрузка 1С</t>
        </is>
      </c>
      <c r="F1133" s="8" t="inlineStr">
        <is>
          <t>B</t>
        </is>
      </c>
      <c r="G1133" s="14" t="n">
        <v>0</v>
      </c>
      <c r="H1133" s="14" t="n">
        <v>-24808.49</v>
      </c>
      <c r="I1133" s="14" t="n">
        <v>24808.49</v>
      </c>
      <c r="J1133" s="14" t="n">
        <v>-24808.49</v>
      </c>
      <c r="K1133" s="21" t="n">
        <v>46129.47653935185</v>
      </c>
      <c r="L1133" s="21" t="n"/>
      <c r="M1133" s="8" t="inlineStr"/>
      <c r="N1133" s="8" t="inlineStr">
        <is>
          <t>Бухгалтер: выгрузить акт</t>
        </is>
      </c>
      <c r="O1133" s="8" t="inlineStr">
        <is>
          <t>g.omurbekova</t>
        </is>
      </c>
      <c r="P1133" s="12" t="inlineStr">
        <is>
          <t>Операция есть в ETM, а акт 1С за этот (или следующий) месяц не выгружен — сначала получить акт</t>
        </is>
      </c>
      <c r="Q1133" s="8" t="inlineStr">
        <is>
          <t>57213366</t>
        </is>
      </c>
    </row>
    <row r="1134">
      <c r="A1134" s="8" t="inlineStr">
        <is>
          <t>G07295</t>
        </is>
      </c>
      <c r="B1134" s="8" t="inlineStr">
        <is>
          <t>Жибек Эйр</t>
        </is>
      </c>
      <c r="C1134" s="8" t="inlineStr">
        <is>
          <t>2461881543</t>
        </is>
      </c>
      <c r="D1134" s="8" t="inlineStr">
        <is>
          <t>ETM, акт 1С за месяц не выгружен</t>
        </is>
      </c>
      <c r="E1134" s="8" t="inlineStr">
        <is>
          <t>Выгрузка 1С</t>
        </is>
      </c>
      <c r="F1134" s="8" t="inlineStr">
        <is>
          <t>B</t>
        </is>
      </c>
      <c r="G1134" s="14" t="n">
        <v>0</v>
      </c>
      <c r="H1134" s="14" t="n">
        <v>-24745</v>
      </c>
      <c r="I1134" s="14" t="n"/>
      <c r="J1134" s="14" t="n">
        <v>-24745</v>
      </c>
      <c r="K1134" s="21" t="n">
        <v>46147.75627314814</v>
      </c>
      <c r="L1134" s="21" t="n"/>
      <c r="M1134" s="8" t="inlineStr"/>
      <c r="N1134" s="8" t="inlineStr">
        <is>
          <t>Бухгалтер: выгрузить акт</t>
        </is>
      </c>
      <c r="O1134" s="8" t="inlineStr">
        <is>
          <t>e.satarov</t>
        </is>
      </c>
      <c r="P1134" s="12" t="inlineStr">
        <is>
          <t>Операция есть в ETM, а акт 1С за этот (или следующий) месяц не выгружен — сначала получить акт</t>
        </is>
      </c>
      <c r="Q1134" s="8" t="inlineStr">
        <is>
          <t>57253587</t>
        </is>
      </c>
    </row>
    <row r="1135">
      <c r="A1135" s="8" t="inlineStr">
        <is>
          <t>G07283</t>
        </is>
      </c>
      <c r="B1135" s="8" t="inlineStr">
        <is>
          <t>Жибек Эйр</t>
        </is>
      </c>
      <c r="C1135" s="8" t="inlineStr">
        <is>
          <t>2460738323</t>
        </is>
      </c>
      <c r="D1135" s="8" t="inlineStr">
        <is>
          <t>ETM, акт 1С за месяц не выгружен</t>
        </is>
      </c>
      <c r="E1135" s="8" t="inlineStr">
        <is>
          <t>Выгрузка 1С</t>
        </is>
      </c>
      <c r="F1135" s="8" t="inlineStr">
        <is>
          <t>B</t>
        </is>
      </c>
      <c r="G1135" s="14" t="n">
        <v>0</v>
      </c>
      <c r="H1135" s="14" t="n">
        <v>-24585</v>
      </c>
      <c r="I1135" s="14" t="n">
        <v>24585</v>
      </c>
      <c r="J1135" s="14" t="n">
        <v>-24585</v>
      </c>
      <c r="K1135" s="21" t="n">
        <v>46150.71111111111</v>
      </c>
      <c r="L1135" s="21" t="n"/>
      <c r="M1135" s="8" t="inlineStr"/>
      <c r="N1135" s="8" t="inlineStr">
        <is>
          <t>Бухгалтер: выгрузить акт</t>
        </is>
      </c>
      <c r="O1135" s="8" t="inlineStr">
        <is>
          <t>e.satarov</t>
        </is>
      </c>
      <c r="P1135" s="12" t="inlineStr">
        <is>
          <t>Операция есть в ETM, а акт 1С за этот (или следующий) месяц не выгружен — сначала получить акт</t>
        </is>
      </c>
      <c r="Q1135" s="8" t="inlineStr">
        <is>
          <t>57265995</t>
        </is>
      </c>
    </row>
    <row r="1136">
      <c r="A1136" s="8" t="inlineStr">
        <is>
          <t>G10695</t>
        </is>
      </c>
      <c r="B1136" s="8" t="inlineStr">
        <is>
          <t>Манас Туризм</t>
        </is>
      </c>
      <c r="C1136" s="8" t="inlineStr">
        <is>
          <t>2552669081</t>
        </is>
      </c>
      <c r="D1136" s="8" t="inlineStr">
        <is>
          <t>ETM, акт 1С за месяц не выгружен</t>
        </is>
      </c>
      <c r="E1136" s="8" t="inlineStr">
        <is>
          <t>Выгрузка 1С</t>
        </is>
      </c>
      <c r="F1136" s="8" t="inlineStr">
        <is>
          <t>B</t>
        </is>
      </c>
      <c r="G1136" s="14" t="n">
        <v>0</v>
      </c>
      <c r="H1136" s="14" t="n">
        <v>-24452.5</v>
      </c>
      <c r="I1136" s="14" t="n">
        <v>24452.5</v>
      </c>
      <c r="J1136" s="14" t="n">
        <v>-24452.5</v>
      </c>
      <c r="K1136" s="21" t="n">
        <v>46184.57516203704</v>
      </c>
      <c r="L1136" s="21" t="n"/>
      <c r="M1136" s="8" t="inlineStr"/>
      <c r="N1136" s="8" t="inlineStr">
        <is>
          <t>Бухгалтер: выгрузить акт</t>
        </is>
      </c>
      <c r="O1136" s="8" t="inlineStr">
        <is>
          <t>d.mambetova</t>
        </is>
      </c>
      <c r="P1136" s="12" t="inlineStr">
        <is>
          <t>Операция есть в ETM, а акт 1С за этот (или следующий) месяц не выгружен — сначала получить акт</t>
        </is>
      </c>
      <c r="Q1136" s="8" t="inlineStr">
        <is>
          <t>57359060</t>
        </is>
      </c>
    </row>
    <row r="1137">
      <c r="A1137" s="8" t="inlineStr">
        <is>
          <t>G13538</t>
        </is>
      </c>
      <c r="B1137" s="8" t="inlineStr">
        <is>
          <t>Сыдыков С. У.</t>
        </is>
      </c>
      <c r="C1137" s="8" t="inlineStr">
        <is>
          <t>2420847770</t>
        </is>
      </c>
      <c r="D1137" s="8" t="inlineStr">
        <is>
          <t>ETM, акт 1С за месяц не выгружен</t>
        </is>
      </c>
      <c r="E1137" s="8" t="inlineStr">
        <is>
          <t>Выгрузка 1С</t>
        </is>
      </c>
      <c r="F1137" s="8" t="inlineStr">
        <is>
          <t>B</t>
        </is>
      </c>
      <c r="G1137" s="14" t="n">
        <v>0</v>
      </c>
      <c r="H1137" s="14" t="n">
        <v>-24444.6</v>
      </c>
      <c r="I1137" s="14" t="n">
        <v>24444.5952</v>
      </c>
      <c r="J1137" s="14" t="n">
        <v>-24444.6</v>
      </c>
      <c r="K1137" s="21" t="n">
        <v>46155.38178240741</v>
      </c>
      <c r="L1137" s="21" t="n"/>
      <c r="M1137" s="8" t="inlineStr"/>
      <c r="N1137" s="8" t="inlineStr">
        <is>
          <t>Бухгалтер: выгрузить акт</t>
        </is>
      </c>
      <c r="O1137" s="8" t="inlineStr">
        <is>
          <t>b.isakov</t>
        </is>
      </c>
      <c r="P1137" s="12" t="inlineStr">
        <is>
          <t>Операция есть в ETM, а акт 1С за этот (или следующий) месяц не выгружен — сначала получить акт</t>
        </is>
      </c>
      <c r="Q1137" s="8" t="inlineStr">
        <is>
          <t>57281238</t>
        </is>
      </c>
    </row>
    <row r="1138">
      <c r="A1138" s="8" t="inlineStr">
        <is>
          <t>G07321</t>
        </is>
      </c>
      <c r="B1138" s="8" t="inlineStr">
        <is>
          <t>Жибек Эйр</t>
        </is>
      </c>
      <c r="C1138" s="8" t="inlineStr">
        <is>
          <t>2461885570</t>
        </is>
      </c>
      <c r="D1138" s="8" t="inlineStr">
        <is>
          <t>ETM, акт 1С за месяц не выгружен</t>
        </is>
      </c>
      <c r="E1138" s="8" t="inlineStr">
        <is>
          <t>Выгрузка 1С</t>
        </is>
      </c>
      <c r="F1138" s="8" t="inlineStr">
        <is>
          <t>B</t>
        </is>
      </c>
      <c r="G1138" s="14" t="n">
        <v>0</v>
      </c>
      <c r="H1138" s="14" t="n">
        <v>-24437</v>
      </c>
      <c r="I1138" s="14" t="n">
        <v>24437</v>
      </c>
      <c r="J1138" s="14" t="n">
        <v>-24437</v>
      </c>
      <c r="K1138" s="21" t="n">
        <v>46170.52865740741</v>
      </c>
      <c r="L1138" s="21" t="n"/>
      <c r="M1138" s="8" t="inlineStr"/>
      <c r="N1138" s="8" t="inlineStr">
        <is>
          <t>Бухгалтер: выгрузить акт</t>
        </is>
      </c>
      <c r="O1138" s="8" t="inlineStr">
        <is>
          <t>e.satarov</t>
        </is>
      </c>
      <c r="P1138" s="12" t="inlineStr">
        <is>
          <t>Операция есть в ETM, а акт 1С за этот (или следующий) месяц не выгружен — сначала получить акт</t>
        </is>
      </c>
      <c r="Q1138" s="8" t="inlineStr">
        <is>
          <t>57324702</t>
        </is>
      </c>
    </row>
    <row r="1139">
      <c r="A1139" s="8" t="inlineStr">
        <is>
          <t>G09070</t>
        </is>
      </c>
      <c r="B1139" s="8" t="inlineStr">
        <is>
          <t>ИССЫК ТРИП</t>
        </is>
      </c>
      <c r="C1139" s="8" t="inlineStr">
        <is>
          <t>2460734492</t>
        </is>
      </c>
      <c r="D1139" s="8" t="inlineStr">
        <is>
          <t>ETM, акт 1С за месяц не выгружен</t>
        </is>
      </c>
      <c r="E1139" s="8" t="inlineStr">
        <is>
          <t>Выгрузка 1С</t>
        </is>
      </c>
      <c r="F1139" s="8" t="inlineStr">
        <is>
          <t>B</t>
        </is>
      </c>
      <c r="G1139" s="14" t="n">
        <v>0</v>
      </c>
      <c r="H1139" s="14" t="n">
        <v>-24432</v>
      </c>
      <c r="I1139" s="14" t="n"/>
      <c r="J1139" s="14" t="n">
        <v>-24432</v>
      </c>
      <c r="K1139" s="21" t="n">
        <v>46062.48528935185</v>
      </c>
      <c r="L1139" s="21" t="n"/>
      <c r="M1139" s="8" t="inlineStr"/>
      <c r="N1139" s="8" t="inlineStr">
        <is>
          <t>Бухгалтер: выгрузить акт</t>
        </is>
      </c>
      <c r="O1139" s="8" t="inlineStr"/>
      <c r="P1139" s="12" t="inlineStr">
        <is>
          <t>Операция есть в ETM, а акт 1С за этот (или следующий) месяц не выгружен — сначала получить акт</t>
        </is>
      </c>
      <c r="Q1139" s="8" t="inlineStr">
        <is>
          <t>57080404</t>
        </is>
      </c>
    </row>
    <row r="1140">
      <c r="A1140" s="8" t="inlineStr">
        <is>
          <t>G14280</t>
        </is>
      </c>
      <c r="B1140" s="8" t="inlineStr">
        <is>
          <t>ЧОЛПОН ТУР</t>
        </is>
      </c>
      <c r="C1140" s="8" t="inlineStr">
        <is>
          <t>2459531128</t>
        </is>
      </c>
      <c r="D1140" s="8" t="inlineStr">
        <is>
          <t>ETM, акт 1С за месяц не выгружен</t>
        </is>
      </c>
      <c r="E1140" s="8" t="inlineStr">
        <is>
          <t>Выгрузка 1С</t>
        </is>
      </c>
      <c r="F1140" s="8" t="inlineStr">
        <is>
          <t>B</t>
        </is>
      </c>
      <c r="G1140" s="14" t="n">
        <v>0</v>
      </c>
      <c r="H1140" s="14" t="n">
        <v>-24416</v>
      </c>
      <c r="I1140" s="14" t="n"/>
      <c r="J1140" s="14" t="n">
        <v>-24416</v>
      </c>
      <c r="K1140" s="21" t="n">
        <v>46102.69872685185</v>
      </c>
      <c r="L1140" s="21" t="n"/>
      <c r="M1140" s="8" t="inlineStr"/>
      <c r="N1140" s="8" t="inlineStr">
        <is>
          <t>Бухгалтер: выгрузить акт</t>
        </is>
      </c>
      <c r="O1140" s="8" t="inlineStr"/>
      <c r="P1140" s="12" t="inlineStr">
        <is>
          <t>Операция есть в ETM, а акт 1С за этот (или следующий) месяц не выгружен — сначала получить акт</t>
        </is>
      </c>
      <c r="Q1140" s="8" t="inlineStr">
        <is>
          <t>57162822</t>
        </is>
      </c>
    </row>
    <row r="1141">
      <c r="A1141" s="8" t="inlineStr">
        <is>
          <t>G12954</t>
        </is>
      </c>
      <c r="B1141" s="8" t="inlineStr">
        <is>
          <t>Сатар уулу Санжар</t>
        </is>
      </c>
      <c r="C1141" s="8" t="inlineStr">
        <is>
          <t>2420845636</t>
        </is>
      </c>
      <c r="D1141" s="8" t="inlineStr">
        <is>
          <t>ETM, акт 1С за месяц не выгружен</t>
        </is>
      </c>
      <c r="E1141" s="8" t="inlineStr">
        <is>
          <t>Выгрузка 1С</t>
        </is>
      </c>
      <c r="F1141" s="8" t="inlineStr">
        <is>
          <t>B</t>
        </is>
      </c>
      <c r="G1141" s="14" t="n">
        <v>0</v>
      </c>
      <c r="H1141" s="14" t="n">
        <v>-24265.86</v>
      </c>
      <c r="I1141" s="14" t="n"/>
      <c r="J1141" s="14" t="n">
        <v>-24265.86</v>
      </c>
      <c r="K1141" s="21" t="n">
        <v>46113.46664351852</v>
      </c>
      <c r="L1141" s="21" t="n"/>
      <c r="M1141" s="8" t="inlineStr"/>
      <c r="N1141" s="8" t="inlineStr">
        <is>
          <t>Бухгалтер: выгрузить акт</t>
        </is>
      </c>
      <c r="O1141" s="8" t="inlineStr"/>
      <c r="P1141" s="12" t="inlineStr">
        <is>
          <t>Операция есть в ETM, а акт 1С за этот (или следующий) месяц не выгружен — сначала получить акт</t>
        </is>
      </c>
      <c r="Q1141" s="8" t="inlineStr">
        <is>
          <t>57184697</t>
        </is>
      </c>
    </row>
    <row r="1142">
      <c r="A1142" s="8" t="inlineStr">
        <is>
          <t>G07449</t>
        </is>
      </c>
      <c r="B1142" s="8" t="inlineStr">
        <is>
          <t>Жибек Эйр</t>
        </is>
      </c>
      <c r="C1142" s="8" t="inlineStr">
        <is>
          <t>2559104055</t>
        </is>
      </c>
      <c r="D1142" s="8" t="inlineStr">
        <is>
          <t>ETM, акт 1С за месяц не выгружен</t>
        </is>
      </c>
      <c r="E1142" s="8" t="inlineStr">
        <is>
          <t>Выгрузка 1С</t>
        </is>
      </c>
      <c r="F1142" s="8" t="inlineStr">
        <is>
          <t>B</t>
        </is>
      </c>
      <c r="G1142" s="14" t="n">
        <v>0</v>
      </c>
      <c r="H1142" s="14" t="n">
        <v>-24262.66</v>
      </c>
      <c r="I1142" s="14" t="n">
        <v>24262.66</v>
      </c>
      <c r="J1142" s="14" t="n">
        <v>-24262.66</v>
      </c>
      <c r="K1142" s="21" t="n">
        <v>46170.74563657407</v>
      </c>
      <c r="L1142" s="21" t="n"/>
      <c r="M1142" s="8" t="inlineStr"/>
      <c r="N1142" s="8" t="inlineStr">
        <is>
          <t>Бухгалтер: выгрузить акт</t>
        </is>
      </c>
      <c r="O1142" s="8" t="inlineStr">
        <is>
          <t>a.toktosunova</t>
        </is>
      </c>
      <c r="P1142" s="12" t="inlineStr">
        <is>
          <t>Операция есть в ETM, а акт 1С за этот (или следующий) месяц не выгружен — сначала получить акт</t>
        </is>
      </c>
      <c r="Q1142" s="8" t="inlineStr">
        <is>
          <t>57324944</t>
        </is>
      </c>
    </row>
    <row r="1143">
      <c r="A1143" s="8" t="inlineStr">
        <is>
          <t>G07415</t>
        </is>
      </c>
      <c r="B1143" s="8" t="inlineStr">
        <is>
          <t>Жибек Эйр</t>
        </is>
      </c>
      <c r="C1143" s="8" t="inlineStr">
        <is>
          <t>2559099070</t>
        </is>
      </c>
      <c r="D1143" s="8" t="inlineStr">
        <is>
          <t>ETM, акт 1С за месяц не выгружен</t>
        </is>
      </c>
      <c r="E1143" s="8" t="inlineStr">
        <is>
          <t>Выгрузка 1С</t>
        </is>
      </c>
      <c r="F1143" s="8" t="inlineStr">
        <is>
          <t>B</t>
        </is>
      </c>
      <c r="G1143" s="14" t="n">
        <v>0</v>
      </c>
      <c r="H1143" s="14" t="n">
        <v>-23917.25</v>
      </c>
      <c r="I1143" s="14" t="n">
        <v>23917.25</v>
      </c>
      <c r="J1143" s="14" t="n">
        <v>-23917.25</v>
      </c>
      <c r="K1143" s="21" t="n">
        <v>46129.69133101852</v>
      </c>
      <c r="L1143" s="21" t="n"/>
      <c r="M1143" s="8" t="inlineStr"/>
      <c r="N1143" s="8" t="inlineStr">
        <is>
          <t>Бухгалтер: выгрузить акт</t>
        </is>
      </c>
      <c r="O1143" s="8" t="inlineStr">
        <is>
          <t>b.isakov</t>
        </is>
      </c>
      <c r="P1143" s="12" t="inlineStr">
        <is>
          <t>Операция есть в ETM, а акт 1С за этот (или следующий) месяц не выгружен — сначала получить акт</t>
        </is>
      </c>
      <c r="Q1143" s="8" t="inlineStr">
        <is>
          <t>57212189</t>
        </is>
      </c>
    </row>
    <row r="1144">
      <c r="A1144" s="8" t="inlineStr">
        <is>
          <t>G14502</t>
        </is>
      </c>
      <c r="B1144" s="8" t="inlineStr">
        <is>
          <t>Чолпон Тревел</t>
        </is>
      </c>
      <c r="C1144" s="8" t="inlineStr">
        <is>
          <t>2552671228</t>
        </is>
      </c>
      <c r="D1144" s="8" t="inlineStr">
        <is>
          <t>ETM, акт 1С за месяц не выгружен</t>
        </is>
      </c>
      <c r="E1144" s="8" t="inlineStr">
        <is>
          <t>Выгрузка 1С</t>
        </is>
      </c>
      <c r="F1144" s="8" t="inlineStr">
        <is>
          <t>B</t>
        </is>
      </c>
      <c r="G1144" s="14" t="n">
        <v>0</v>
      </c>
      <c r="H1144" s="14" t="n">
        <v>-23887.62</v>
      </c>
      <c r="I1144" s="14" t="n">
        <v>23887.625</v>
      </c>
      <c r="J1144" s="14" t="n">
        <v>-23887.62</v>
      </c>
      <c r="K1144" s="21" t="n">
        <v>46150.48958333334</v>
      </c>
      <c r="L1144" s="21" t="n"/>
      <c r="M1144" s="8" t="inlineStr"/>
      <c r="N1144" s="8" t="inlineStr">
        <is>
          <t>Бухгалтер: выгрузить акт</t>
        </is>
      </c>
      <c r="O1144" s="8" t="inlineStr">
        <is>
          <t>r.sydykov</t>
        </is>
      </c>
      <c r="P1144" s="12" t="inlineStr">
        <is>
          <t>Операция есть в ETM, а акт 1С за этот (или следующий) месяц не выгружен — сначала получить акт</t>
        </is>
      </c>
      <c r="Q1144" s="8" t="inlineStr">
        <is>
          <t>57265264</t>
        </is>
      </c>
    </row>
    <row r="1145">
      <c r="A1145" s="8" t="inlineStr">
        <is>
          <t>G08527</t>
        </is>
      </c>
      <c r="B1145" s="8" t="inlineStr">
        <is>
          <t>ИП Токтосун кызы Н.</t>
        </is>
      </c>
      <c r="C1145" s="8" t="inlineStr">
        <is>
          <t>2420845939</t>
        </is>
      </c>
      <c r="D1145" s="8" t="inlineStr">
        <is>
          <t>ETM, акт 1С за месяц не выгружен</t>
        </is>
      </c>
      <c r="E1145" s="8" t="inlineStr">
        <is>
          <t>Выгрузка 1С</t>
        </is>
      </c>
      <c r="F1145" s="8" t="inlineStr">
        <is>
          <t>B</t>
        </is>
      </c>
      <c r="G1145" s="14" t="n">
        <v>0</v>
      </c>
      <c r="H1145" s="14" t="n">
        <v>-22803.68</v>
      </c>
      <c r="I1145" s="14" t="n">
        <v>22803.683</v>
      </c>
      <c r="J1145" s="14" t="n">
        <v>-22803.68</v>
      </c>
      <c r="K1145" s="21" t="n">
        <v>46063.66362268518</v>
      </c>
      <c r="L1145" s="21" t="n"/>
      <c r="M1145" s="8" t="inlineStr"/>
      <c r="N1145" s="8" t="inlineStr">
        <is>
          <t>Бухгалтер: выгрузить акт</t>
        </is>
      </c>
      <c r="O1145" s="8" t="inlineStr">
        <is>
          <t>g.omurbekova</t>
        </is>
      </c>
      <c r="P1145" s="12" t="inlineStr">
        <is>
          <t>Операция есть в ETM, а акт 1С за этот (или следующий) месяц не выгружен — сначала получить акт</t>
        </is>
      </c>
      <c r="Q1145" s="8" t="inlineStr">
        <is>
          <t>57083393</t>
        </is>
      </c>
    </row>
    <row r="1146">
      <c r="A1146" s="8" t="inlineStr">
        <is>
          <t>G08647</t>
        </is>
      </c>
      <c r="B1146" s="8" t="inlineStr">
        <is>
          <t>ИП Токтосун кызы Н.</t>
        </is>
      </c>
      <c r="C1146" s="8" t="inlineStr">
        <is>
          <t>2476316810</t>
        </is>
      </c>
      <c r="D1146" s="8" t="inlineStr">
        <is>
          <t>ETM, акт 1С за месяц не выгружен</t>
        </is>
      </c>
      <c r="E1146" s="8" t="inlineStr">
        <is>
          <t>Выгрузка 1С</t>
        </is>
      </c>
      <c r="F1146" s="8" t="inlineStr">
        <is>
          <t>B</t>
        </is>
      </c>
      <c r="G1146" s="14" t="n">
        <v>0</v>
      </c>
      <c r="H1146" s="14" t="n">
        <v>-22780.6</v>
      </c>
      <c r="I1146" s="14" t="n">
        <v>22780.6</v>
      </c>
      <c r="J1146" s="14" t="n">
        <v>-22780.6</v>
      </c>
      <c r="K1146" s="21" t="n">
        <v>46058.81449074074</v>
      </c>
      <c r="L1146" s="21" t="n"/>
      <c r="M1146" s="8" t="inlineStr"/>
      <c r="N1146" s="8" t="inlineStr">
        <is>
          <t>Бухгалтер: выгрузить акт</t>
        </is>
      </c>
      <c r="O1146" s="8" t="inlineStr">
        <is>
          <t>b.isakov</t>
        </is>
      </c>
      <c r="P1146" s="12" t="inlineStr">
        <is>
          <t>Операция есть в ETM, а акт 1С за этот (или следующий) месяц не выгружен — сначала получить акт</t>
        </is>
      </c>
      <c r="Q1146" s="8" t="inlineStr">
        <is>
          <t>57074771</t>
        </is>
      </c>
    </row>
    <row r="1147">
      <c r="A1147" s="8" t="inlineStr">
        <is>
          <t>G07134</t>
        </is>
      </c>
      <c r="B1147" s="8" t="inlineStr">
        <is>
          <t>Жибек Эйр</t>
        </is>
      </c>
      <c r="C1147" s="8" t="inlineStr">
        <is>
          <t>2416942058</t>
        </is>
      </c>
      <c r="D1147" s="8" t="inlineStr">
        <is>
          <t>ETM, акт 1С за месяц не выгружен</t>
        </is>
      </c>
      <c r="E1147" s="8" t="inlineStr">
        <is>
          <t>Выгрузка 1С</t>
        </is>
      </c>
      <c r="F1147" s="8" t="inlineStr">
        <is>
          <t>B</t>
        </is>
      </c>
      <c r="G1147" s="14" t="n">
        <v>0</v>
      </c>
      <c r="H1147" s="14" t="n">
        <v>-22716.89</v>
      </c>
      <c r="I1147" s="14" t="n"/>
      <c r="J1147" s="14" t="n">
        <v>-22716.89</v>
      </c>
      <c r="K1147" s="21" t="n">
        <v>46166.60008101852</v>
      </c>
      <c r="L1147" s="21" t="n"/>
      <c r="M1147" s="8" t="inlineStr"/>
      <c r="N1147" s="8" t="inlineStr">
        <is>
          <t>Бухгалтер: выгрузить акт</t>
        </is>
      </c>
      <c r="O1147" s="8" t="inlineStr"/>
      <c r="P1147" s="12" t="inlineStr">
        <is>
          <t>Операция есть в ETM, а акт 1С за этот (или следующий) месяц не выгружен — сначала получить акт</t>
        </is>
      </c>
      <c r="Q1147" s="8" t="inlineStr">
        <is>
          <t>57312730</t>
        </is>
      </c>
    </row>
    <row r="1148">
      <c r="A1148" s="8" t="inlineStr">
        <is>
          <t>G07135</t>
        </is>
      </c>
      <c r="B1148" s="8" t="inlineStr">
        <is>
          <t>Жибек Эйр</t>
        </is>
      </c>
      <c r="C1148" s="8" t="inlineStr">
        <is>
          <t>2416942059</t>
        </is>
      </c>
      <c r="D1148" s="8" t="inlineStr">
        <is>
          <t>ETM, акт 1С за месяц не выгружен</t>
        </is>
      </c>
      <c r="E1148" s="8" t="inlineStr">
        <is>
          <t>Выгрузка 1С</t>
        </is>
      </c>
      <c r="F1148" s="8" t="inlineStr">
        <is>
          <t>B</t>
        </is>
      </c>
      <c r="G1148" s="14" t="n">
        <v>0</v>
      </c>
      <c r="H1148" s="14" t="n">
        <v>-22716.89</v>
      </c>
      <c r="I1148" s="14" t="n"/>
      <c r="J1148" s="14" t="n">
        <v>-22716.89</v>
      </c>
      <c r="K1148" s="21" t="n">
        <v>46166.62630787037</v>
      </c>
      <c r="L1148" s="21" t="n"/>
      <c r="M1148" s="8" t="inlineStr"/>
      <c r="N1148" s="8" t="inlineStr">
        <is>
          <t>Бухгалтер: выгрузить акт</t>
        </is>
      </c>
      <c r="O1148" s="8" t="inlineStr"/>
      <c r="P1148" s="12" t="inlineStr">
        <is>
          <t>Операция есть в ETM, а акт 1С за этот (или следующий) месяц не выгружен — сначала получить акт</t>
        </is>
      </c>
      <c r="Q1148" s="8" t="inlineStr">
        <is>
          <t>57312754</t>
        </is>
      </c>
    </row>
    <row r="1149">
      <c r="A1149" s="8" t="inlineStr">
        <is>
          <t>G12946</t>
        </is>
      </c>
      <c r="B1149" s="8" t="inlineStr">
        <is>
          <t>Сатар уулу Санжар</t>
        </is>
      </c>
      <c r="C1149" s="8" t="inlineStr">
        <is>
          <t>2420845317</t>
        </is>
      </c>
      <c r="D1149" s="8" t="inlineStr">
        <is>
          <t>ETM, акт 1С за месяц не выгружен</t>
        </is>
      </c>
      <c r="E1149" s="8" t="inlineStr">
        <is>
          <t>Выгрузка 1С</t>
        </is>
      </c>
      <c r="F1149" s="8" t="inlineStr">
        <is>
          <t>B</t>
        </is>
      </c>
      <c r="G1149" s="14" t="n">
        <v>0</v>
      </c>
      <c r="H1149" s="14" t="n">
        <v>-22575.46</v>
      </c>
      <c r="I1149" s="14" t="n"/>
      <c r="J1149" s="14" t="n">
        <v>-22575.46</v>
      </c>
      <c r="K1149" s="21" t="n">
        <v>46183.67246527778</v>
      </c>
      <c r="L1149" s="21" t="n"/>
      <c r="M1149" s="8" t="inlineStr"/>
      <c r="N1149" s="8" t="inlineStr">
        <is>
          <t>Бухгалтер: выгрузить акт</t>
        </is>
      </c>
      <c r="O1149" s="8" t="inlineStr"/>
      <c r="P1149" s="12" t="inlineStr">
        <is>
          <t>Операция есть в ETM, а акт 1С за этот (или следующий) месяц не выгружен — сначала получить акт</t>
        </is>
      </c>
      <c r="Q1149" s="8" t="inlineStr">
        <is>
          <t>57356554</t>
        </is>
      </c>
    </row>
    <row r="1150">
      <c r="A1150" s="8" t="inlineStr">
        <is>
          <t>G12947</t>
        </is>
      </c>
      <c r="B1150" s="8" t="inlineStr">
        <is>
          <t>Сатар уулу Санжар</t>
        </is>
      </c>
      <c r="C1150" s="8" t="inlineStr">
        <is>
          <t>2420845320</t>
        </is>
      </c>
      <c r="D1150" s="8" t="inlineStr">
        <is>
          <t>ETM, акт 1С за месяц не выгружен</t>
        </is>
      </c>
      <c r="E1150" s="8" t="inlineStr">
        <is>
          <t>Выгрузка 1С</t>
        </is>
      </c>
      <c r="F1150" s="8" t="inlineStr">
        <is>
          <t>B</t>
        </is>
      </c>
      <c r="G1150" s="14" t="n">
        <v>0</v>
      </c>
      <c r="H1150" s="14" t="n">
        <v>-22575.46</v>
      </c>
      <c r="I1150" s="14" t="n"/>
      <c r="J1150" s="14" t="n">
        <v>-22575.46</v>
      </c>
      <c r="K1150" s="21" t="n">
        <v>46183.38079861111</v>
      </c>
      <c r="L1150" s="21" t="n"/>
      <c r="M1150" s="8" t="inlineStr"/>
      <c r="N1150" s="8" t="inlineStr">
        <is>
          <t>Бухгалтер: выгрузить акт</t>
        </is>
      </c>
      <c r="O1150" s="8" t="inlineStr"/>
      <c r="P1150" s="12" t="inlineStr">
        <is>
          <t>Операция есть в ETM, а акт 1С за этот (или следующий) месяц не выгружен — сначала получить акт</t>
        </is>
      </c>
      <c r="Q1150" s="8" t="inlineStr">
        <is>
          <t>57356577</t>
        </is>
      </c>
    </row>
    <row r="1151">
      <c r="A1151" s="8" t="inlineStr">
        <is>
          <t>G08231</t>
        </is>
      </c>
      <c r="B1151" s="8" t="inlineStr">
        <is>
          <t>ИП Жумабекова Б. Н.</t>
        </is>
      </c>
      <c r="C1151" s="8" t="inlineStr">
        <is>
          <t>2559101885</t>
        </is>
      </c>
      <c r="D1151" s="8" t="inlineStr">
        <is>
          <t>ETM, акт 1С за месяц не выгружен</t>
        </is>
      </c>
      <c r="E1151" s="8" t="inlineStr">
        <is>
          <t>Выгрузка 1С</t>
        </is>
      </c>
      <c r="F1151" s="8" t="inlineStr">
        <is>
          <t>B</t>
        </is>
      </c>
      <c r="G1151" s="14" t="n">
        <v>0</v>
      </c>
      <c r="H1151" s="14" t="n">
        <v>-22566.4</v>
      </c>
      <c r="I1151" s="14" t="n"/>
      <c r="J1151" s="14" t="n">
        <v>-22566.4</v>
      </c>
      <c r="K1151" s="21" t="n">
        <v>46168.80064814815</v>
      </c>
      <c r="L1151" s="21" t="n"/>
      <c r="M1151" s="8" t="inlineStr"/>
      <c r="N1151" s="8" t="inlineStr">
        <is>
          <t>Бухгалтер: выгрузить акт</t>
        </is>
      </c>
      <c r="O1151" s="8" t="inlineStr"/>
      <c r="P1151" s="12" t="inlineStr">
        <is>
          <t>Операция есть в ETM, а акт 1С за этот (или следующий) месяц не выгружен — сначала получить акт</t>
        </is>
      </c>
      <c r="Q1151" s="8" t="inlineStr">
        <is>
          <t>57318725</t>
        </is>
      </c>
    </row>
    <row r="1152">
      <c r="A1152" s="8" t="inlineStr">
        <is>
          <t>G07886</t>
        </is>
      </c>
      <c r="B1152" s="8" t="inlineStr">
        <is>
          <t>ИП Асанов К. Б.</t>
        </is>
      </c>
      <c r="C1152" s="8" t="inlineStr">
        <is>
          <t>2559098756</t>
        </is>
      </c>
      <c r="D1152" s="8" t="inlineStr">
        <is>
          <t>ETM, акт 1С за месяц не выгружен</t>
        </is>
      </c>
      <c r="E1152" s="8" t="inlineStr">
        <is>
          <t>Выгрузка 1С</t>
        </is>
      </c>
      <c r="F1152" s="8" t="inlineStr">
        <is>
          <t>B</t>
        </is>
      </c>
      <c r="G1152" s="14" t="n">
        <v>0</v>
      </c>
      <c r="H1152" s="14" t="n">
        <v>-22490.4</v>
      </c>
      <c r="I1152" s="14" t="n">
        <v>22490.4</v>
      </c>
      <c r="J1152" s="14" t="n">
        <v>-22490.4</v>
      </c>
      <c r="K1152" s="21" t="n">
        <v>46061.81744212963</v>
      </c>
      <c r="L1152" s="21" t="n"/>
      <c r="M1152" s="8" t="inlineStr"/>
      <c r="N1152" s="8" t="inlineStr">
        <is>
          <t>Бухгалтер: выгрузить акт</t>
        </is>
      </c>
      <c r="O1152" s="8" t="inlineStr">
        <is>
          <t>k.dzhumaev</t>
        </is>
      </c>
      <c r="P1152" s="12" t="inlineStr">
        <is>
          <t>Операция есть в ETM, а акт 1С за этот (или следующий) месяц не выгружен — сначала получить акт</t>
        </is>
      </c>
      <c r="Q1152" s="8" t="inlineStr">
        <is>
          <t>57078642</t>
        </is>
      </c>
    </row>
    <row r="1153">
      <c r="A1153" s="8" t="inlineStr">
        <is>
          <t>G13199</t>
        </is>
      </c>
      <c r="B1153" s="8" t="inlineStr">
        <is>
          <t>Сатар уулу Санжар</t>
        </is>
      </c>
      <c r="C1153" s="8" t="inlineStr">
        <is>
          <t>2476314675</t>
        </is>
      </c>
      <c r="D1153" s="8" t="inlineStr">
        <is>
          <t>ETM, акт 1С за месяц не выгружен</t>
        </is>
      </c>
      <c r="E1153" s="8" t="inlineStr">
        <is>
          <t>Выгрузка 1С</t>
        </is>
      </c>
      <c r="F1153" s="8" t="inlineStr">
        <is>
          <t>B</t>
        </is>
      </c>
      <c r="G1153" s="14" t="n">
        <v>0</v>
      </c>
      <c r="H1153" s="14" t="n">
        <v>-22340.48</v>
      </c>
      <c r="I1153" s="14" t="n"/>
      <c r="J1153" s="14" t="n">
        <v>-22340.48</v>
      </c>
      <c r="K1153" s="21" t="n">
        <v>46132.76415509259</v>
      </c>
      <c r="L1153" s="21" t="n"/>
      <c r="M1153" s="8" t="inlineStr"/>
      <c r="N1153" s="8" t="inlineStr">
        <is>
          <t>Бухгалтер: выгрузить акт</t>
        </is>
      </c>
      <c r="O1153" s="8" t="inlineStr"/>
      <c r="P1153" s="12" t="inlineStr">
        <is>
          <t>Операция есть в ETM, а акт 1С за этот (или следующий) месяц не выгружен — сначала получить акт</t>
        </is>
      </c>
      <c r="Q1153" s="8" t="inlineStr">
        <is>
          <t>57217086</t>
        </is>
      </c>
    </row>
    <row r="1154">
      <c r="A1154" s="8" t="inlineStr">
        <is>
          <t>G13220</t>
        </is>
      </c>
      <c r="B1154" s="8" t="inlineStr">
        <is>
          <t>Сатар уулу Санжар</t>
        </is>
      </c>
      <c r="C1154" s="8" t="inlineStr">
        <is>
          <t>2476316783</t>
        </is>
      </c>
      <c r="D1154" s="8" t="inlineStr">
        <is>
          <t>ETM, акт 1С за месяц не выгружен</t>
        </is>
      </c>
      <c r="E1154" s="8" t="inlineStr">
        <is>
          <t>Выгрузка 1С</t>
        </is>
      </c>
      <c r="F1154" s="8" t="inlineStr">
        <is>
          <t>B</t>
        </is>
      </c>
      <c r="G1154" s="14" t="n">
        <v>0</v>
      </c>
      <c r="H1154" s="14" t="n">
        <v>-22292.77</v>
      </c>
      <c r="I1154" s="14" t="n"/>
      <c r="J1154" s="14" t="n">
        <v>-22292.77</v>
      </c>
      <c r="K1154" s="21" t="n">
        <v>46180.72589120371</v>
      </c>
      <c r="L1154" s="21" t="n"/>
      <c r="M1154" s="8" t="inlineStr"/>
      <c r="N1154" s="8" t="inlineStr">
        <is>
          <t>Бухгалтер: выгрузить акт</t>
        </is>
      </c>
      <c r="O1154" s="8" t="inlineStr"/>
      <c r="P1154" s="12" t="inlineStr">
        <is>
          <t>Операция есть в ETM, а акт 1С за этот (или следующий) месяц не выгружен — сначала получить акт</t>
        </is>
      </c>
      <c r="Q1154" s="8" t="inlineStr">
        <is>
          <t>57349175</t>
        </is>
      </c>
    </row>
    <row r="1155">
      <c r="A1155" s="8" t="inlineStr">
        <is>
          <t>G07194</t>
        </is>
      </c>
      <c r="B1155" s="8" t="inlineStr">
        <is>
          <t>Жибек Эйр</t>
        </is>
      </c>
      <c r="C1155" s="8" t="inlineStr">
        <is>
          <t>2420846601</t>
        </is>
      </c>
      <c r="D1155" s="8" t="inlineStr">
        <is>
          <t>ETM, акт 1С за месяц не выгружен</t>
        </is>
      </c>
      <c r="E1155" s="8" t="inlineStr">
        <is>
          <t>Выгрузка 1С</t>
        </is>
      </c>
      <c r="F1155" s="8" t="inlineStr">
        <is>
          <t>B</t>
        </is>
      </c>
      <c r="G1155" s="14" t="n">
        <v>0</v>
      </c>
      <c r="H1155" s="14" t="n">
        <v>-21931.79</v>
      </c>
      <c r="I1155" s="14" t="n">
        <v>21931.7902</v>
      </c>
      <c r="J1155" s="14" t="n">
        <v>-21931.79</v>
      </c>
      <c r="K1155" s="21" t="n">
        <v>46159.37945601852</v>
      </c>
      <c r="L1155" s="21" t="n"/>
      <c r="M1155" s="8" t="inlineStr"/>
      <c r="N1155" s="8" t="inlineStr">
        <is>
          <t>Бухгалтер: выгрузить акт</t>
        </is>
      </c>
      <c r="O1155" s="8" t="inlineStr">
        <is>
          <t>a.toktosunova</t>
        </is>
      </c>
      <c r="P1155" s="12" t="inlineStr">
        <is>
          <t>Операция есть в ETM, а акт 1С за этот (или следующий) месяц не выгружен — сначала получить акт</t>
        </is>
      </c>
      <c r="Q1155" s="8" t="inlineStr">
        <is>
          <t>57293590</t>
        </is>
      </c>
    </row>
    <row r="1156">
      <c r="A1156" s="8" t="inlineStr">
        <is>
          <t>G08860</t>
        </is>
      </c>
      <c r="B1156" s="8" t="inlineStr">
        <is>
          <t>ИССЫК ТРИП</t>
        </is>
      </c>
      <c r="C1156" s="8" t="inlineStr">
        <is>
          <t>2416941826</t>
        </is>
      </c>
      <c r="D1156" s="8" t="inlineStr">
        <is>
          <t>ETM, акт 1С за месяц не выгружен</t>
        </is>
      </c>
      <c r="E1156" s="8" t="inlineStr">
        <is>
          <t>Выгрузка 1С</t>
        </is>
      </c>
      <c r="F1156" s="8" t="inlineStr">
        <is>
          <t>B</t>
        </is>
      </c>
      <c r="G1156" s="14" t="n">
        <v>0</v>
      </c>
      <c r="H1156" s="14" t="n">
        <v>-21920.2</v>
      </c>
      <c r="I1156" s="14" t="n"/>
      <c r="J1156" s="14" t="n">
        <v>-21920.2</v>
      </c>
      <c r="K1156" s="21" t="n">
        <v>46056.56240740741</v>
      </c>
      <c r="L1156" s="21" t="n"/>
      <c r="M1156" s="8" t="inlineStr"/>
      <c r="N1156" s="8" t="inlineStr">
        <is>
          <t>Бухгалтер: выгрузить акт</t>
        </is>
      </c>
      <c r="O1156" s="8" t="inlineStr"/>
      <c r="P1156" s="12" t="inlineStr">
        <is>
          <t>Операция есть в ETM, а акт 1С за этот (или следующий) месяц не выгружен — сначала получить акт</t>
        </is>
      </c>
      <c r="Q1156" s="8" t="inlineStr">
        <is>
          <t>57070555</t>
        </is>
      </c>
    </row>
    <row r="1157">
      <c r="A1157" s="8" t="inlineStr">
        <is>
          <t>G08861</t>
        </is>
      </c>
      <c r="B1157" s="8" t="inlineStr">
        <is>
          <t>ИССЫК ТРИП</t>
        </is>
      </c>
      <c r="C1157" s="8" t="inlineStr">
        <is>
          <t>2416941828</t>
        </is>
      </c>
      <c r="D1157" s="8" t="inlineStr">
        <is>
          <t>ETM, акт 1С за месяц не выгружен</t>
        </is>
      </c>
      <c r="E1157" s="8" t="inlineStr">
        <is>
          <t>Выгрузка 1С</t>
        </is>
      </c>
      <c r="F1157" s="8" t="inlineStr">
        <is>
          <t>B</t>
        </is>
      </c>
      <c r="G1157" s="14" t="n">
        <v>0</v>
      </c>
      <c r="H1157" s="14" t="n">
        <v>-21920.2</v>
      </c>
      <c r="I1157" s="14" t="n"/>
      <c r="J1157" s="14" t="n">
        <v>-21920.2</v>
      </c>
      <c r="K1157" s="21" t="n">
        <v>46056.47043981482</v>
      </c>
      <c r="L1157" s="21" t="n"/>
      <c r="M1157" s="8" t="inlineStr"/>
      <c r="N1157" s="8" t="inlineStr">
        <is>
          <t>Бухгалтер: выгрузить акт</t>
        </is>
      </c>
      <c r="O1157" s="8" t="inlineStr"/>
      <c r="P1157" s="12" t="inlineStr">
        <is>
          <t>Операция есть в ETM, а акт 1С за этот (или следующий) месяц не выгружен — сначала получить акт</t>
        </is>
      </c>
      <c r="Q1157" s="8" t="inlineStr">
        <is>
          <t>57070564</t>
        </is>
      </c>
    </row>
    <row r="1158">
      <c r="A1158" s="8" t="inlineStr">
        <is>
          <t>G08862</t>
        </is>
      </c>
      <c r="B1158" s="8" t="inlineStr">
        <is>
          <t>ИССЫК ТРИП</t>
        </is>
      </c>
      <c r="C1158" s="8" t="inlineStr">
        <is>
          <t>2416941830</t>
        </is>
      </c>
      <c r="D1158" s="8" t="inlineStr">
        <is>
          <t>ETM, акт 1С за месяц не выгружен</t>
        </is>
      </c>
      <c r="E1158" s="8" t="inlineStr">
        <is>
          <t>Выгрузка 1С</t>
        </is>
      </c>
      <c r="F1158" s="8" t="inlineStr">
        <is>
          <t>B</t>
        </is>
      </c>
      <c r="G1158" s="14" t="n">
        <v>0</v>
      </c>
      <c r="H1158" s="14" t="n">
        <v>-21920.2</v>
      </c>
      <c r="I1158" s="14" t="n"/>
      <c r="J1158" s="14" t="n">
        <v>-21920.2</v>
      </c>
      <c r="K1158" s="21" t="n">
        <v>46056.39966435185</v>
      </c>
      <c r="L1158" s="21" t="n"/>
      <c r="M1158" s="8" t="inlineStr"/>
      <c r="N1158" s="8" t="inlineStr">
        <is>
          <t>Бухгалтер: выгрузить акт</t>
        </is>
      </c>
      <c r="O1158" s="8" t="inlineStr"/>
      <c r="P1158" s="12" t="inlineStr">
        <is>
          <t>Операция есть в ETM, а акт 1С за этот (или следующий) месяц не выгружен — сначала получить акт</t>
        </is>
      </c>
      <c r="Q1158" s="8" t="inlineStr">
        <is>
          <t>57070571</t>
        </is>
      </c>
    </row>
    <row r="1159">
      <c r="A1159" s="8" t="inlineStr">
        <is>
          <t>G07500</t>
        </is>
      </c>
      <c r="B1159" s="8" t="inlineStr">
        <is>
          <t>Жолчу кызы А.</t>
        </is>
      </c>
      <c r="C1159" s="8" t="inlineStr">
        <is>
          <t>2460733081|2460733084</t>
        </is>
      </c>
      <c r="D1159" s="8" t="inlineStr">
        <is>
          <t>ETM, акт 1С за месяц не выгружен</t>
        </is>
      </c>
      <c r="E1159" s="8" t="inlineStr">
        <is>
          <t>Выгрузка 1С</t>
        </is>
      </c>
      <c r="F1159" s="8" t="inlineStr">
        <is>
          <t>B</t>
        </is>
      </c>
      <c r="G1159" s="14" t="n">
        <v>0</v>
      </c>
      <c r="H1159" s="14" t="n">
        <v>-21862</v>
      </c>
      <c r="I1159" s="14" t="n">
        <v>21862</v>
      </c>
      <c r="J1159" s="14" t="n">
        <v>-21862</v>
      </c>
      <c r="K1159" s="21" t="n">
        <v>46174.35274305556</v>
      </c>
      <c r="L1159" s="21" t="n"/>
      <c r="M1159" s="8" t="inlineStr"/>
      <c r="N1159" s="8" t="inlineStr">
        <is>
          <t>Бухгалтер: выгрузить акт</t>
        </is>
      </c>
      <c r="O1159" s="8" t="inlineStr">
        <is>
          <t>d.mambetova</t>
        </is>
      </c>
      <c r="P1159" s="12" t="inlineStr">
        <is>
          <t>Операция есть в ETM, а акт 1С за этот (или следующий) месяц не выгружен — сначала получить акт</t>
        </is>
      </c>
      <c r="Q1159" s="8" t="inlineStr">
        <is>
          <t>57332832</t>
        </is>
      </c>
    </row>
    <row r="1160">
      <c r="A1160" s="8" t="inlineStr">
        <is>
          <t>G14246</t>
        </is>
      </c>
      <c r="B1160" s="8" t="inlineStr">
        <is>
          <t>ЧОЛПОН ТУР</t>
        </is>
      </c>
      <c r="C1160" s="8" t="inlineStr">
        <is>
          <t>2416944628</t>
        </is>
      </c>
      <c r="D1160" s="8" t="inlineStr">
        <is>
          <t>ETM, акт 1С за месяц не выгружен</t>
        </is>
      </c>
      <c r="E1160" s="8" t="inlineStr">
        <is>
          <t>Выгрузка 1С</t>
        </is>
      </c>
      <c r="F1160" s="8" t="inlineStr">
        <is>
          <t>B</t>
        </is>
      </c>
      <c r="G1160" s="14" t="n">
        <v>0</v>
      </c>
      <c r="H1160" s="14" t="n">
        <v>-21379.2</v>
      </c>
      <c r="I1160" s="14" t="n">
        <v>21379.2</v>
      </c>
      <c r="J1160" s="14" t="n">
        <v>-21379.2</v>
      </c>
      <c r="K1160" s="21" t="n">
        <v>46091.63546296296</v>
      </c>
      <c r="L1160" s="21" t="n"/>
      <c r="M1160" s="8" t="inlineStr"/>
      <c r="N1160" s="8" t="inlineStr">
        <is>
          <t>Бухгалтер: выгрузить акт</t>
        </is>
      </c>
      <c r="O1160" s="8" t="inlineStr">
        <is>
          <t>n.abdyldaeva</t>
        </is>
      </c>
      <c r="P1160" s="12" t="inlineStr">
        <is>
          <t>Операция есть в ETM, а акт 1С за этот (или следующий) месяц не выгружен — сначала получить акт</t>
        </is>
      </c>
      <c r="Q1160" s="8" t="inlineStr">
        <is>
          <t>57138008</t>
        </is>
      </c>
    </row>
    <row r="1161">
      <c r="A1161" s="8" t="inlineStr">
        <is>
          <t>G14337</t>
        </is>
      </c>
      <c r="B1161" s="8" t="inlineStr">
        <is>
          <t>ЧОЛПОН ТУР</t>
        </is>
      </c>
      <c r="C1161" s="8" t="inlineStr">
        <is>
          <t>2552670906</t>
        </is>
      </c>
      <c r="D1161" s="8" t="inlineStr">
        <is>
          <t>ETM, акт 1С за месяц не выгружен</t>
        </is>
      </c>
      <c r="E1161" s="8" t="inlineStr">
        <is>
          <t>Выгрузка 1С</t>
        </is>
      </c>
      <c r="F1161" s="8" t="inlineStr">
        <is>
          <t>B</t>
        </is>
      </c>
      <c r="G1161" s="14" t="n">
        <v>0</v>
      </c>
      <c r="H1161" s="14" t="n">
        <v>-21364.06</v>
      </c>
      <c r="I1161" s="14" t="n">
        <v>21364.06</v>
      </c>
      <c r="J1161" s="14" t="n">
        <v>-21364.06</v>
      </c>
      <c r="K1161" s="21" t="n">
        <v>46109.3346875</v>
      </c>
      <c r="L1161" s="21" t="n"/>
      <c r="M1161" s="8" t="inlineStr"/>
      <c r="N1161" s="8" t="inlineStr">
        <is>
          <t>Бухгалтер: выгрузить акт</t>
        </is>
      </c>
      <c r="O1161" s="8" t="inlineStr">
        <is>
          <t>e.satarov</t>
        </is>
      </c>
      <c r="P1161" s="12" t="inlineStr">
        <is>
          <t>Операция есть в ETM, а акт 1С за этот (или следующий) месяц не выгружен — сначала получить акт</t>
        </is>
      </c>
      <c r="Q1161" s="8" t="inlineStr">
        <is>
          <t>57177755</t>
        </is>
      </c>
    </row>
    <row r="1162">
      <c r="A1162" s="8" t="inlineStr">
        <is>
          <t>G14547</t>
        </is>
      </c>
      <c r="B1162" s="8" t="inlineStr">
        <is>
          <t>Чынар уулу Эмир</t>
        </is>
      </c>
      <c r="C1162" s="8" t="inlineStr">
        <is>
          <t>2476315739</t>
        </is>
      </c>
      <c r="D1162" s="8" t="inlineStr">
        <is>
          <t>ETM, акт 1С за месяц не выгружен</t>
        </is>
      </c>
      <c r="E1162" s="8" t="inlineStr">
        <is>
          <t>Выгрузка 1С</t>
        </is>
      </c>
      <c r="F1162" s="8" t="inlineStr">
        <is>
          <t>B</t>
        </is>
      </c>
      <c r="G1162" s="14" t="n">
        <v>0</v>
      </c>
      <c r="H1162" s="14" t="n">
        <v>-21328.72</v>
      </c>
      <c r="I1162" s="14" t="n">
        <v>21328.72</v>
      </c>
      <c r="J1162" s="14" t="n">
        <v>-21328.72</v>
      </c>
      <c r="K1162" s="21" t="n">
        <v>46109.79096064815</v>
      </c>
      <c r="L1162" s="21" t="n"/>
      <c r="M1162" s="8" t="inlineStr"/>
      <c r="N1162" s="8" t="inlineStr">
        <is>
          <t>Бухгалтер: выгрузить акт</t>
        </is>
      </c>
      <c r="O1162" s="8" t="inlineStr">
        <is>
          <t>r.sydykov</t>
        </is>
      </c>
      <c r="P1162" s="12" t="inlineStr">
        <is>
          <t>Операция есть в ETM, а акт 1С за этот (или следующий) месяц не выгружен — сначала получить акт</t>
        </is>
      </c>
      <c r="Q1162" s="8" t="inlineStr">
        <is>
          <t>57177443</t>
        </is>
      </c>
    </row>
    <row r="1163">
      <c r="A1163" s="8" t="inlineStr">
        <is>
          <t>G07177</t>
        </is>
      </c>
      <c r="B1163" s="8" t="inlineStr">
        <is>
          <t>Жибек Эйр</t>
        </is>
      </c>
      <c r="C1163" s="8" t="inlineStr">
        <is>
          <t>2420843311</t>
        </is>
      </c>
      <c r="D1163" s="8" t="inlineStr">
        <is>
          <t>ETM, акт 1С за месяц не выгружен</t>
        </is>
      </c>
      <c r="E1163" s="8" t="inlineStr">
        <is>
          <t>Выгрузка 1С</t>
        </is>
      </c>
      <c r="F1163" s="8" t="inlineStr">
        <is>
          <t>B</t>
        </is>
      </c>
      <c r="G1163" s="14" t="n">
        <v>0</v>
      </c>
      <c r="H1163" s="14" t="n">
        <v>-21293.43</v>
      </c>
      <c r="I1163" s="14" t="n">
        <v>21293.433</v>
      </c>
      <c r="J1163" s="14" t="n">
        <v>-21293.43</v>
      </c>
      <c r="K1163" s="21" t="n">
        <v>46123.48200231481</v>
      </c>
      <c r="L1163" s="21" t="n"/>
      <c r="M1163" s="8" t="inlineStr"/>
      <c r="N1163" s="8" t="inlineStr">
        <is>
          <t>Бухгалтер: выгрузить акт</t>
        </is>
      </c>
      <c r="O1163" s="8" t="inlineStr">
        <is>
          <t>n.abdyldaeva</t>
        </is>
      </c>
      <c r="P1163" s="12" t="inlineStr">
        <is>
          <t>Операция есть в ETM, а акт 1С за этот (или следующий) месяц не выгружен — сначала получить акт</t>
        </is>
      </c>
      <c r="Q1163" s="8" t="inlineStr">
        <is>
          <t>57202270</t>
        </is>
      </c>
    </row>
    <row r="1164">
      <c r="A1164" s="8" t="inlineStr">
        <is>
          <t>G07372</t>
        </is>
      </c>
      <c r="B1164" s="8" t="inlineStr">
        <is>
          <t>Жибек Эйр</t>
        </is>
      </c>
      <c r="C1164" s="8" t="inlineStr">
        <is>
          <t>2476319386</t>
        </is>
      </c>
      <c r="D1164" s="8" t="inlineStr">
        <is>
          <t>ETM, акт 1С за месяц не выгружен</t>
        </is>
      </c>
      <c r="E1164" s="8" t="inlineStr">
        <is>
          <t>Выгрузка 1С</t>
        </is>
      </c>
      <c r="F1164" s="8" t="inlineStr">
        <is>
          <t>B</t>
        </is>
      </c>
      <c r="G1164" s="14" t="n">
        <v>0</v>
      </c>
      <c r="H1164" s="14" t="n">
        <v>-21254.36</v>
      </c>
      <c r="I1164" s="14" t="n"/>
      <c r="J1164" s="14" t="n">
        <v>-21254.36</v>
      </c>
      <c r="K1164" s="21" t="n">
        <v>46114.71491898148</v>
      </c>
      <c r="L1164" s="21" t="n"/>
      <c r="M1164" s="8" t="inlineStr"/>
      <c r="N1164" s="8" t="inlineStr">
        <is>
          <t>Бухгалтер: выгрузить акт</t>
        </is>
      </c>
      <c r="O1164" s="8" t="inlineStr"/>
      <c r="P1164" s="12" t="inlineStr">
        <is>
          <t>Операция есть в ETM, а акт 1С за этот (или следующий) месяц не выгружен — сначала получить акт</t>
        </is>
      </c>
      <c r="Q1164" s="8" t="inlineStr">
        <is>
          <t>57186967</t>
        </is>
      </c>
    </row>
    <row r="1165">
      <c r="A1165" s="8" t="inlineStr">
        <is>
          <t>G07811</t>
        </is>
      </c>
      <c r="B1165" s="8" t="inlineStr">
        <is>
          <t>ИП Асанов К. Б.</t>
        </is>
      </c>
      <c r="C1165" s="8" t="inlineStr">
        <is>
          <t>2416943597</t>
        </is>
      </c>
      <c r="D1165" s="8" t="inlineStr">
        <is>
          <t>ETM, акт 1С за месяц не выгружен</t>
        </is>
      </c>
      <c r="E1165" s="8" t="inlineStr">
        <is>
          <t>Выгрузка 1С</t>
        </is>
      </c>
      <c r="F1165" s="8" t="inlineStr">
        <is>
          <t>B</t>
        </is>
      </c>
      <c r="G1165" s="14" t="n">
        <v>0</v>
      </c>
      <c r="H1165" s="14" t="n">
        <v>-21198.77</v>
      </c>
      <c r="I1165" s="14" t="n"/>
      <c r="J1165" s="14" t="n">
        <v>-21198.77</v>
      </c>
      <c r="K1165" s="21" t="n">
        <v>46081.69174768519</v>
      </c>
      <c r="L1165" s="21" t="n"/>
      <c r="M1165" s="8" t="inlineStr"/>
      <c r="N1165" s="8" t="inlineStr">
        <is>
          <t>Бухгалтер: выгрузить акт</t>
        </is>
      </c>
      <c r="O1165" s="8" t="inlineStr"/>
      <c r="P1165" s="12" t="inlineStr">
        <is>
          <t>Операция есть в ETM, а акт 1С за этот (или следующий) месяц не выгружен — сначала получить акт</t>
        </is>
      </c>
      <c r="Q1165" s="8" t="inlineStr">
        <is>
          <t>57114861</t>
        </is>
      </c>
    </row>
    <row r="1166">
      <c r="A1166" s="8" t="inlineStr">
        <is>
          <t>G14465</t>
        </is>
      </c>
      <c r="B1166" s="8" t="inlineStr">
        <is>
          <t>Чолпон Тревел</t>
        </is>
      </c>
      <c r="C1166" s="8" t="inlineStr">
        <is>
          <t>2420844880</t>
        </is>
      </c>
      <c r="D1166" s="8" t="inlineStr">
        <is>
          <t>ETM, акт 1С за месяц не выгружен</t>
        </is>
      </c>
      <c r="E1166" s="8" t="inlineStr">
        <is>
          <t>Выгрузка 1С</t>
        </is>
      </c>
      <c r="F1166" s="8" t="inlineStr">
        <is>
          <t>B</t>
        </is>
      </c>
      <c r="G1166" s="14" t="n">
        <v>0</v>
      </c>
      <c r="H1166" s="14" t="n">
        <v>-21115.26</v>
      </c>
      <c r="I1166" s="14" t="n">
        <v>21115.2565</v>
      </c>
      <c r="J1166" s="14" t="n">
        <v>-21115.26</v>
      </c>
      <c r="K1166" s="21" t="n">
        <v>46133.63313657408</v>
      </c>
      <c r="L1166" s="21" t="n"/>
      <c r="M1166" s="8" t="inlineStr"/>
      <c r="N1166" s="8" t="inlineStr">
        <is>
          <t>Бухгалтер: выгрузить акт</t>
        </is>
      </c>
      <c r="O1166" s="8" t="inlineStr">
        <is>
          <t>n.abdyldaeva</t>
        </is>
      </c>
      <c r="P1166" s="12" t="inlineStr">
        <is>
          <t>Операция есть в ETM, а акт 1С за этот (или следующий) месяц не выгружен — сначала получить акт</t>
        </is>
      </c>
      <c r="Q1166" s="8" t="inlineStr">
        <is>
          <t>57219678</t>
        </is>
      </c>
    </row>
    <row r="1167">
      <c r="A1167" s="8" t="inlineStr">
        <is>
          <t>G14045</t>
        </is>
      </c>
      <c r="B1167" s="8" t="inlineStr">
        <is>
          <t>Тянь-Шань Тур</t>
        </is>
      </c>
      <c r="C1167" s="8" t="inlineStr">
        <is>
          <t>2559102612</t>
        </is>
      </c>
      <c r="D1167" s="8" t="inlineStr">
        <is>
          <t>ETM, акт 1С за месяц не выгружен</t>
        </is>
      </c>
      <c r="E1167" s="8" t="inlineStr">
        <is>
          <t>Выгрузка 1С</t>
        </is>
      </c>
      <c r="F1167" s="8" t="inlineStr">
        <is>
          <t>B</t>
        </is>
      </c>
      <c r="G1167" s="14" t="n">
        <v>0</v>
      </c>
      <c r="H1167" s="14" t="n">
        <v>-20833.69</v>
      </c>
      <c r="I1167" s="14" t="n">
        <v>20833.69</v>
      </c>
      <c r="J1167" s="14" t="n">
        <v>-20833.69</v>
      </c>
      <c r="K1167" s="21" t="n">
        <v>46083.76365740741</v>
      </c>
      <c r="L1167" s="21" t="n"/>
      <c r="M1167" s="8" t="inlineStr"/>
      <c r="N1167" s="8" t="inlineStr">
        <is>
          <t>Бухгалтер: выгрузить акт</t>
        </is>
      </c>
      <c r="O1167" s="8" t="inlineStr">
        <is>
          <t>a.toktosunova</t>
        </is>
      </c>
      <c r="P1167" s="12" t="inlineStr">
        <is>
          <t>Операция есть в ETM, а акт 1С за этот (или следующий) месяц не выгружен — сначала получить акт</t>
        </is>
      </c>
      <c r="Q1167" s="8" t="inlineStr">
        <is>
          <t>57118666</t>
        </is>
      </c>
    </row>
    <row r="1168">
      <c r="A1168" s="8" t="inlineStr">
        <is>
          <t>G08171</t>
        </is>
      </c>
      <c r="B1168" s="8" t="inlineStr">
        <is>
          <t>ИП Жумабекова Б. Н.</t>
        </is>
      </c>
      <c r="C1168" s="8" t="inlineStr">
        <is>
          <t>2460734233</t>
        </is>
      </c>
      <c r="D1168" s="8" t="inlineStr">
        <is>
          <t>ETM, акт 1С за месяц не выгружен</t>
        </is>
      </c>
      <c r="E1168" s="8" t="inlineStr">
        <is>
          <t>Выгрузка 1С</t>
        </is>
      </c>
      <c r="F1168" s="8" t="inlineStr">
        <is>
          <t>B</t>
        </is>
      </c>
      <c r="G1168" s="14" t="n">
        <v>0</v>
      </c>
      <c r="H1168" s="14" t="n">
        <v>-20816</v>
      </c>
      <c r="I1168" s="14" t="n"/>
      <c r="J1168" s="14" t="n">
        <v>-20816</v>
      </c>
      <c r="K1168" s="21" t="n">
        <v>46155.76398148148</v>
      </c>
      <c r="L1168" s="21" t="n"/>
      <c r="M1168" s="8" t="inlineStr"/>
      <c r="N1168" s="8" t="inlineStr">
        <is>
          <t>Бухгалтер: выгрузить акт</t>
        </is>
      </c>
      <c r="O1168" s="8" t="inlineStr"/>
      <c r="P1168" s="12" t="inlineStr">
        <is>
          <t>Операция есть в ETM, а акт 1С за этот (или следующий) месяц не выгружен — сначала получить акт</t>
        </is>
      </c>
      <c r="Q1168" s="8" t="inlineStr">
        <is>
          <t>57279139</t>
        </is>
      </c>
    </row>
    <row r="1169">
      <c r="A1169" s="8" t="inlineStr">
        <is>
          <t>G14309</t>
        </is>
      </c>
      <c r="B1169" s="8" t="inlineStr">
        <is>
          <t>ЧОЛПОН ТУР</t>
        </is>
      </c>
      <c r="C1169" s="8" t="inlineStr">
        <is>
          <t>2461885980</t>
        </is>
      </c>
      <c r="D1169" s="8" t="inlineStr">
        <is>
          <t>ETM, акт 1С за месяц не выгружен</t>
        </is>
      </c>
      <c r="E1169" s="8" t="inlineStr">
        <is>
          <t>Выгрузка 1С</t>
        </is>
      </c>
      <c r="F1169" s="8" t="inlineStr">
        <is>
          <t>B</t>
        </is>
      </c>
      <c r="G1169" s="14" t="n">
        <v>0</v>
      </c>
      <c r="H1169" s="14" t="n">
        <v>-20787</v>
      </c>
      <c r="I1169" s="14" t="n">
        <v>20787</v>
      </c>
      <c r="J1169" s="14" t="n">
        <v>-20787</v>
      </c>
      <c r="K1169" s="21" t="n">
        <v>46112.4575462963</v>
      </c>
      <c r="L1169" s="21" t="n"/>
      <c r="M1169" s="8" t="inlineStr"/>
      <c r="N1169" s="8" t="inlineStr">
        <is>
          <t>Бухгалтер: выгрузить акт</t>
        </is>
      </c>
      <c r="O1169" s="8" t="inlineStr">
        <is>
          <t>r.sydykov</t>
        </is>
      </c>
      <c r="P1169" s="12" t="inlineStr">
        <is>
          <t>Операция есть в ETM, а акт 1С за этот (или следующий) месяц не выгружен — сначала получить акт</t>
        </is>
      </c>
      <c r="Q1169" s="8" t="inlineStr">
        <is>
          <t>57183750</t>
        </is>
      </c>
    </row>
    <row r="1170">
      <c r="A1170" s="8" t="inlineStr">
        <is>
          <t>G12936</t>
        </is>
      </c>
      <c r="B1170" s="8" t="inlineStr">
        <is>
          <t>Сатар уулу Санжар</t>
        </is>
      </c>
      <c r="C1170" s="8" t="inlineStr">
        <is>
          <t>2420844635</t>
        </is>
      </c>
      <c r="D1170" s="8" t="inlineStr">
        <is>
          <t>ETM, акт 1С за месяц не выгружен</t>
        </is>
      </c>
      <c r="E1170" s="8" t="inlineStr">
        <is>
          <t>Выгрузка 1С</t>
        </is>
      </c>
      <c r="F1170" s="8" t="inlineStr">
        <is>
          <t>B</t>
        </is>
      </c>
      <c r="G1170" s="14" t="n">
        <v>0</v>
      </c>
      <c r="H1170" s="14" t="n">
        <v>-20631</v>
      </c>
      <c r="I1170" s="14" t="n">
        <v>20630.999</v>
      </c>
      <c r="J1170" s="14" t="n">
        <v>-20631</v>
      </c>
      <c r="K1170" s="21" t="n">
        <v>46189.79394675926</v>
      </c>
      <c r="L1170" s="21" t="n"/>
      <c r="M1170" s="8" t="inlineStr"/>
      <c r="N1170" s="8" t="inlineStr">
        <is>
          <t>Бухгалтер: выгрузить акт</t>
        </is>
      </c>
      <c r="O1170" s="8" t="inlineStr">
        <is>
          <t>n.abdyldaeva</t>
        </is>
      </c>
      <c r="P1170" s="12" t="inlineStr">
        <is>
          <t>Операция есть в ETM, а акт 1С за этот (или следующий) месяц не выгружен — сначала получить акт</t>
        </is>
      </c>
      <c r="Q1170" s="8" t="inlineStr">
        <is>
          <t>57372646</t>
        </is>
      </c>
    </row>
    <row r="1171">
      <c r="A1171" s="8" t="inlineStr">
        <is>
          <t>G07233</t>
        </is>
      </c>
      <c r="B1171" s="8" t="inlineStr">
        <is>
          <t>Жибек Эйр</t>
        </is>
      </c>
      <c r="C1171" s="8" t="inlineStr">
        <is>
          <t>2459529896|2459529897</t>
        </is>
      </c>
      <c r="D1171" s="8" t="inlineStr">
        <is>
          <t>ETM, акт 1С за месяц не выгружен</t>
        </is>
      </c>
      <c r="E1171" s="8" t="inlineStr">
        <is>
          <t>Выгрузка 1С</t>
        </is>
      </c>
      <c r="F1171" s="8" t="inlineStr">
        <is>
          <t>B</t>
        </is>
      </c>
      <c r="G1171" s="14" t="n">
        <v>0</v>
      </c>
      <c r="H1171" s="14" t="n">
        <v>-20530</v>
      </c>
      <c r="I1171" s="14" t="n">
        <v>20530</v>
      </c>
      <c r="J1171" s="14" t="n">
        <v>-20530</v>
      </c>
      <c r="K1171" s="21" t="n">
        <v>46155.39145833333</v>
      </c>
      <c r="L1171" s="21" t="n"/>
      <c r="M1171" s="8" t="inlineStr"/>
      <c r="N1171" s="8" t="inlineStr">
        <is>
          <t>Бухгалтер: выгрузить акт</t>
        </is>
      </c>
      <c r="O1171" s="8" t="inlineStr">
        <is>
          <t>k.dzhumaev</t>
        </is>
      </c>
      <c r="P1171" s="12" t="inlineStr">
        <is>
          <t>Операция есть в ETM, а акт 1С за этот (или следующий) месяц не выгружен — сначала получить акт</t>
        </is>
      </c>
      <c r="Q1171" s="8" t="inlineStr">
        <is>
          <t>57280133,57280100</t>
        </is>
      </c>
    </row>
    <row r="1172">
      <c r="A1172" s="8" t="inlineStr">
        <is>
          <t>G08202</t>
        </is>
      </c>
      <c r="B1172" s="8" t="inlineStr">
        <is>
          <t>ИП Жумабекова Б. Н.</t>
        </is>
      </c>
      <c r="C1172" s="8" t="inlineStr">
        <is>
          <t>2476316812</t>
        </is>
      </c>
      <c r="D1172" s="8" t="inlineStr">
        <is>
          <t>ETM, акт 1С за месяц не выгружен</t>
        </is>
      </c>
      <c r="E1172" s="8" t="inlineStr">
        <is>
          <t>Выгрузка 1С</t>
        </is>
      </c>
      <c r="F1172" s="8" t="inlineStr">
        <is>
          <t>B</t>
        </is>
      </c>
      <c r="G1172" s="14" t="n">
        <v>0</v>
      </c>
      <c r="H1172" s="14" t="n">
        <v>-20444.57</v>
      </c>
      <c r="I1172" s="14" t="n"/>
      <c r="J1172" s="14" t="n">
        <v>-20444.57</v>
      </c>
      <c r="K1172" s="21" t="n">
        <v>46163.33445601852</v>
      </c>
      <c r="L1172" s="21" t="n"/>
      <c r="M1172" s="8" t="inlineStr"/>
      <c r="N1172" s="8" t="inlineStr">
        <is>
          <t>Бухгалтер: выгрузить акт</t>
        </is>
      </c>
      <c r="O1172" s="8" t="inlineStr"/>
      <c r="P1172" s="12" t="inlineStr">
        <is>
          <t>Операция есть в ETM, а акт 1С за этот (или следующий) месяц не выгружен — сначала получить акт</t>
        </is>
      </c>
      <c r="Q1172" s="8" t="inlineStr">
        <is>
          <t>57304698</t>
        </is>
      </c>
    </row>
    <row r="1173">
      <c r="A1173" s="8" t="inlineStr">
        <is>
          <t>G08203</t>
        </is>
      </c>
      <c r="B1173" s="8" t="inlineStr">
        <is>
          <t>ИП Жумабекова Б. Н.</t>
        </is>
      </c>
      <c r="C1173" s="8" t="inlineStr">
        <is>
          <t>2476316815</t>
        </is>
      </c>
      <c r="D1173" s="8" t="inlineStr">
        <is>
          <t>ETM, акт 1С за месяц не выгружен</t>
        </is>
      </c>
      <c r="E1173" s="8" t="inlineStr">
        <is>
          <t>Выгрузка 1С</t>
        </is>
      </c>
      <c r="F1173" s="8" t="inlineStr">
        <is>
          <t>B</t>
        </is>
      </c>
      <c r="G1173" s="14" t="n">
        <v>0</v>
      </c>
      <c r="H1173" s="14" t="n">
        <v>-20444.57</v>
      </c>
      <c r="I1173" s="14" t="n"/>
      <c r="J1173" s="14" t="n">
        <v>-20444.57</v>
      </c>
      <c r="K1173" s="21" t="n">
        <v>46163.71814814815</v>
      </c>
      <c r="L1173" s="21" t="n"/>
      <c r="M1173" s="8" t="inlineStr"/>
      <c r="N1173" s="8" t="inlineStr">
        <is>
          <t>Бухгалтер: выгрузить акт</t>
        </is>
      </c>
      <c r="O1173" s="8" t="inlineStr"/>
      <c r="P1173" s="12" t="inlineStr">
        <is>
          <t>Операция есть в ETM, а акт 1С за этот (или следующий) месяц не выгружен — сначала получить акт</t>
        </is>
      </c>
      <c r="Q1173" s="8" t="inlineStr">
        <is>
          <t>57304700</t>
        </is>
      </c>
    </row>
    <row r="1174">
      <c r="A1174" s="8" t="inlineStr">
        <is>
          <t>G08204</t>
        </is>
      </c>
      <c r="B1174" s="8" t="inlineStr">
        <is>
          <t>ИП Жумабекова Б. Н.</t>
        </is>
      </c>
      <c r="C1174" s="8" t="inlineStr">
        <is>
          <t>2476316816</t>
        </is>
      </c>
      <c r="D1174" s="8" t="inlineStr">
        <is>
          <t>ETM, акт 1С за месяц не выгружен</t>
        </is>
      </c>
      <c r="E1174" s="8" t="inlineStr">
        <is>
          <t>Выгрузка 1С</t>
        </is>
      </c>
      <c r="F1174" s="8" t="inlineStr">
        <is>
          <t>B</t>
        </is>
      </c>
      <c r="G1174" s="14" t="n">
        <v>0</v>
      </c>
      <c r="H1174" s="14" t="n">
        <v>-20444.57</v>
      </c>
      <c r="I1174" s="14" t="n"/>
      <c r="J1174" s="14" t="n">
        <v>-20444.57</v>
      </c>
      <c r="K1174" s="21" t="n">
        <v>46163.71420138889</v>
      </c>
      <c r="L1174" s="21" t="n"/>
      <c r="M1174" s="8" t="inlineStr"/>
      <c r="N1174" s="8" t="inlineStr">
        <is>
          <t>Бухгалтер: выгрузить акт</t>
        </is>
      </c>
      <c r="O1174" s="8" t="inlineStr"/>
      <c r="P1174" s="12" t="inlineStr">
        <is>
          <t>Операция есть в ETM, а акт 1С за этот (или следующий) месяц не выгружен — сначала получить акт</t>
        </is>
      </c>
      <c r="Q1174" s="8" t="inlineStr">
        <is>
          <t>57304704</t>
        </is>
      </c>
    </row>
    <row r="1175">
      <c r="A1175" s="8" t="inlineStr">
        <is>
          <t>G13060</t>
        </is>
      </c>
      <c r="B1175" s="8" t="inlineStr">
        <is>
          <t>Сатар уулу Санжар</t>
        </is>
      </c>
      <c r="C1175" s="8" t="inlineStr">
        <is>
          <t>2460732811</t>
        </is>
      </c>
      <c r="D1175" s="8" t="inlineStr">
        <is>
          <t>ETM, акт 1С за месяц не выгружен</t>
        </is>
      </c>
      <c r="E1175" s="8" t="inlineStr">
        <is>
          <t>Выгрузка 1С</t>
        </is>
      </c>
      <c r="F1175" s="8" t="inlineStr">
        <is>
          <t>B</t>
        </is>
      </c>
      <c r="G1175" s="14" t="n">
        <v>0</v>
      </c>
      <c r="H1175" s="14" t="n">
        <v>-20392</v>
      </c>
      <c r="I1175" s="14" t="n">
        <v>20392</v>
      </c>
      <c r="J1175" s="14" t="n">
        <v>-20392</v>
      </c>
      <c r="K1175" s="21" t="n">
        <v>46185.74053240741</v>
      </c>
      <c r="L1175" s="21" t="n"/>
      <c r="M1175" s="8" t="inlineStr"/>
      <c r="N1175" s="8" t="inlineStr">
        <is>
          <t>Бухгалтер: выгрузить акт</t>
        </is>
      </c>
      <c r="O1175" s="8" t="inlineStr">
        <is>
          <t>g.omurbekova</t>
        </is>
      </c>
      <c r="P1175" s="12" t="inlineStr">
        <is>
          <t>Операция есть в ETM, а акт 1С за этот (или следующий) месяц не выгружен — сначала получить акт</t>
        </is>
      </c>
      <c r="Q1175" s="8" t="inlineStr">
        <is>
          <t>57360708</t>
        </is>
      </c>
    </row>
    <row r="1176">
      <c r="A1176" s="8" t="inlineStr">
        <is>
          <t>G13145</t>
        </is>
      </c>
      <c r="B1176" s="8" t="inlineStr">
        <is>
          <t>Сатар уулу Санжар</t>
        </is>
      </c>
      <c r="C1176" s="8" t="inlineStr">
        <is>
          <t>2461882933</t>
        </is>
      </c>
      <c r="D1176" s="8" t="inlineStr">
        <is>
          <t>ETM, акт 1С за месяц не выгружен</t>
        </is>
      </c>
      <c r="E1176" s="8" t="inlineStr">
        <is>
          <t>Выгрузка 1С</t>
        </is>
      </c>
      <c r="F1176" s="8" t="inlineStr">
        <is>
          <t>B</t>
        </is>
      </c>
      <c r="G1176" s="14" t="n">
        <v>0</v>
      </c>
      <c r="H1176" s="14" t="n">
        <v>-20332</v>
      </c>
      <c r="I1176" s="14" t="n"/>
      <c r="J1176" s="14" t="n">
        <v>-20332</v>
      </c>
      <c r="K1176" s="21" t="n">
        <v>46195.73347222222</v>
      </c>
      <c r="L1176" s="21" t="n"/>
      <c r="M1176" s="8" t="inlineStr"/>
      <c r="N1176" s="8" t="inlineStr">
        <is>
          <t>Бухгалтер: выгрузить акт</t>
        </is>
      </c>
      <c r="O1176" s="8" t="inlineStr"/>
      <c r="P1176" s="12" t="inlineStr">
        <is>
          <t>Операция есть в ETM, а акт 1С за этот (или следующий) месяц не выгружен — сначала получить акт</t>
        </is>
      </c>
      <c r="Q1176" s="8" t="inlineStr">
        <is>
          <t>57389431</t>
        </is>
      </c>
    </row>
    <row r="1177">
      <c r="A1177" s="8" t="inlineStr">
        <is>
          <t>G07331</t>
        </is>
      </c>
      <c r="B1177" s="8" t="inlineStr">
        <is>
          <t>Жибек Эйр</t>
        </is>
      </c>
      <c r="C1177" s="8" t="inlineStr">
        <is>
          <t>2461886301</t>
        </is>
      </c>
      <c r="D1177" s="8" t="inlineStr">
        <is>
          <t>ETM, акт 1С за месяц не выгружен</t>
        </is>
      </c>
      <c r="E1177" s="8" t="inlineStr">
        <is>
          <t>Выгрузка 1С</t>
        </is>
      </c>
      <c r="F1177" s="8" t="inlineStr">
        <is>
          <t>B</t>
        </is>
      </c>
      <c r="G1177" s="14" t="n">
        <v>0</v>
      </c>
      <c r="H1177" s="14" t="n">
        <v>-20318</v>
      </c>
      <c r="I1177" s="14" t="n">
        <v>20318</v>
      </c>
      <c r="J1177" s="14" t="n">
        <v>-20318</v>
      </c>
      <c r="K1177" s="21" t="n">
        <v>46161.4765162037</v>
      </c>
      <c r="L1177" s="21" t="n"/>
      <c r="M1177" s="8" t="inlineStr"/>
      <c r="N1177" s="8" t="inlineStr">
        <is>
          <t>Бухгалтер: выгрузить акт</t>
        </is>
      </c>
      <c r="O1177" s="8" t="inlineStr">
        <is>
          <t>g.omurbekova</t>
        </is>
      </c>
      <c r="P1177" s="12" t="inlineStr">
        <is>
          <t>Операция есть в ETM, а акт 1С за этот (или следующий) месяц не выгружен — сначала получить акт</t>
        </is>
      </c>
      <c r="Q1177" s="8" t="inlineStr">
        <is>
          <t>57300068</t>
        </is>
      </c>
    </row>
    <row r="1178">
      <c r="A1178" s="8" t="inlineStr">
        <is>
          <t>G12921</t>
        </is>
      </c>
      <c r="B1178" s="8" t="inlineStr">
        <is>
          <t>Сатар уулу Санжар</t>
        </is>
      </c>
      <c r="C1178" s="8" t="inlineStr">
        <is>
          <t>2416946515</t>
        </is>
      </c>
      <c r="D1178" s="8" t="inlineStr">
        <is>
          <t>ETM, акт 1С за месяц не выгружен</t>
        </is>
      </c>
      <c r="E1178" s="8" t="inlineStr">
        <is>
          <t>Выгрузка 1С</t>
        </is>
      </c>
      <c r="F1178" s="8" t="inlineStr">
        <is>
          <t>B</t>
        </is>
      </c>
      <c r="G1178" s="14" t="n">
        <v>0</v>
      </c>
      <c r="H1178" s="14" t="n">
        <v>-20266.24</v>
      </c>
      <c r="I1178" s="14" t="n">
        <v>20266.24</v>
      </c>
      <c r="J1178" s="14" t="n">
        <v>-20266.24</v>
      </c>
      <c r="K1178" s="21" t="n">
        <v>46183.41700231482</v>
      </c>
      <c r="L1178" s="21" t="n"/>
      <c r="M1178" s="8" t="inlineStr"/>
      <c r="N1178" s="8" t="inlineStr">
        <is>
          <t>Бухгалтер: выгрузить акт</t>
        </is>
      </c>
      <c r="O1178" s="8" t="inlineStr">
        <is>
          <t>r.sydykov</t>
        </is>
      </c>
      <c r="P1178" s="12" t="inlineStr">
        <is>
          <t>Операция есть в ETM, а акт 1С за этот (или следующий) месяц не выгружен — сначала получить акт</t>
        </is>
      </c>
      <c r="Q1178" s="8" t="inlineStr">
        <is>
          <t>57358020</t>
        </is>
      </c>
    </row>
    <row r="1179">
      <c r="A1179" s="8" t="inlineStr">
        <is>
          <t>G07486</t>
        </is>
      </c>
      <c r="B1179" s="8" t="inlineStr">
        <is>
          <t>Жолчу кызы А.</t>
        </is>
      </c>
      <c r="C1179" s="8" t="inlineStr">
        <is>
          <t>2459528733</t>
        </is>
      </c>
      <c r="D1179" s="8" t="inlineStr">
        <is>
          <t>ETM, акт 1С за месяц не выгружен</t>
        </is>
      </c>
      <c r="E1179" s="8" t="inlineStr">
        <is>
          <t>Выгрузка 1С</t>
        </is>
      </c>
      <c r="F1179" s="8" t="inlineStr">
        <is>
          <t>B</t>
        </is>
      </c>
      <c r="G1179" s="14" t="n">
        <v>0</v>
      </c>
      <c r="H1179" s="14" t="n">
        <v>-20129</v>
      </c>
      <c r="I1179" s="14" t="n">
        <v>20129</v>
      </c>
      <c r="J1179" s="14" t="n">
        <v>-20129</v>
      </c>
      <c r="K1179" s="21" t="n">
        <v>46202.73502314815</v>
      </c>
      <c r="L1179" s="21" t="n"/>
      <c r="M1179" s="8" t="inlineStr"/>
      <c r="N1179" s="8" t="inlineStr">
        <is>
          <t>Бухгалтер: выгрузить акт</t>
        </is>
      </c>
      <c r="O1179" s="8" t="inlineStr">
        <is>
          <t>a.toktosunova</t>
        </is>
      </c>
      <c r="P1179" s="12" t="inlineStr">
        <is>
          <t>Операция есть в ETM, а акт 1С за этот (или следующий) месяц не выгружен — сначала получить акт</t>
        </is>
      </c>
      <c r="Q1179" s="8" t="inlineStr">
        <is>
          <t>57411487</t>
        </is>
      </c>
    </row>
    <row r="1180">
      <c r="A1180" s="8" t="inlineStr">
        <is>
          <t>G14269</t>
        </is>
      </c>
      <c r="B1180" s="8" t="inlineStr">
        <is>
          <t>ЧОЛПОН ТУР</t>
        </is>
      </c>
      <c r="C1180" s="8" t="inlineStr">
        <is>
          <t>2420848672</t>
        </is>
      </c>
      <c r="D1180" s="8" t="inlineStr">
        <is>
          <t>ETM, акт 1С за месяц не выгружен</t>
        </is>
      </c>
      <c r="E1180" s="8" t="inlineStr">
        <is>
          <t>Выгрузка 1С</t>
        </is>
      </c>
      <c r="F1180" s="8" t="inlineStr">
        <is>
          <t>B</t>
        </is>
      </c>
      <c r="G1180" s="14" t="n">
        <v>0</v>
      </c>
      <c r="H1180" s="14" t="n">
        <v>-20124.84</v>
      </c>
      <c r="I1180" s="14" t="n"/>
      <c r="J1180" s="14" t="n">
        <v>-20124.84</v>
      </c>
      <c r="K1180" s="21" t="n">
        <v>46125.37804398148</v>
      </c>
      <c r="L1180" s="21" t="n"/>
      <c r="M1180" s="8" t="inlineStr"/>
      <c r="N1180" s="8" t="inlineStr">
        <is>
          <t>Бухгалтер: выгрузить акт</t>
        </is>
      </c>
      <c r="O1180" s="8" t="inlineStr"/>
      <c r="P1180" s="12" t="inlineStr">
        <is>
          <t>Операция есть в ETM, а акт 1С за этот (или следующий) месяц не выгружен — сначала получить акт</t>
        </is>
      </c>
      <c r="Q1180" s="8" t="inlineStr">
        <is>
          <t>57206038</t>
        </is>
      </c>
    </row>
    <row r="1181">
      <c r="A1181" s="8" t="inlineStr">
        <is>
          <t>G08921</t>
        </is>
      </c>
      <c r="B1181" s="8" t="inlineStr">
        <is>
          <t>ИССЫК ТРИП</t>
        </is>
      </c>
      <c r="C1181" s="8" t="inlineStr">
        <is>
          <t>2420844215</t>
        </is>
      </c>
      <c r="D1181" s="8" t="inlineStr">
        <is>
          <t>ETM, акт 1С за месяц не выгружен</t>
        </is>
      </c>
      <c r="E1181" s="8" t="inlineStr">
        <is>
          <t>Выгрузка 1С</t>
        </is>
      </c>
      <c r="F1181" s="8" t="inlineStr">
        <is>
          <t>B</t>
        </is>
      </c>
      <c r="G1181" s="14" t="n">
        <v>0</v>
      </c>
      <c r="H1181" s="14" t="n">
        <v>-20046.5</v>
      </c>
      <c r="I1181" s="14" t="n"/>
      <c r="J1181" s="14" t="n">
        <v>-20046.5</v>
      </c>
      <c r="K1181" s="21" t="n">
        <v>46037.625</v>
      </c>
      <c r="L1181" s="21" t="n"/>
      <c r="M1181" s="8" t="inlineStr"/>
      <c r="N1181" s="8" t="inlineStr">
        <is>
          <t>Бухгалтер: выгрузить акт</t>
        </is>
      </c>
      <c r="O1181" s="8" t="inlineStr"/>
      <c r="P1181" s="12" t="inlineStr">
        <is>
          <t>Операция есть в ETM, а акт 1С за этот (или следующий) месяц не выгружен — сначала получить акт</t>
        </is>
      </c>
      <c r="Q1181" s="8" t="inlineStr">
        <is>
          <t>57029024</t>
        </is>
      </c>
    </row>
    <row r="1182">
      <c r="A1182" s="8" t="inlineStr">
        <is>
          <t>G14542</t>
        </is>
      </c>
      <c r="B1182" s="8" t="inlineStr">
        <is>
          <t>Чынар уулу Эмир</t>
        </is>
      </c>
      <c r="C1182" s="8" t="inlineStr">
        <is>
          <t>2461882356</t>
        </is>
      </c>
      <c r="D1182" s="8" t="inlineStr">
        <is>
          <t>ETM, акт 1С за месяц не выгружен</t>
        </is>
      </c>
      <c r="E1182" s="8" t="inlineStr">
        <is>
          <t>Выгрузка 1С</t>
        </is>
      </c>
      <c r="F1182" s="8" t="inlineStr">
        <is>
          <t>B</t>
        </is>
      </c>
      <c r="G1182" s="14" t="n">
        <v>0</v>
      </c>
      <c r="H1182" s="14" t="n">
        <v>-20015</v>
      </c>
      <c r="I1182" s="14" t="n"/>
      <c r="J1182" s="14" t="n">
        <v>-20015</v>
      </c>
      <c r="K1182" s="21" t="n">
        <v>46080.71658564815</v>
      </c>
      <c r="L1182" s="21" t="n"/>
      <c r="M1182" s="8" t="inlineStr"/>
      <c r="N1182" s="8" t="inlineStr">
        <is>
          <t>Бухгалтер: выгрузить акт</t>
        </is>
      </c>
      <c r="O1182" s="8" t="inlineStr"/>
      <c r="P1182" s="12" t="inlineStr">
        <is>
          <t>Операция есть в ETM, а акт 1С за этот (или следующий) месяц не выгружен — сначала получить акт</t>
        </is>
      </c>
      <c r="Q1182" s="8" t="inlineStr">
        <is>
          <t>57112228</t>
        </is>
      </c>
    </row>
    <row r="1183">
      <c r="A1183" s="8" t="inlineStr">
        <is>
          <t>G07376</t>
        </is>
      </c>
      <c r="B1183" s="8" t="inlineStr">
        <is>
          <t>Жибек Эйр</t>
        </is>
      </c>
      <c r="C1183" s="8" t="inlineStr">
        <is>
          <t>2476320100</t>
        </is>
      </c>
      <c r="D1183" s="8" t="inlineStr">
        <is>
          <t>ETM, акт 1С за месяц не выгружен</t>
        </is>
      </c>
      <c r="E1183" s="8" t="inlineStr">
        <is>
          <t>Выгрузка 1С</t>
        </is>
      </c>
      <c r="F1183" s="8" t="inlineStr">
        <is>
          <t>B</t>
        </is>
      </c>
      <c r="G1183" s="14" t="n">
        <v>0</v>
      </c>
      <c r="H1183" s="14" t="n">
        <v>-19988.25</v>
      </c>
      <c r="I1183" s="14" t="n">
        <v>19988.25</v>
      </c>
      <c r="J1183" s="14" t="n">
        <v>-19988.25</v>
      </c>
      <c r="K1183" s="21" t="n">
        <v>46122.76537037037</v>
      </c>
      <c r="L1183" s="21" t="n"/>
      <c r="M1183" s="8" t="inlineStr"/>
      <c r="N1183" s="8" t="inlineStr">
        <is>
          <t>Бухгалтер: выгрузить акт</t>
        </is>
      </c>
      <c r="O1183" s="8" t="inlineStr">
        <is>
          <t>r.sydykov</t>
        </is>
      </c>
      <c r="P1183" s="12" t="inlineStr">
        <is>
          <t>Операция есть в ETM, а акт 1С за этот (или следующий) месяц не выгружен — сначала получить акт</t>
        </is>
      </c>
      <c r="Q1183" s="8" t="inlineStr">
        <is>
          <t>57201681</t>
        </is>
      </c>
    </row>
    <row r="1184">
      <c r="A1184" s="8" t="inlineStr">
        <is>
          <t>G14046</t>
        </is>
      </c>
      <c r="B1184" s="8" t="inlineStr">
        <is>
          <t>Тянь-Шань Тур</t>
        </is>
      </c>
      <c r="C1184" s="8" t="inlineStr">
        <is>
          <t>2559102699|2559102701</t>
        </is>
      </c>
      <c r="D1184" s="8" t="inlineStr">
        <is>
          <t>ETM, акт 1С за месяц не выгружен</t>
        </is>
      </c>
      <c r="E1184" s="8" t="inlineStr">
        <is>
          <t>Выгрузка 1С</t>
        </is>
      </c>
      <c r="F1184" s="8" t="inlineStr">
        <is>
          <t>B</t>
        </is>
      </c>
      <c r="G1184" s="14" t="n">
        <v>0</v>
      </c>
      <c r="H1184" s="14" t="n">
        <v>-19986.65</v>
      </c>
      <c r="I1184" s="14" t="n">
        <v>19986.65</v>
      </c>
      <c r="J1184" s="14" t="n">
        <v>-19986.65</v>
      </c>
      <c r="K1184" s="21" t="n">
        <v>46162.39</v>
      </c>
      <c r="L1184" s="21" t="n"/>
      <c r="M1184" s="8" t="inlineStr"/>
      <c r="N1184" s="8" t="inlineStr">
        <is>
          <t>Бухгалтер: выгрузить акт</t>
        </is>
      </c>
      <c r="O1184" s="8" t="inlineStr">
        <is>
          <t>b.isakov|g.omurbekova</t>
        </is>
      </c>
      <c r="P1184" s="12" t="inlineStr">
        <is>
          <t>Операция есть в ETM, а акт 1С за этот (или следующий) месяц не выгружен — сначала получить акт</t>
        </is>
      </c>
      <c r="Q1184" s="8" t="inlineStr">
        <is>
          <t>57302189,57302171,57314527</t>
        </is>
      </c>
    </row>
    <row r="1185">
      <c r="A1185" s="8" t="inlineStr">
        <is>
          <t>G14019</t>
        </is>
      </c>
      <c r="B1185" s="8" t="inlineStr">
        <is>
          <t>Тянь-Шань Тур</t>
        </is>
      </c>
      <c r="C1185" s="8" t="inlineStr">
        <is>
          <t>2461884111</t>
        </is>
      </c>
      <c r="D1185" s="8" t="inlineStr">
        <is>
          <t>ETM, акт 1С за месяц не выгружен</t>
        </is>
      </c>
      <c r="E1185" s="8" t="inlineStr">
        <is>
          <t>Выгрузка 1С</t>
        </is>
      </c>
      <c r="F1185" s="8" t="inlineStr">
        <is>
          <t>B</t>
        </is>
      </c>
      <c r="G1185" s="14" t="n">
        <v>0</v>
      </c>
      <c r="H1185" s="14" t="n">
        <v>-19980</v>
      </c>
      <c r="I1185" s="14" t="n"/>
      <c r="J1185" s="14" t="n">
        <v>-19980</v>
      </c>
      <c r="K1185" s="21" t="n">
        <v>46140.46793981481</v>
      </c>
      <c r="L1185" s="21" t="n"/>
      <c r="M1185" s="8" t="inlineStr"/>
      <c r="N1185" s="8" t="inlineStr">
        <is>
          <t>Бухгалтер: выгрузить акт</t>
        </is>
      </c>
      <c r="O1185" s="8" t="inlineStr"/>
      <c r="P1185" s="12" t="inlineStr">
        <is>
          <t>Операция есть в ETM, а акт 1С за этот (или следующий) месяц не выгружен — сначала получить акт</t>
        </is>
      </c>
      <c r="Q1185" s="8" t="inlineStr">
        <is>
          <t>57234765</t>
        </is>
      </c>
    </row>
    <row r="1186">
      <c r="A1186" s="8" t="inlineStr">
        <is>
          <t>G14020</t>
        </is>
      </c>
      <c r="B1186" s="8" t="inlineStr">
        <is>
          <t>Тянь-Шань Тур</t>
        </is>
      </c>
      <c r="C1186" s="8" t="inlineStr">
        <is>
          <t>2461884114</t>
        </is>
      </c>
      <c r="D1186" s="8" t="inlineStr">
        <is>
          <t>ETM, акт 1С за месяц не выгружен</t>
        </is>
      </c>
      <c r="E1186" s="8" t="inlineStr">
        <is>
          <t>Выгрузка 1С</t>
        </is>
      </c>
      <c r="F1186" s="8" t="inlineStr">
        <is>
          <t>B</t>
        </is>
      </c>
      <c r="G1186" s="14" t="n">
        <v>0</v>
      </c>
      <c r="H1186" s="14" t="n">
        <v>-19980</v>
      </c>
      <c r="I1186" s="14" t="n"/>
      <c r="J1186" s="14" t="n">
        <v>-19980</v>
      </c>
      <c r="K1186" s="21" t="n">
        <v>46140.75357638889</v>
      </c>
      <c r="L1186" s="21" t="n"/>
      <c r="M1186" s="8" t="inlineStr"/>
      <c r="N1186" s="8" t="inlineStr">
        <is>
          <t>Бухгалтер: выгрузить акт</t>
        </is>
      </c>
      <c r="O1186" s="8" t="inlineStr"/>
      <c r="P1186" s="12" t="inlineStr">
        <is>
          <t>Операция есть в ETM, а акт 1С за этот (или следующий) месяц не выгружен — сначала получить акт</t>
        </is>
      </c>
      <c r="Q1186" s="8" t="inlineStr">
        <is>
          <t>57234789</t>
        </is>
      </c>
    </row>
    <row r="1187">
      <c r="A1187" s="8" t="inlineStr">
        <is>
          <t>G14021</t>
        </is>
      </c>
      <c r="B1187" s="8" t="inlineStr">
        <is>
          <t>Тянь-Шань Тур</t>
        </is>
      </c>
      <c r="C1187" s="8" t="inlineStr">
        <is>
          <t>2461884116</t>
        </is>
      </c>
      <c r="D1187" s="8" t="inlineStr">
        <is>
          <t>ETM, акт 1С за месяц не выгружен</t>
        </is>
      </c>
      <c r="E1187" s="8" t="inlineStr">
        <is>
          <t>Выгрузка 1С</t>
        </is>
      </c>
      <c r="F1187" s="8" t="inlineStr">
        <is>
          <t>B</t>
        </is>
      </c>
      <c r="G1187" s="14" t="n">
        <v>0</v>
      </c>
      <c r="H1187" s="14" t="n">
        <v>-19980</v>
      </c>
      <c r="I1187" s="14" t="n"/>
      <c r="J1187" s="14" t="n">
        <v>-19980</v>
      </c>
      <c r="K1187" s="21" t="n">
        <v>46140.68605324074</v>
      </c>
      <c r="L1187" s="21" t="n"/>
      <c r="M1187" s="8" t="inlineStr"/>
      <c r="N1187" s="8" t="inlineStr">
        <is>
          <t>Бухгалтер: выгрузить акт</t>
        </is>
      </c>
      <c r="O1187" s="8" t="inlineStr"/>
      <c r="P1187" s="12" t="inlineStr">
        <is>
          <t>Операция есть в ETM, а акт 1С за этот (или следующий) месяц не выгружен — сначала получить акт</t>
        </is>
      </c>
      <c r="Q1187" s="8" t="inlineStr">
        <is>
          <t>57234824</t>
        </is>
      </c>
    </row>
    <row r="1188">
      <c r="A1188" s="8" t="inlineStr">
        <is>
          <t>G14022</t>
        </is>
      </c>
      <c r="B1188" s="8" t="inlineStr">
        <is>
          <t>Тянь-Шань Тур</t>
        </is>
      </c>
      <c r="C1188" s="8" t="inlineStr">
        <is>
          <t>2461884119</t>
        </is>
      </c>
      <c r="D1188" s="8" t="inlineStr">
        <is>
          <t>ETM, акт 1С за месяц не выгружен</t>
        </is>
      </c>
      <c r="E1188" s="8" t="inlineStr">
        <is>
          <t>Выгрузка 1С</t>
        </is>
      </c>
      <c r="F1188" s="8" t="inlineStr">
        <is>
          <t>B</t>
        </is>
      </c>
      <c r="G1188" s="14" t="n">
        <v>0</v>
      </c>
      <c r="H1188" s="14" t="n">
        <v>-19980</v>
      </c>
      <c r="I1188" s="14" t="n"/>
      <c r="J1188" s="14" t="n">
        <v>-19980</v>
      </c>
      <c r="K1188" s="21" t="n">
        <v>46140.72342592593</v>
      </c>
      <c r="L1188" s="21" t="n"/>
      <c r="M1188" s="8" t="inlineStr"/>
      <c r="N1188" s="8" t="inlineStr">
        <is>
          <t>Бухгалтер: выгрузить акт</t>
        </is>
      </c>
      <c r="O1188" s="8" t="inlineStr"/>
      <c r="P1188" s="12" t="inlineStr">
        <is>
          <t>Операция есть в ETM, а акт 1С за этот (или следующий) месяц не выгружен — сначала получить акт</t>
        </is>
      </c>
      <c r="Q1188" s="8" t="inlineStr">
        <is>
          <t>57234841</t>
        </is>
      </c>
    </row>
    <row r="1189">
      <c r="A1189" s="8" t="inlineStr">
        <is>
          <t>G07396</t>
        </is>
      </c>
      <c r="B1189" s="8" t="inlineStr">
        <is>
          <t>Жибек Эйр</t>
        </is>
      </c>
      <c r="C1189" s="8" t="inlineStr">
        <is>
          <t>2552670291</t>
        </is>
      </c>
      <c r="D1189" s="8" t="inlineStr">
        <is>
          <t>ETM, акт 1С за месяц не выгружен</t>
        </is>
      </c>
      <c r="E1189" s="8" t="inlineStr">
        <is>
          <t>Выгрузка 1С</t>
        </is>
      </c>
      <c r="F1189" s="8" t="inlineStr">
        <is>
          <t>B</t>
        </is>
      </c>
      <c r="G1189" s="14" t="n">
        <v>0</v>
      </c>
      <c r="H1189" s="14" t="n">
        <v>-19923.39</v>
      </c>
      <c r="I1189" s="14" t="n"/>
      <c r="J1189" s="14" t="n">
        <v>-19923.39</v>
      </c>
      <c r="K1189" s="21" t="n">
        <v>46146.79130787037</v>
      </c>
      <c r="L1189" s="21" t="n"/>
      <c r="M1189" s="8" t="inlineStr"/>
      <c r="N1189" s="8" t="inlineStr">
        <is>
          <t>Бухгалтер: выгрузить акт</t>
        </is>
      </c>
      <c r="O1189" s="8" t="inlineStr"/>
      <c r="P1189" s="12" t="inlineStr">
        <is>
          <t>Операция есть в ETM, а акт 1С за этот (или следующий) месяц не выгружен — сначала получить акт</t>
        </is>
      </c>
      <c r="Q1189" s="8" t="inlineStr">
        <is>
          <t>57251372</t>
        </is>
      </c>
    </row>
    <row r="1190">
      <c r="A1190" s="8" t="inlineStr">
        <is>
          <t>G07397</t>
        </is>
      </c>
      <c r="B1190" s="8" t="inlineStr">
        <is>
          <t>Жибек Эйр</t>
        </is>
      </c>
      <c r="C1190" s="8" t="inlineStr">
        <is>
          <t>2552670293</t>
        </is>
      </c>
      <c r="D1190" s="8" t="inlineStr">
        <is>
          <t>ETM, акт 1С за месяц не выгружен</t>
        </is>
      </c>
      <c r="E1190" s="8" t="inlineStr">
        <is>
          <t>Выгрузка 1С</t>
        </is>
      </c>
      <c r="F1190" s="8" t="inlineStr">
        <is>
          <t>B</t>
        </is>
      </c>
      <c r="G1190" s="14" t="n">
        <v>0</v>
      </c>
      <c r="H1190" s="14" t="n">
        <v>-19923.39</v>
      </c>
      <c r="I1190" s="14" t="n"/>
      <c r="J1190" s="14" t="n">
        <v>-19923.39</v>
      </c>
      <c r="K1190" s="21" t="n">
        <v>46146.71434027778</v>
      </c>
      <c r="L1190" s="21" t="n"/>
      <c r="M1190" s="8" t="inlineStr"/>
      <c r="N1190" s="8" t="inlineStr">
        <is>
          <t>Бухгалтер: выгрузить акт</t>
        </is>
      </c>
      <c r="O1190" s="8" t="inlineStr"/>
      <c r="P1190" s="12" t="inlineStr">
        <is>
          <t>Операция есть в ETM, а акт 1С за этот (или следующий) месяц не выгружен — сначала получить акт</t>
        </is>
      </c>
      <c r="Q1190" s="8" t="inlineStr">
        <is>
          <t>57251398</t>
        </is>
      </c>
    </row>
    <row r="1191">
      <c r="A1191" s="8" t="inlineStr">
        <is>
          <t>G13260</t>
        </is>
      </c>
      <c r="B1191" s="8" t="inlineStr">
        <is>
          <t>Сатар уулу Санжар</t>
        </is>
      </c>
      <c r="C1191" s="8" t="inlineStr">
        <is>
          <t>2476319748</t>
        </is>
      </c>
      <c r="D1191" s="8" t="inlineStr">
        <is>
          <t>ETM, акт 1С за месяц не выгружен</t>
        </is>
      </c>
      <c r="E1191" s="8" t="inlineStr">
        <is>
          <t>Выгрузка 1С</t>
        </is>
      </c>
      <c r="F1191" s="8" t="inlineStr">
        <is>
          <t>B</t>
        </is>
      </c>
      <c r="G1191" s="14" t="n">
        <v>0</v>
      </c>
      <c r="H1191" s="14" t="n">
        <v>-19922.04</v>
      </c>
      <c r="I1191" s="14" t="n">
        <v>19922.04</v>
      </c>
      <c r="J1191" s="14" t="n">
        <v>-19922.04</v>
      </c>
      <c r="K1191" s="21" t="n">
        <v>46136.5344212963</v>
      </c>
      <c r="L1191" s="21" t="n"/>
      <c r="M1191" s="8" t="inlineStr"/>
      <c r="N1191" s="8" t="inlineStr">
        <is>
          <t>Бухгалтер: выгрузить акт</t>
        </is>
      </c>
      <c r="O1191" s="8" t="inlineStr">
        <is>
          <t>a.toktosunova</t>
        </is>
      </c>
      <c r="P1191" s="12" t="inlineStr">
        <is>
          <t>Операция есть в ETM, а акт 1С за этот (или следующий) месяц не выгружен — сначала получить акт</t>
        </is>
      </c>
      <c r="Q1191" s="8" t="inlineStr">
        <is>
          <t>57227354</t>
        </is>
      </c>
    </row>
    <row r="1192">
      <c r="A1192" s="8" t="inlineStr">
        <is>
          <t>G14018</t>
        </is>
      </c>
      <c r="B1192" s="8" t="inlineStr">
        <is>
          <t>Тянь-Шань Тур</t>
        </is>
      </c>
      <c r="C1192" s="8" t="inlineStr">
        <is>
          <t>2461883537</t>
        </is>
      </c>
      <c r="D1192" s="8" t="inlineStr">
        <is>
          <t>ETM, акт 1С за месяц не выгружен</t>
        </is>
      </c>
      <c r="E1192" s="8" t="inlineStr">
        <is>
          <t>Выгрузка 1С</t>
        </is>
      </c>
      <c r="F1192" s="8" t="inlineStr">
        <is>
          <t>B</t>
        </is>
      </c>
      <c r="G1192" s="14" t="n">
        <v>0</v>
      </c>
      <c r="H1192" s="14" t="n">
        <v>-19773</v>
      </c>
      <c r="I1192" s="14" t="n">
        <v>19773</v>
      </c>
      <c r="J1192" s="14" t="n">
        <v>-19773</v>
      </c>
      <c r="K1192" s="21" t="n">
        <v>46157.81290509259</v>
      </c>
      <c r="L1192" s="21" t="n"/>
      <c r="M1192" s="8" t="inlineStr"/>
      <c r="N1192" s="8" t="inlineStr">
        <is>
          <t>Бухгалтер: выгрузить акт</t>
        </is>
      </c>
      <c r="O1192" s="8" t="inlineStr">
        <is>
          <t>e.satarov</t>
        </is>
      </c>
      <c r="P1192" s="12" t="inlineStr">
        <is>
          <t>Операция есть в ETM, а акт 1С за этот (или следующий) месяц не выгружен — сначала получить акт</t>
        </is>
      </c>
      <c r="Q1192" s="8" t="inlineStr">
        <is>
          <t>57286676</t>
        </is>
      </c>
    </row>
    <row r="1193">
      <c r="A1193" s="8" t="inlineStr">
        <is>
          <t>G13088</t>
        </is>
      </c>
      <c r="B1193" s="8" t="inlineStr">
        <is>
          <t>Сатар уулу Санжар</t>
        </is>
      </c>
      <c r="C1193" s="8" t="inlineStr">
        <is>
          <t>2460734904</t>
        </is>
      </c>
      <c r="D1193" s="8" t="inlineStr">
        <is>
          <t>ETM, акт 1С за месяц не выгружен</t>
        </is>
      </c>
      <c r="E1193" s="8" t="inlineStr">
        <is>
          <t>Выгрузка 1С</t>
        </is>
      </c>
      <c r="F1193" s="8" t="inlineStr">
        <is>
          <t>B</t>
        </is>
      </c>
      <c r="G1193" s="14" t="n">
        <v>0</v>
      </c>
      <c r="H1193" s="14" t="n">
        <v>-19673</v>
      </c>
      <c r="I1193" s="14" t="n"/>
      <c r="J1193" s="14" t="n">
        <v>-19673</v>
      </c>
      <c r="K1193" s="21" t="n">
        <v>46118.73313657408</v>
      </c>
      <c r="L1193" s="21" t="n"/>
      <c r="M1193" s="8" t="inlineStr"/>
      <c r="N1193" s="8" t="inlineStr">
        <is>
          <t>Бухгалтер: выгрузить акт</t>
        </is>
      </c>
      <c r="O1193" s="8" t="inlineStr"/>
      <c r="P1193" s="12" t="inlineStr">
        <is>
          <t>Операция есть в ETM, а акт 1С за этот (или следующий) месяц не выгружен — сначала получить акт</t>
        </is>
      </c>
      <c r="Q1193" s="8" t="inlineStr">
        <is>
          <t>57192542</t>
        </is>
      </c>
    </row>
    <row r="1194">
      <c r="A1194" s="8" t="inlineStr">
        <is>
          <t>G09141</t>
        </is>
      </c>
      <c r="B1194" s="8" t="inlineStr">
        <is>
          <t>ИССЫК ТРИП</t>
        </is>
      </c>
      <c r="C1194" s="8" t="inlineStr">
        <is>
          <t>2461883582|2461883584</t>
        </is>
      </c>
      <c r="D1194" s="8" t="inlineStr">
        <is>
          <t>ETM, акт 1С за месяц не выгружен</t>
        </is>
      </c>
      <c r="E1194" s="8" t="inlineStr">
        <is>
          <t>Выгрузка 1С</t>
        </is>
      </c>
      <c r="F1194" s="8" t="inlineStr">
        <is>
          <t>B</t>
        </is>
      </c>
      <c r="G1194" s="14" t="n">
        <v>0</v>
      </c>
      <c r="H1194" s="14" t="n">
        <v>-19646</v>
      </c>
      <c r="I1194" s="14" t="n">
        <v>19646</v>
      </c>
      <c r="J1194" s="14" t="n">
        <v>-19646</v>
      </c>
      <c r="K1194" s="21" t="n">
        <v>46072.48506944445</v>
      </c>
      <c r="L1194" s="21" t="n"/>
      <c r="M1194" s="8" t="inlineStr"/>
      <c r="N1194" s="8" t="inlineStr">
        <is>
          <t>Бухгалтер: выгрузить акт</t>
        </is>
      </c>
      <c r="O1194" s="8" t="inlineStr">
        <is>
          <t>d.mambetova</t>
        </is>
      </c>
      <c r="P1194" s="12" t="inlineStr">
        <is>
          <t>Операция есть в ETM, а акт 1С за этот (или следующий) месяц не выгружен — сначала получить акт</t>
        </is>
      </c>
      <c r="Q1194" s="8" t="inlineStr">
        <is>
          <t>57098354,57098348</t>
        </is>
      </c>
    </row>
    <row r="1195">
      <c r="A1195" s="8" t="inlineStr">
        <is>
          <t>G09965</t>
        </is>
      </c>
      <c r="B1195" s="8" t="inlineStr">
        <is>
          <t>МУРАС ТРИП</t>
        </is>
      </c>
      <c r="C1195" s="8" t="inlineStr">
        <is>
          <t>2461883845</t>
        </is>
      </c>
      <c r="D1195" s="8" t="inlineStr">
        <is>
          <t>ETM, акт 1С за месяц не выгружен</t>
        </is>
      </c>
      <c r="E1195" s="8" t="inlineStr">
        <is>
          <t>Выгрузка 1С</t>
        </is>
      </c>
      <c r="F1195" s="8" t="inlineStr">
        <is>
          <t>B</t>
        </is>
      </c>
      <c r="G1195" s="14" t="n">
        <v>0</v>
      </c>
      <c r="H1195" s="14" t="n">
        <v>-19624</v>
      </c>
      <c r="I1195" s="14" t="n">
        <v>19624</v>
      </c>
      <c r="J1195" s="14" t="n">
        <v>-19624</v>
      </c>
      <c r="K1195" s="21" t="n">
        <v>46193.68046296296</v>
      </c>
      <c r="L1195" s="21" t="n"/>
      <c r="M1195" s="8" t="inlineStr"/>
      <c r="N1195" s="8" t="inlineStr">
        <is>
          <t>Бухгалтер: выгрузить акт</t>
        </is>
      </c>
      <c r="O1195" s="8" t="inlineStr">
        <is>
          <t>r.sydykov</t>
        </is>
      </c>
      <c r="P1195" s="12" t="inlineStr">
        <is>
          <t>Операция есть в ETM, а акт 1С за этот (или следующий) месяц не выгружен — сначала получить акт</t>
        </is>
      </c>
      <c r="Q1195" s="8" t="inlineStr">
        <is>
          <t>57383904</t>
        </is>
      </c>
    </row>
    <row r="1196">
      <c r="A1196" s="8" t="inlineStr">
        <is>
          <t>G10657</t>
        </is>
      </c>
      <c r="B1196" s="8" t="inlineStr">
        <is>
          <t>Манас Туризм</t>
        </is>
      </c>
      <c r="C1196" s="8" t="inlineStr">
        <is>
          <t>2459532073</t>
        </is>
      </c>
      <c r="D1196" s="8" t="inlineStr">
        <is>
          <t>ETM, акт 1С за месяц не выгружен</t>
        </is>
      </c>
      <c r="E1196" s="8" t="inlineStr">
        <is>
          <t>Выгрузка 1С</t>
        </is>
      </c>
      <c r="F1196" s="8" t="inlineStr">
        <is>
          <t>B</t>
        </is>
      </c>
      <c r="G1196" s="14" t="n">
        <v>0</v>
      </c>
      <c r="H1196" s="14" t="n">
        <v>-19610</v>
      </c>
      <c r="I1196" s="14" t="n"/>
      <c r="J1196" s="14" t="n">
        <v>-19610</v>
      </c>
      <c r="K1196" s="21" t="n">
        <v>46189.73618055556</v>
      </c>
      <c r="L1196" s="21" t="n"/>
      <c r="M1196" s="8" t="inlineStr"/>
      <c r="N1196" s="8" t="inlineStr">
        <is>
          <t>Бухгалтер: выгрузить акт</t>
        </is>
      </c>
      <c r="O1196" s="8" t="inlineStr"/>
      <c r="P1196" s="12" t="inlineStr">
        <is>
          <t>Операция есть в ETM, а акт 1С за этот (или следующий) месяц не выгружен — сначала получить акт</t>
        </is>
      </c>
      <c r="Q1196" s="8" t="inlineStr">
        <is>
          <t>57374407</t>
        </is>
      </c>
    </row>
    <row r="1197">
      <c r="A1197" s="8" t="inlineStr">
        <is>
          <t>G07341</t>
        </is>
      </c>
      <c r="B1197" s="8" t="inlineStr">
        <is>
          <t>Жибек Эйр</t>
        </is>
      </c>
      <c r="C1197" s="8" t="inlineStr">
        <is>
          <t>2476315115</t>
        </is>
      </c>
      <c r="D1197" s="8" t="inlineStr">
        <is>
          <t>ETM, акт 1С за месяц не выгружен</t>
        </is>
      </c>
      <c r="E1197" s="8" t="inlineStr">
        <is>
          <t>Выгрузка 1С</t>
        </is>
      </c>
      <c r="F1197" s="8" t="inlineStr">
        <is>
          <t>B</t>
        </is>
      </c>
      <c r="G1197" s="14" t="n">
        <v>0</v>
      </c>
      <c r="H1197" s="14" t="n">
        <v>-19541</v>
      </c>
      <c r="I1197" s="14" t="n"/>
      <c r="J1197" s="14" t="n">
        <v>-19541</v>
      </c>
      <c r="K1197" s="21" t="n">
        <v>46148.60707175926</v>
      </c>
      <c r="L1197" s="21" t="n"/>
      <c r="M1197" s="8" t="inlineStr"/>
      <c r="N1197" s="8" t="inlineStr">
        <is>
          <t>Бухгалтер: выгрузить акт</t>
        </is>
      </c>
      <c r="O1197" s="8" t="inlineStr"/>
      <c r="P1197" s="12" t="inlineStr">
        <is>
          <t>Операция есть в ETM, а акт 1С за этот (или следующий) месяц не выгружен — сначала получить акт</t>
        </is>
      </c>
      <c r="Q1197" s="8" t="inlineStr">
        <is>
          <t>57257480</t>
        </is>
      </c>
    </row>
    <row r="1198">
      <c r="A1198" s="8" t="inlineStr">
        <is>
          <t>G07342</t>
        </is>
      </c>
      <c r="B1198" s="8" t="inlineStr">
        <is>
          <t>Жибек Эйр</t>
        </is>
      </c>
      <c r="C1198" s="8" t="inlineStr">
        <is>
          <t>2476315116</t>
        </is>
      </c>
      <c r="D1198" s="8" t="inlineStr">
        <is>
          <t>ETM, акт 1С за месяц не выгружен</t>
        </is>
      </c>
      <c r="E1198" s="8" t="inlineStr">
        <is>
          <t>Выгрузка 1С</t>
        </is>
      </c>
      <c r="F1198" s="8" t="inlineStr">
        <is>
          <t>B</t>
        </is>
      </c>
      <c r="G1198" s="14" t="n">
        <v>0</v>
      </c>
      <c r="H1198" s="14" t="n">
        <v>-19541</v>
      </c>
      <c r="I1198" s="14" t="n"/>
      <c r="J1198" s="14" t="n">
        <v>-19541</v>
      </c>
      <c r="K1198" s="21" t="n">
        <v>46148.50142361111</v>
      </c>
      <c r="L1198" s="21" t="n"/>
      <c r="M1198" s="8" t="inlineStr"/>
      <c r="N1198" s="8" t="inlineStr">
        <is>
          <t>Бухгалтер: выгрузить акт</t>
        </is>
      </c>
      <c r="O1198" s="8" t="inlineStr"/>
      <c r="P1198" s="12" t="inlineStr">
        <is>
          <t>Операция есть в ETM, а акт 1С за этот (или следующий) месяц не выгружен — сначала получить акт</t>
        </is>
      </c>
      <c r="Q1198" s="8" t="inlineStr">
        <is>
          <t>57257507</t>
        </is>
      </c>
    </row>
    <row r="1199">
      <c r="A1199" s="8" t="inlineStr">
        <is>
          <t>G07343</t>
        </is>
      </c>
      <c r="B1199" s="8" t="inlineStr">
        <is>
          <t>Жибек Эйр</t>
        </is>
      </c>
      <c r="C1199" s="8" t="inlineStr">
        <is>
          <t>2476315119</t>
        </is>
      </c>
      <c r="D1199" s="8" t="inlineStr">
        <is>
          <t>ETM, акт 1С за месяц не выгружен</t>
        </is>
      </c>
      <c r="E1199" s="8" t="inlineStr">
        <is>
          <t>Выгрузка 1С</t>
        </is>
      </c>
      <c r="F1199" s="8" t="inlineStr">
        <is>
          <t>B</t>
        </is>
      </c>
      <c r="G1199" s="14" t="n">
        <v>0</v>
      </c>
      <c r="H1199" s="14" t="n">
        <v>-19541</v>
      </c>
      <c r="I1199" s="14" t="n"/>
      <c r="J1199" s="14" t="n">
        <v>-19541</v>
      </c>
      <c r="K1199" s="21" t="n">
        <v>46148.8058912037</v>
      </c>
      <c r="L1199" s="21" t="n"/>
      <c r="M1199" s="8" t="inlineStr"/>
      <c r="N1199" s="8" t="inlineStr">
        <is>
          <t>Бухгалтер: выгрузить акт</t>
        </is>
      </c>
      <c r="O1199" s="8" t="inlineStr"/>
      <c r="P1199" s="12" t="inlineStr">
        <is>
          <t>Операция есть в ETM, а акт 1С за этот (или следующий) месяц не выгружен — сначала получить акт</t>
        </is>
      </c>
      <c r="Q1199" s="8" t="inlineStr">
        <is>
          <t>57257543</t>
        </is>
      </c>
    </row>
    <row r="1200">
      <c r="A1200" s="8" t="inlineStr">
        <is>
          <t>G08199</t>
        </is>
      </c>
      <c r="B1200" s="8" t="inlineStr">
        <is>
          <t>ИП Жумабекова Б. Н.</t>
        </is>
      </c>
      <c r="C1200" s="8" t="inlineStr">
        <is>
          <t>2476315326</t>
        </is>
      </c>
      <c r="D1200" s="8" t="inlineStr">
        <is>
          <t>ETM, акт 1С за месяц не выгружен</t>
        </is>
      </c>
      <c r="E1200" s="8" t="inlineStr">
        <is>
          <t>Выгрузка 1С</t>
        </is>
      </c>
      <c r="F1200" s="8" t="inlineStr">
        <is>
          <t>B</t>
        </is>
      </c>
      <c r="G1200" s="14" t="n">
        <v>0</v>
      </c>
      <c r="H1200" s="14" t="n">
        <v>-19510.25</v>
      </c>
      <c r="I1200" s="14" t="n"/>
      <c r="J1200" s="14" t="n">
        <v>-19510.25</v>
      </c>
      <c r="K1200" s="21" t="n">
        <v>46169.67236111111</v>
      </c>
      <c r="L1200" s="21" t="n"/>
      <c r="M1200" s="8" t="inlineStr"/>
      <c r="N1200" s="8" t="inlineStr">
        <is>
          <t>Бухгалтер: выгрузить акт</t>
        </is>
      </c>
      <c r="O1200" s="8" t="inlineStr"/>
      <c r="P1200" s="12" t="inlineStr">
        <is>
          <t>Операция есть в ETM, а акт 1С за этот (или следующий) месяц не выгружен — сначала получить акт</t>
        </is>
      </c>
      <c r="Q1200" s="8" t="inlineStr">
        <is>
          <t>57320449</t>
        </is>
      </c>
    </row>
    <row r="1201">
      <c r="A1201" s="8" t="inlineStr">
        <is>
          <t>G13048</t>
        </is>
      </c>
      <c r="B1201" s="8" t="inlineStr">
        <is>
          <t>Сатар уулу Санжар</t>
        </is>
      </c>
      <c r="C1201" s="8" t="inlineStr">
        <is>
          <t>2459531333</t>
        </is>
      </c>
      <c r="D1201" s="8" t="inlineStr">
        <is>
          <t>ETM, акт 1С за месяц не выгружен</t>
        </is>
      </c>
      <c r="E1201" s="8" t="inlineStr">
        <is>
          <t>Выгрузка 1С</t>
        </is>
      </c>
      <c r="F1201" s="8" t="inlineStr">
        <is>
          <t>B</t>
        </is>
      </c>
      <c r="G1201" s="14" t="n">
        <v>0</v>
      </c>
      <c r="H1201" s="14" t="n">
        <v>-19496</v>
      </c>
      <c r="I1201" s="14" t="n">
        <v>19496</v>
      </c>
      <c r="J1201" s="14" t="n">
        <v>-19496</v>
      </c>
      <c r="K1201" s="21" t="n">
        <v>46174.67719907407</v>
      </c>
      <c r="L1201" s="21" t="n"/>
      <c r="M1201" s="8" t="inlineStr"/>
      <c r="N1201" s="8" t="inlineStr">
        <is>
          <t>Бухгалтер: выгрузить акт</t>
        </is>
      </c>
      <c r="O1201" s="8" t="inlineStr">
        <is>
          <t>g.omurbekova</t>
        </is>
      </c>
      <c r="P1201" s="12" t="inlineStr">
        <is>
          <t>Операция есть в ETM, а акт 1С за этот (или следующий) месяц не выгружен — сначала получить акт</t>
        </is>
      </c>
      <c r="Q1201" s="8" t="inlineStr">
        <is>
          <t>57334550</t>
        </is>
      </c>
    </row>
    <row r="1202">
      <c r="A1202" s="8" t="inlineStr">
        <is>
          <t>G07374</t>
        </is>
      </c>
      <c r="B1202" s="8" t="inlineStr">
        <is>
          <t>Жибек Эйр</t>
        </is>
      </c>
      <c r="C1202" s="8" t="inlineStr">
        <is>
          <t>2476319707</t>
        </is>
      </c>
      <c r="D1202" s="8" t="inlineStr">
        <is>
          <t>ETM, акт 1С за месяц не выгружен</t>
        </is>
      </c>
      <c r="E1202" s="8" t="inlineStr">
        <is>
          <t>Выгрузка 1С</t>
        </is>
      </c>
      <c r="F1202" s="8" t="inlineStr">
        <is>
          <t>B</t>
        </is>
      </c>
      <c r="G1202" s="14" t="n">
        <v>0</v>
      </c>
      <c r="H1202" s="14" t="n">
        <v>-19438.26</v>
      </c>
      <c r="I1202" s="14" t="n"/>
      <c r="J1202" s="14" t="n">
        <v>-19438.26</v>
      </c>
      <c r="K1202" s="21" t="n">
        <v>46172.35193287037</v>
      </c>
      <c r="L1202" s="21" t="n"/>
      <c r="M1202" s="8" t="inlineStr"/>
      <c r="N1202" s="8" t="inlineStr">
        <is>
          <t>Бухгалтер: выгрузить акт</t>
        </is>
      </c>
      <c r="O1202" s="8" t="inlineStr"/>
      <c r="P1202" s="12" t="inlineStr">
        <is>
          <t>Операция есть в ETM, а акт 1С за этот (или следующий) месяц не выгружен — сначала получить акт</t>
        </is>
      </c>
      <c r="Q1202" s="8" t="inlineStr">
        <is>
          <t>57329844</t>
        </is>
      </c>
    </row>
    <row r="1203">
      <c r="A1203" s="8" t="inlineStr">
        <is>
          <t>G12925</t>
        </is>
      </c>
      <c r="B1203" s="8" t="inlineStr">
        <is>
          <t>Сатар уулу Санжар</t>
        </is>
      </c>
      <c r="C1203" s="8" t="inlineStr">
        <is>
          <t>2420843231</t>
        </is>
      </c>
      <c r="D1203" s="8" t="inlineStr">
        <is>
          <t>ETM, акт 1С за месяц не выгружен</t>
        </is>
      </c>
      <c r="E1203" s="8" t="inlineStr">
        <is>
          <t>Выгрузка 1С</t>
        </is>
      </c>
      <c r="F1203" s="8" t="inlineStr">
        <is>
          <t>B</t>
        </is>
      </c>
      <c r="G1203" s="14" t="n">
        <v>0</v>
      </c>
      <c r="H1203" s="14" t="n">
        <v>-19437.37</v>
      </c>
      <c r="I1203" s="14" t="n">
        <v>19437.3704</v>
      </c>
      <c r="J1203" s="14" t="n">
        <v>-19437.37</v>
      </c>
      <c r="K1203" s="21" t="n">
        <v>46188.42263888889</v>
      </c>
      <c r="L1203" s="21" t="n"/>
      <c r="M1203" s="8" t="inlineStr"/>
      <c r="N1203" s="8" t="inlineStr">
        <is>
          <t>Бухгалтер: выгрузить акт</t>
        </is>
      </c>
      <c r="O1203" s="8" t="inlineStr">
        <is>
          <t>n.abdyldaeva</t>
        </is>
      </c>
      <c r="P1203" s="12" t="inlineStr">
        <is>
          <t>Операция есть в ETM, а акт 1С за этот (или следующий) месяц не выгружен — сначала получить акт</t>
        </is>
      </c>
      <c r="Q1203" s="8" t="inlineStr">
        <is>
          <t>57368639</t>
        </is>
      </c>
    </row>
    <row r="1204">
      <c r="A1204" s="8" t="inlineStr">
        <is>
          <t>G13590</t>
        </is>
      </c>
      <c r="B1204" s="8" t="inlineStr">
        <is>
          <t>Сыдыков С. У.</t>
        </is>
      </c>
      <c r="C1204" s="8" t="inlineStr">
        <is>
          <t>2559103977</t>
        </is>
      </c>
      <c r="D1204" s="8" t="inlineStr">
        <is>
          <t>ETM, акт 1С за месяц не выгружен</t>
        </is>
      </c>
      <c r="E1204" s="8" t="inlineStr">
        <is>
          <t>Выгрузка 1С</t>
        </is>
      </c>
      <c r="F1204" s="8" t="inlineStr">
        <is>
          <t>B</t>
        </is>
      </c>
      <c r="G1204" s="14" t="n">
        <v>0</v>
      </c>
      <c r="H1204" s="14" t="n">
        <v>-19428.98</v>
      </c>
      <c r="I1204" s="14" t="n"/>
      <c r="J1204" s="14" t="n">
        <v>-19428.98</v>
      </c>
      <c r="K1204" s="21" t="n">
        <v>46148.58121527778</v>
      </c>
      <c r="L1204" s="21" t="n"/>
      <c r="M1204" s="8" t="inlineStr"/>
      <c r="N1204" s="8" t="inlineStr">
        <is>
          <t>Бухгалтер: выгрузить акт</t>
        </is>
      </c>
      <c r="O1204" s="8" t="inlineStr"/>
      <c r="P1204" s="12" t="inlineStr">
        <is>
          <t>Операция есть в ETM, а акт 1С за этот (или следующий) месяц не выгружен — сначала получить акт</t>
        </is>
      </c>
      <c r="Q1204" s="8" t="inlineStr">
        <is>
          <t>57260228</t>
        </is>
      </c>
    </row>
    <row r="1205">
      <c r="A1205" s="8" t="inlineStr">
        <is>
          <t>G13078</t>
        </is>
      </c>
      <c r="B1205" s="8" t="inlineStr">
        <is>
          <t>Сатар уулу Санжар</t>
        </is>
      </c>
      <c r="C1205" s="8" t="inlineStr">
        <is>
          <t>2460733652</t>
        </is>
      </c>
      <c r="D1205" s="8" t="inlineStr">
        <is>
          <t>ETM, акт 1С за месяц не выгружен</t>
        </is>
      </c>
      <c r="E1205" s="8" t="inlineStr">
        <is>
          <t>Выгрузка 1С</t>
        </is>
      </c>
      <c r="F1205" s="8" t="inlineStr">
        <is>
          <t>B</t>
        </is>
      </c>
      <c r="G1205" s="14" t="n">
        <v>0</v>
      </c>
      <c r="H1205" s="14" t="n">
        <v>-19425</v>
      </c>
      <c r="I1205" s="14" t="n"/>
      <c r="J1205" s="14" t="n">
        <v>-19425</v>
      </c>
      <c r="K1205" s="21" t="n">
        <v>46120.55398148148</v>
      </c>
      <c r="L1205" s="21" t="n"/>
      <c r="M1205" s="8" t="inlineStr"/>
      <c r="N1205" s="8" t="inlineStr">
        <is>
          <t>Бухгалтер: выгрузить акт</t>
        </is>
      </c>
      <c r="O1205" s="8" t="inlineStr"/>
      <c r="P1205" s="12" t="inlineStr">
        <is>
          <t>Операция есть в ETM, а акт 1С за этот (или следующий) месяц не выгружен — сначала получить акт</t>
        </is>
      </c>
      <c r="Q1205" s="8" t="inlineStr">
        <is>
          <t>57196211</t>
        </is>
      </c>
    </row>
    <row r="1206">
      <c r="A1206" s="8" t="inlineStr">
        <is>
          <t>G07325</t>
        </is>
      </c>
      <c r="B1206" s="8" t="inlineStr">
        <is>
          <t>Жибек Эйр</t>
        </is>
      </c>
      <c r="C1206" s="8" t="inlineStr">
        <is>
          <t>2461885929</t>
        </is>
      </c>
      <c r="D1206" s="8" t="inlineStr">
        <is>
          <t>ETM, акт 1С за месяц не выгружен</t>
        </is>
      </c>
      <c r="E1206" s="8" t="inlineStr">
        <is>
          <t>Выгрузка 1С</t>
        </is>
      </c>
      <c r="F1206" s="8" t="inlineStr">
        <is>
          <t>B</t>
        </is>
      </c>
      <c r="G1206" s="14" t="n">
        <v>0</v>
      </c>
      <c r="H1206" s="14" t="n">
        <v>-19321</v>
      </c>
      <c r="I1206" s="14" t="n"/>
      <c r="J1206" s="14" t="n">
        <v>-19321</v>
      </c>
      <c r="K1206" s="21" t="n">
        <v>46122.76766203704</v>
      </c>
      <c r="L1206" s="21" t="n"/>
      <c r="M1206" s="8" t="inlineStr"/>
      <c r="N1206" s="8" t="inlineStr">
        <is>
          <t>Бухгалтер: выгрузить акт</t>
        </is>
      </c>
      <c r="O1206" s="8" t="inlineStr"/>
      <c r="P1206" s="12" t="inlineStr">
        <is>
          <t>Операция есть в ETM, а акт 1С за этот (или следующий) месяц не выгружен — сначала получить акт</t>
        </is>
      </c>
      <c r="Q1206" s="8" t="inlineStr">
        <is>
          <t>57201279</t>
        </is>
      </c>
    </row>
    <row r="1207">
      <c r="A1207" s="8" t="inlineStr">
        <is>
          <t>G07326</t>
        </is>
      </c>
      <c r="B1207" s="8" t="inlineStr">
        <is>
          <t>Жибек Эйр</t>
        </is>
      </c>
      <c r="C1207" s="8" t="inlineStr">
        <is>
          <t>2461885930</t>
        </is>
      </c>
      <c r="D1207" s="8" t="inlineStr">
        <is>
          <t>ETM, акт 1С за месяц не выгружен</t>
        </is>
      </c>
      <c r="E1207" s="8" t="inlineStr">
        <is>
          <t>Выгрузка 1С</t>
        </is>
      </c>
      <c r="F1207" s="8" t="inlineStr">
        <is>
          <t>B</t>
        </is>
      </c>
      <c r="G1207" s="14" t="n">
        <v>0</v>
      </c>
      <c r="H1207" s="14" t="n">
        <v>-19321</v>
      </c>
      <c r="I1207" s="14" t="n"/>
      <c r="J1207" s="14" t="n">
        <v>-19321</v>
      </c>
      <c r="K1207" s="21" t="n">
        <v>46122.43663194445</v>
      </c>
      <c r="L1207" s="21" t="n"/>
      <c r="M1207" s="8" t="inlineStr"/>
      <c r="N1207" s="8" t="inlineStr">
        <is>
          <t>Бухгалтер: выгрузить акт</t>
        </is>
      </c>
      <c r="O1207" s="8" t="inlineStr"/>
      <c r="P1207" s="12" t="inlineStr">
        <is>
          <t>Операция есть в ETM, а акт 1С за этот (или следующий) месяц не выгружен — сначала получить акт</t>
        </is>
      </c>
      <c r="Q1207" s="8" t="inlineStr">
        <is>
          <t>57201303</t>
        </is>
      </c>
    </row>
    <row r="1208">
      <c r="A1208" s="8" t="inlineStr">
        <is>
          <t>G07327</t>
        </is>
      </c>
      <c r="B1208" s="8" t="inlineStr">
        <is>
          <t>Жибек Эйр</t>
        </is>
      </c>
      <c r="C1208" s="8" t="inlineStr">
        <is>
          <t>2461885933</t>
        </is>
      </c>
      <c r="D1208" s="8" t="inlineStr">
        <is>
          <t>ETM, акт 1С за месяц не выгружен</t>
        </is>
      </c>
      <c r="E1208" s="8" t="inlineStr">
        <is>
          <t>Выгрузка 1С</t>
        </is>
      </c>
      <c r="F1208" s="8" t="inlineStr">
        <is>
          <t>B</t>
        </is>
      </c>
      <c r="G1208" s="14" t="n">
        <v>0</v>
      </c>
      <c r="H1208" s="14" t="n">
        <v>-19321</v>
      </c>
      <c r="I1208" s="14" t="n"/>
      <c r="J1208" s="14" t="n">
        <v>-19321</v>
      </c>
      <c r="K1208" s="21" t="n">
        <v>46122.71181712963</v>
      </c>
      <c r="L1208" s="21" t="n"/>
      <c r="M1208" s="8" t="inlineStr"/>
      <c r="N1208" s="8" t="inlineStr">
        <is>
          <t>Бухгалтер: выгрузить акт</t>
        </is>
      </c>
      <c r="O1208" s="8" t="inlineStr"/>
      <c r="P1208" s="12" t="inlineStr">
        <is>
          <t>Операция есть в ETM, а акт 1С за этот (или следующий) месяц не выгружен — сначала получить акт</t>
        </is>
      </c>
      <c r="Q1208" s="8" t="inlineStr">
        <is>
          <t>57201324</t>
        </is>
      </c>
    </row>
    <row r="1209">
      <c r="A1209" s="8" t="inlineStr">
        <is>
          <t>G07328</t>
        </is>
      </c>
      <c r="B1209" s="8" t="inlineStr">
        <is>
          <t>Жибек Эйр</t>
        </is>
      </c>
      <c r="C1209" s="8" t="inlineStr">
        <is>
          <t>2461885934</t>
        </is>
      </c>
      <c r="D1209" s="8" t="inlineStr">
        <is>
          <t>ETM, акт 1С за месяц не выгружен</t>
        </is>
      </c>
      <c r="E1209" s="8" t="inlineStr">
        <is>
          <t>Выгрузка 1С</t>
        </is>
      </c>
      <c r="F1209" s="8" t="inlineStr">
        <is>
          <t>B</t>
        </is>
      </c>
      <c r="G1209" s="14" t="n">
        <v>0</v>
      </c>
      <c r="H1209" s="14" t="n">
        <v>-19321</v>
      </c>
      <c r="I1209" s="14" t="n"/>
      <c r="J1209" s="14" t="n">
        <v>-19321</v>
      </c>
      <c r="K1209" s="21" t="n">
        <v>46122.48695601852</v>
      </c>
      <c r="L1209" s="21" t="n"/>
      <c r="M1209" s="8" t="inlineStr"/>
      <c r="N1209" s="8" t="inlineStr">
        <is>
          <t>Бухгалтер: выгрузить акт</t>
        </is>
      </c>
      <c r="O1209" s="8" t="inlineStr"/>
      <c r="P1209" s="12" t="inlineStr">
        <is>
          <t>Операция есть в ETM, а акт 1С за этот (или следующий) месяц не выгружен — сначала получить акт</t>
        </is>
      </c>
      <c r="Q1209" s="8" t="inlineStr">
        <is>
          <t>57201351</t>
        </is>
      </c>
    </row>
    <row r="1210">
      <c r="A1210" s="8" t="inlineStr">
        <is>
          <t>G14016</t>
        </is>
      </c>
      <c r="B1210" s="8" t="inlineStr">
        <is>
          <t>Тянь-Шань Тур</t>
        </is>
      </c>
      <c r="C1210" s="8" t="inlineStr">
        <is>
          <t>2461883184</t>
        </is>
      </c>
      <c r="D1210" s="8" t="inlineStr">
        <is>
          <t>ETM, акт 1С за месяц не выгружен</t>
        </is>
      </c>
      <c r="E1210" s="8" t="inlineStr">
        <is>
          <t>Выгрузка 1С</t>
        </is>
      </c>
      <c r="F1210" s="8" t="inlineStr">
        <is>
          <t>B</t>
        </is>
      </c>
      <c r="G1210" s="14" t="n">
        <v>0</v>
      </c>
      <c r="H1210" s="14" t="n">
        <v>-19313</v>
      </c>
      <c r="I1210" s="14" t="n"/>
      <c r="J1210" s="14" t="n">
        <v>-19313</v>
      </c>
      <c r="K1210" s="21" t="n">
        <v>46150.64806712963</v>
      </c>
      <c r="L1210" s="21" t="n"/>
      <c r="M1210" s="8" t="inlineStr"/>
      <c r="N1210" s="8" t="inlineStr">
        <is>
          <t>Бухгалтер: выгрузить акт</t>
        </is>
      </c>
      <c r="O1210" s="8" t="inlineStr"/>
      <c r="P1210" s="12" t="inlineStr">
        <is>
          <t>Операция есть в ETM, а акт 1С за этот (или следующий) месяц не выгружен — сначала получить акт</t>
        </is>
      </c>
      <c r="Q1210" s="8" t="inlineStr">
        <is>
          <t>57264682</t>
        </is>
      </c>
    </row>
    <row r="1211">
      <c r="A1211" s="8" t="inlineStr">
        <is>
          <t>G14017</t>
        </is>
      </c>
      <c r="B1211" s="8" t="inlineStr">
        <is>
          <t>Тянь-Шань Тур</t>
        </is>
      </c>
      <c r="C1211" s="8" t="inlineStr">
        <is>
          <t>2461883187</t>
        </is>
      </c>
      <c r="D1211" s="8" t="inlineStr">
        <is>
          <t>ETM, акт 1С за месяц не выгружен</t>
        </is>
      </c>
      <c r="E1211" s="8" t="inlineStr">
        <is>
          <t>Выгрузка 1С</t>
        </is>
      </c>
      <c r="F1211" s="8" t="inlineStr">
        <is>
          <t>B</t>
        </is>
      </c>
      <c r="G1211" s="14" t="n">
        <v>0</v>
      </c>
      <c r="H1211" s="14" t="n">
        <v>-19313</v>
      </c>
      <c r="I1211" s="14" t="n"/>
      <c r="J1211" s="14" t="n">
        <v>-19313</v>
      </c>
      <c r="K1211" s="21" t="n">
        <v>46150.4418287037</v>
      </c>
      <c r="L1211" s="21" t="n"/>
      <c r="M1211" s="8" t="inlineStr"/>
      <c r="N1211" s="8" t="inlineStr">
        <is>
          <t>Бухгалтер: выгрузить акт</t>
        </is>
      </c>
      <c r="O1211" s="8" t="inlineStr"/>
      <c r="P1211" s="12" t="inlineStr">
        <is>
          <t>Операция есть в ETM, а акт 1С за этот (или следующий) месяц не выгружен — сначала получить акт</t>
        </is>
      </c>
      <c r="Q1211" s="8" t="inlineStr">
        <is>
          <t>57264719</t>
        </is>
      </c>
    </row>
    <row r="1212">
      <c r="A1212" s="8" t="inlineStr">
        <is>
          <t>G09974</t>
        </is>
      </c>
      <c r="B1212" s="8" t="inlineStr">
        <is>
          <t>МУРАС ТРИП</t>
        </is>
      </c>
      <c r="C1212" s="8" t="inlineStr">
        <is>
          <t>2476316385</t>
        </is>
      </c>
      <c r="D1212" s="8" t="inlineStr">
        <is>
          <t>ETM, акт 1С за месяц не выгружен</t>
        </is>
      </c>
      <c r="E1212" s="8" t="inlineStr">
        <is>
          <t>Выгрузка 1С</t>
        </is>
      </c>
      <c r="F1212" s="8" t="inlineStr">
        <is>
          <t>B</t>
        </is>
      </c>
      <c r="G1212" s="14" t="n">
        <v>0</v>
      </c>
      <c r="H1212" s="14" t="n">
        <v>-19303.62</v>
      </c>
      <c r="I1212" s="14" t="n"/>
      <c r="J1212" s="14" t="n">
        <v>-19303.62</v>
      </c>
      <c r="K1212" s="21" t="n">
        <v>46194.68560185185</v>
      </c>
      <c r="L1212" s="21" t="n"/>
      <c r="M1212" s="8" t="inlineStr"/>
      <c r="N1212" s="8" t="inlineStr">
        <is>
          <t>Бухгалтер: выгрузить акт</t>
        </is>
      </c>
      <c r="O1212" s="8" t="inlineStr"/>
      <c r="P1212" s="12" t="inlineStr">
        <is>
          <t>Операция есть в ETM, а акт 1С за этот (или следующий) месяц не выгружен — сначала получить акт</t>
        </is>
      </c>
      <c r="Q1212" s="8" t="inlineStr">
        <is>
          <t>57386554</t>
        </is>
      </c>
    </row>
    <row r="1213">
      <c r="A1213" s="8" t="inlineStr">
        <is>
          <t>G09257</t>
        </is>
      </c>
      <c r="B1213" s="8" t="inlineStr">
        <is>
          <t>ИССЫК ТРИП</t>
        </is>
      </c>
      <c r="C1213" s="8" t="inlineStr">
        <is>
          <t>2476320173</t>
        </is>
      </c>
      <c r="D1213" s="8" t="inlineStr">
        <is>
          <t>ETM, акт 1С за месяц не выгружен</t>
        </is>
      </c>
      <c r="E1213" s="8" t="inlineStr">
        <is>
          <t>Выгрузка 1С</t>
        </is>
      </c>
      <c r="F1213" s="8" t="inlineStr">
        <is>
          <t>B</t>
        </is>
      </c>
      <c r="G1213" s="14" t="n">
        <v>0</v>
      </c>
      <c r="H1213" s="14" t="n">
        <v>-19271.44</v>
      </c>
      <c r="I1213" s="14" t="n">
        <v>19271.44</v>
      </c>
      <c r="J1213" s="14" t="n">
        <v>-19271.44</v>
      </c>
      <c r="K1213" s="21" t="n">
        <v>46065.46615740741</v>
      </c>
      <c r="L1213" s="21" t="n"/>
      <c r="M1213" s="8" t="inlineStr"/>
      <c r="N1213" s="8" t="inlineStr">
        <is>
          <t>Бухгалтер: выгрузить акт</t>
        </is>
      </c>
      <c r="O1213" s="8" t="inlineStr">
        <is>
          <t>k.dzhumaev</t>
        </is>
      </c>
      <c r="P1213" s="12" t="inlineStr">
        <is>
          <t>Операция есть в ETM, а акт 1С за этот (или следующий) месяц не выгружен — сначала получить акт</t>
        </is>
      </c>
      <c r="Q1213" s="8" t="inlineStr">
        <is>
          <t>57087917</t>
        </is>
      </c>
    </row>
    <row r="1214">
      <c r="A1214" s="8" t="inlineStr">
        <is>
          <t>G08388</t>
        </is>
      </c>
      <c r="B1214" s="8" t="inlineStr">
        <is>
          <t>ИП Муратов Э. У.</t>
        </is>
      </c>
      <c r="C1214" s="8" t="inlineStr">
        <is>
          <t>2459532189</t>
        </is>
      </c>
      <c r="D1214" s="8" t="inlineStr">
        <is>
          <t>ETM, акт 1С за месяц не выгружен</t>
        </is>
      </c>
      <c r="E1214" s="8" t="inlineStr">
        <is>
          <t>Выгрузка 1С</t>
        </is>
      </c>
      <c r="F1214" s="8" t="inlineStr">
        <is>
          <t>B</t>
        </is>
      </c>
      <c r="G1214" s="14" t="n">
        <v>0</v>
      </c>
      <c r="H1214" s="14" t="n">
        <v>-19258</v>
      </c>
      <c r="I1214" s="14" t="n">
        <v>19258</v>
      </c>
      <c r="J1214" s="14" t="n">
        <v>-19258</v>
      </c>
      <c r="K1214" s="21" t="n">
        <v>46099.35694444444</v>
      </c>
      <c r="L1214" s="21" t="n"/>
      <c r="M1214" s="8" t="inlineStr"/>
      <c r="N1214" s="8" t="inlineStr">
        <is>
          <t>Бухгалтер: выгрузить акт</t>
        </is>
      </c>
      <c r="O1214" s="8" t="inlineStr">
        <is>
          <t>b.isakov</t>
        </is>
      </c>
      <c r="P1214" s="12" t="inlineStr">
        <is>
          <t>Операция есть в ETM, а акт 1С за этот (или следующий) месяц не выгружен — сначала получить акт</t>
        </is>
      </c>
      <c r="Q1214" s="8" t="inlineStr">
        <is>
          <t>57156713</t>
        </is>
      </c>
    </row>
    <row r="1215">
      <c r="A1215" s="8" t="inlineStr">
        <is>
          <t>G07548</t>
        </is>
      </c>
      <c r="B1215" s="8" t="inlineStr">
        <is>
          <t>Жолчу кызы А.</t>
        </is>
      </c>
      <c r="C1215" s="8" t="inlineStr">
        <is>
          <t>2476316833</t>
        </is>
      </c>
      <c r="D1215" s="8" t="inlineStr">
        <is>
          <t>ETM, акт 1С за месяц не выгружен</t>
        </is>
      </c>
      <c r="E1215" s="8" t="inlineStr">
        <is>
          <t>Выгрузка 1С</t>
        </is>
      </c>
      <c r="F1215" s="8" t="inlineStr">
        <is>
          <t>B</t>
        </is>
      </c>
      <c r="G1215" s="14" t="n">
        <v>0</v>
      </c>
      <c r="H1215" s="14" t="n">
        <v>-19197.23</v>
      </c>
      <c r="I1215" s="14" t="n">
        <v>19197.23</v>
      </c>
      <c r="J1215" s="14" t="n">
        <v>-19197.23</v>
      </c>
      <c r="K1215" s="21" t="n">
        <v>46193.34121527777</v>
      </c>
      <c r="L1215" s="21" t="n"/>
      <c r="M1215" s="8" t="inlineStr"/>
      <c r="N1215" s="8" t="inlineStr">
        <is>
          <t>Бухгалтер: выгрузить акт</t>
        </is>
      </c>
      <c r="O1215" s="8" t="inlineStr">
        <is>
          <t>e.satarov</t>
        </is>
      </c>
      <c r="P1215" s="12" t="inlineStr">
        <is>
          <t>Операция есть в ETM, а акт 1С за этот (или следующий) месяц не выгружен — сначала получить акт</t>
        </is>
      </c>
      <c r="Q1215" s="8" t="inlineStr">
        <is>
          <t>57383832</t>
        </is>
      </c>
    </row>
    <row r="1216">
      <c r="A1216" s="8" t="inlineStr">
        <is>
          <t>G07223</t>
        </is>
      </c>
      <c r="B1216" s="8" t="inlineStr">
        <is>
          <t>Жибек Эйр</t>
        </is>
      </c>
      <c r="C1216" s="8" t="inlineStr">
        <is>
          <t>2459528473</t>
        </is>
      </c>
      <c r="D1216" s="8" t="inlineStr">
        <is>
          <t>ETM, акт 1С за месяц не выгружен</t>
        </is>
      </c>
      <c r="E1216" s="8" t="inlineStr">
        <is>
          <t>Выгрузка 1С</t>
        </is>
      </c>
      <c r="F1216" s="8" t="inlineStr">
        <is>
          <t>B</t>
        </is>
      </c>
      <c r="G1216" s="14" t="n">
        <v>0</v>
      </c>
      <c r="H1216" s="14" t="n">
        <v>-19116</v>
      </c>
      <c r="I1216" s="14" t="n"/>
      <c r="J1216" s="14" t="n">
        <v>-19116</v>
      </c>
      <c r="K1216" s="21" t="n">
        <v>46162.33972222222</v>
      </c>
      <c r="L1216" s="21" t="n"/>
      <c r="M1216" s="8" t="inlineStr"/>
      <c r="N1216" s="8" t="inlineStr">
        <is>
          <t>Бухгалтер: выгрузить акт</t>
        </is>
      </c>
      <c r="O1216" s="8" t="inlineStr"/>
      <c r="P1216" s="12" t="inlineStr">
        <is>
          <t>Операция есть в ETM, а акт 1С за этот (или следующий) месяц не выгружен — сначала получить акт</t>
        </is>
      </c>
      <c r="Q1216" s="8" t="inlineStr">
        <is>
          <t>57301295</t>
        </is>
      </c>
    </row>
    <row r="1217">
      <c r="A1217" s="8" t="inlineStr">
        <is>
          <t>G07224</t>
        </is>
      </c>
      <c r="B1217" s="8" t="inlineStr">
        <is>
          <t>Жибек Эйр</t>
        </is>
      </c>
      <c r="C1217" s="8" t="inlineStr">
        <is>
          <t>2459528475</t>
        </is>
      </c>
      <c r="D1217" s="8" t="inlineStr">
        <is>
          <t>ETM, акт 1С за месяц не выгружен</t>
        </is>
      </c>
      <c r="E1217" s="8" t="inlineStr">
        <is>
          <t>Выгрузка 1С</t>
        </is>
      </c>
      <c r="F1217" s="8" t="inlineStr">
        <is>
          <t>B</t>
        </is>
      </c>
      <c r="G1217" s="14" t="n">
        <v>0</v>
      </c>
      <c r="H1217" s="14" t="n">
        <v>-19116</v>
      </c>
      <c r="I1217" s="14" t="n"/>
      <c r="J1217" s="14" t="n">
        <v>-19116</v>
      </c>
      <c r="K1217" s="21" t="n">
        <v>46162.53197916667</v>
      </c>
      <c r="L1217" s="21" t="n"/>
      <c r="M1217" s="8" t="inlineStr"/>
      <c r="N1217" s="8" t="inlineStr">
        <is>
          <t>Бухгалтер: выгрузить акт</t>
        </is>
      </c>
      <c r="O1217" s="8" t="inlineStr"/>
      <c r="P1217" s="12" t="inlineStr">
        <is>
          <t>Операция есть в ETM, а акт 1С за этот (или следующий) месяц не выгружен — сначала получить акт</t>
        </is>
      </c>
      <c r="Q1217" s="8" t="inlineStr">
        <is>
          <t>57301330</t>
        </is>
      </c>
    </row>
    <row r="1218">
      <c r="A1218" s="8" t="inlineStr">
        <is>
          <t>G07225</t>
        </is>
      </c>
      <c r="B1218" s="8" t="inlineStr">
        <is>
          <t>Жибек Эйр</t>
        </is>
      </c>
      <c r="C1218" s="8" t="inlineStr">
        <is>
          <t>2459528478</t>
        </is>
      </c>
      <c r="D1218" s="8" t="inlineStr">
        <is>
          <t>ETM, акт 1С за месяц не выгружен</t>
        </is>
      </c>
      <c r="E1218" s="8" t="inlineStr">
        <is>
          <t>Выгрузка 1С</t>
        </is>
      </c>
      <c r="F1218" s="8" t="inlineStr">
        <is>
          <t>B</t>
        </is>
      </c>
      <c r="G1218" s="14" t="n">
        <v>0</v>
      </c>
      <c r="H1218" s="14" t="n">
        <v>-19116</v>
      </c>
      <c r="I1218" s="14" t="n"/>
      <c r="J1218" s="14" t="n">
        <v>-19116</v>
      </c>
      <c r="K1218" s="21" t="n">
        <v>46162.3952199074</v>
      </c>
      <c r="L1218" s="21" t="n"/>
      <c r="M1218" s="8" t="inlineStr"/>
      <c r="N1218" s="8" t="inlineStr">
        <is>
          <t>Бухгалтер: выгрузить акт</t>
        </is>
      </c>
      <c r="O1218" s="8" t="inlineStr"/>
      <c r="P1218" s="12" t="inlineStr">
        <is>
          <t>Операция есть в ETM, а акт 1С за этот (или следующий) месяц не выгружен — сначала получить акт</t>
        </is>
      </c>
      <c r="Q1218" s="8" t="inlineStr">
        <is>
          <t>57301344</t>
        </is>
      </c>
    </row>
    <row r="1219">
      <c r="A1219" s="8" t="inlineStr">
        <is>
          <t>G10628</t>
        </is>
      </c>
      <c r="B1219" s="8" t="inlineStr">
        <is>
          <t>Манас Туризм</t>
        </is>
      </c>
      <c r="C1219" s="8" t="inlineStr">
        <is>
          <t>2416941607</t>
        </is>
      </c>
      <c r="D1219" s="8" t="inlineStr">
        <is>
          <t>ETM, акт 1С за месяц не выгружен</t>
        </is>
      </c>
      <c r="E1219" s="8" t="inlineStr">
        <is>
          <t>Выгрузка 1С</t>
        </is>
      </c>
      <c r="F1219" s="8" t="inlineStr">
        <is>
          <t>B</t>
        </is>
      </c>
      <c r="G1219" s="14" t="n">
        <v>0</v>
      </c>
      <c r="H1219" s="14" t="n">
        <v>-19080.17</v>
      </c>
      <c r="I1219" s="14" t="n"/>
      <c r="J1219" s="14" t="n">
        <v>-19080.17</v>
      </c>
      <c r="K1219" s="21" t="n">
        <v>46179.51896990741</v>
      </c>
      <c r="L1219" s="21" t="n"/>
      <c r="M1219" s="8" t="inlineStr"/>
      <c r="N1219" s="8" t="inlineStr">
        <is>
          <t>Бухгалтер: выгрузить акт</t>
        </is>
      </c>
      <c r="O1219" s="8" t="inlineStr"/>
      <c r="P1219" s="12" t="inlineStr">
        <is>
          <t>Операция есть в ETM, а акт 1С за этот (или следующий) месяц не выгружен — сначала получить акт</t>
        </is>
      </c>
      <c r="Q1219" s="8" t="inlineStr">
        <is>
          <t>57346012</t>
        </is>
      </c>
    </row>
    <row r="1220">
      <c r="A1220" s="8" t="inlineStr">
        <is>
          <t>G07329</t>
        </is>
      </c>
      <c r="B1220" s="8" t="inlineStr">
        <is>
          <t>Жибек Эйр</t>
        </is>
      </c>
      <c r="C1220" s="8" t="inlineStr">
        <is>
          <t>2461886118</t>
        </is>
      </c>
      <c r="D1220" s="8" t="inlineStr">
        <is>
          <t>ETM, акт 1С за месяц не выгружен</t>
        </is>
      </c>
      <c r="E1220" s="8" t="inlineStr">
        <is>
          <t>Выгрузка 1С</t>
        </is>
      </c>
      <c r="F1220" s="8" t="inlineStr">
        <is>
          <t>B</t>
        </is>
      </c>
      <c r="G1220" s="14" t="n">
        <v>0</v>
      </c>
      <c r="H1220" s="14" t="n">
        <v>-19029</v>
      </c>
      <c r="I1220" s="14" t="n">
        <v>19029</v>
      </c>
      <c r="J1220" s="14" t="n">
        <v>-19029</v>
      </c>
      <c r="K1220" s="21" t="n">
        <v>46113.43309027778</v>
      </c>
      <c r="L1220" s="21" t="n"/>
      <c r="M1220" s="8" t="inlineStr"/>
      <c r="N1220" s="8" t="inlineStr">
        <is>
          <t>Бухгалтер: выгрузить акт</t>
        </is>
      </c>
      <c r="O1220" s="8" t="inlineStr">
        <is>
          <t>e.satarov</t>
        </is>
      </c>
      <c r="P1220" s="12" t="inlineStr">
        <is>
          <t>Операция есть в ETM, а акт 1С за этот (или следующий) месяц не выгружен — сначала получить акт</t>
        </is>
      </c>
      <c r="Q1220" s="8" t="inlineStr">
        <is>
          <t>57185358</t>
        </is>
      </c>
    </row>
    <row r="1221">
      <c r="A1221" s="8" t="inlineStr">
        <is>
          <t>G14481</t>
        </is>
      </c>
      <c r="B1221" s="8" t="inlineStr">
        <is>
          <t>Чолпон Тревел</t>
        </is>
      </c>
      <c r="C1221" s="8" t="inlineStr">
        <is>
          <t>2460737227</t>
        </is>
      </c>
      <c r="D1221" s="8" t="inlineStr">
        <is>
          <t>ETM, акт 1С за месяц не выгружен</t>
        </is>
      </c>
      <c r="E1221" s="8" t="inlineStr">
        <is>
          <t>Выгрузка 1С</t>
        </is>
      </c>
      <c r="F1221" s="8" t="inlineStr">
        <is>
          <t>B</t>
        </is>
      </c>
      <c r="G1221" s="14" t="n">
        <v>0</v>
      </c>
      <c r="H1221" s="14" t="n">
        <v>-18915</v>
      </c>
      <c r="I1221" s="14" t="n">
        <v>18915</v>
      </c>
      <c r="J1221" s="14" t="n">
        <v>-18915</v>
      </c>
      <c r="K1221" s="21" t="n">
        <v>46157.75719907408</v>
      </c>
      <c r="L1221" s="21" t="n"/>
      <c r="M1221" s="8" t="inlineStr"/>
      <c r="N1221" s="8" t="inlineStr">
        <is>
          <t>Бухгалтер: выгрузить акт</t>
        </is>
      </c>
      <c r="O1221" s="8" t="inlineStr">
        <is>
          <t>k.dzhumaev</t>
        </is>
      </c>
      <c r="P1221" s="12" t="inlineStr">
        <is>
          <t>Операция есть в ETM, а акт 1С за этот (или следующий) месяц не выгружен — сначала получить акт</t>
        </is>
      </c>
      <c r="Q1221" s="8" t="inlineStr">
        <is>
          <t>57287568</t>
        </is>
      </c>
    </row>
    <row r="1222">
      <c r="A1222" s="8" t="inlineStr">
        <is>
          <t>G12927</t>
        </is>
      </c>
      <c r="B1222" s="8" t="inlineStr">
        <is>
          <t>Сатар уулу Санжар</t>
        </is>
      </c>
      <c r="C1222" s="8" t="inlineStr">
        <is>
          <t>2420843291</t>
        </is>
      </c>
      <c r="D1222" s="8" t="inlineStr">
        <is>
          <t>ETM, акт 1С за месяц не выгружен</t>
        </is>
      </c>
      <c r="E1222" s="8" t="inlineStr">
        <is>
          <t>Выгрузка 1С</t>
        </is>
      </c>
      <c r="F1222" s="8" t="inlineStr">
        <is>
          <t>B</t>
        </is>
      </c>
      <c r="G1222" s="14" t="n">
        <v>0</v>
      </c>
      <c r="H1222" s="14" t="n">
        <v>-18770.8</v>
      </c>
      <c r="I1222" s="14" t="n">
        <v>18770.7952</v>
      </c>
      <c r="J1222" s="14" t="n">
        <v>-18770.8</v>
      </c>
      <c r="K1222" s="21" t="n">
        <v>46191.33571759259</v>
      </c>
      <c r="L1222" s="21" t="n"/>
      <c r="M1222" s="8" t="inlineStr"/>
      <c r="N1222" s="8" t="inlineStr">
        <is>
          <t>Бухгалтер: выгрузить акт</t>
        </is>
      </c>
      <c r="O1222" s="8" t="inlineStr">
        <is>
          <t>g.omurbekova</t>
        </is>
      </c>
      <c r="P1222" s="12" t="inlineStr">
        <is>
          <t>Операция есть в ETM, а акт 1С за этот (или следующий) месяц не выгружен — сначала получить акт</t>
        </is>
      </c>
      <c r="Q1222" s="8" t="inlineStr">
        <is>
          <t>57377667</t>
        </is>
      </c>
    </row>
    <row r="1223">
      <c r="A1223" s="8" t="inlineStr">
        <is>
          <t>G07426</t>
        </is>
      </c>
      <c r="B1223" s="8" t="inlineStr">
        <is>
          <t>Жибек Эйр</t>
        </is>
      </c>
      <c r="C1223" s="8" t="inlineStr">
        <is>
          <t>2559100425</t>
        </is>
      </c>
      <c r="D1223" s="8" t="inlineStr">
        <is>
          <t>ETM, акт 1С за месяц не выгружен</t>
        </is>
      </c>
      <c r="E1223" s="8" t="inlineStr">
        <is>
          <t>Выгрузка 1С</t>
        </is>
      </c>
      <c r="F1223" s="8" t="inlineStr">
        <is>
          <t>B</t>
        </is>
      </c>
      <c r="G1223" s="14" t="n">
        <v>0</v>
      </c>
      <c r="H1223" s="14" t="n">
        <v>-18715.36</v>
      </c>
      <c r="I1223" s="14" t="n">
        <v>18715.365</v>
      </c>
      <c r="J1223" s="14" t="n">
        <v>-18715.36</v>
      </c>
      <c r="K1223" s="21" t="n">
        <v>46167.74490740741</v>
      </c>
      <c r="L1223" s="21" t="n"/>
      <c r="M1223" s="8" t="inlineStr"/>
      <c r="N1223" s="8" t="inlineStr">
        <is>
          <t>Бухгалтер: выгрузить акт</t>
        </is>
      </c>
      <c r="O1223" s="8" t="inlineStr">
        <is>
          <t>a.toktosunova</t>
        </is>
      </c>
      <c r="P1223" s="12" t="inlineStr">
        <is>
          <t>Операция есть в ETM, а акт 1С за этот (или следующий) месяц не выгружен — сначала получить акт</t>
        </is>
      </c>
      <c r="Q1223" s="8" t="inlineStr">
        <is>
          <t>57315447</t>
        </is>
      </c>
    </row>
    <row r="1224">
      <c r="A1224" s="8" t="inlineStr">
        <is>
          <t>G07409</t>
        </is>
      </c>
      <c r="B1224" s="8" t="inlineStr">
        <is>
          <t>Жибек Эйр</t>
        </is>
      </c>
      <c r="C1224" s="8" t="inlineStr">
        <is>
          <t>2552672164</t>
        </is>
      </c>
      <c r="D1224" s="8" t="inlineStr">
        <is>
          <t>ETM, акт 1С за месяц не выгружен</t>
        </is>
      </c>
      <c r="E1224" s="8" t="inlineStr">
        <is>
          <t>Выгрузка 1С</t>
        </is>
      </c>
      <c r="F1224" s="8" t="inlineStr">
        <is>
          <t>B</t>
        </is>
      </c>
      <c r="G1224" s="14" t="n">
        <v>0</v>
      </c>
      <c r="H1224" s="14" t="n">
        <v>-18562.59</v>
      </c>
      <c r="I1224" s="14" t="n"/>
      <c r="J1224" s="14" t="n">
        <v>-18562.59</v>
      </c>
      <c r="K1224" s="21" t="n">
        <v>46160.5108912037</v>
      </c>
      <c r="L1224" s="21" t="n"/>
      <c r="M1224" s="8" t="inlineStr"/>
      <c r="N1224" s="8" t="inlineStr">
        <is>
          <t>Бухгалтер: выгрузить акт</t>
        </is>
      </c>
      <c r="O1224" s="8" t="inlineStr"/>
      <c r="P1224" s="12" t="inlineStr">
        <is>
          <t>Операция есть в ETM, а акт 1С за этот (или следующий) месяц не выгружен — сначала получить акт</t>
        </is>
      </c>
      <c r="Q1224" s="8" t="inlineStr">
        <is>
          <t>57296311</t>
        </is>
      </c>
    </row>
    <row r="1225">
      <c r="A1225" s="8" t="inlineStr">
        <is>
          <t>G07337</t>
        </is>
      </c>
      <c r="B1225" s="8" t="inlineStr">
        <is>
          <t>Жибек Эйр</t>
        </is>
      </c>
      <c r="C1225" s="8" t="inlineStr">
        <is>
          <t>2476314578</t>
        </is>
      </c>
      <c r="D1225" s="8" t="inlineStr">
        <is>
          <t>ETM, акт 1С за месяц не выгружен</t>
        </is>
      </c>
      <c r="E1225" s="8" t="inlineStr">
        <is>
          <t>Выгрузка 1С</t>
        </is>
      </c>
      <c r="F1225" s="8" t="inlineStr">
        <is>
          <t>B</t>
        </is>
      </c>
      <c r="G1225" s="14" t="n">
        <v>0</v>
      </c>
      <c r="H1225" s="14" t="n">
        <v>-18429.84</v>
      </c>
      <c r="I1225" s="14" t="n"/>
      <c r="J1225" s="14" t="n">
        <v>-18429.84</v>
      </c>
      <c r="K1225" s="21" t="n">
        <v>46142.35045138889</v>
      </c>
      <c r="L1225" s="21" t="n"/>
      <c r="M1225" s="8" t="inlineStr"/>
      <c r="N1225" s="8" t="inlineStr">
        <is>
          <t>Бухгалтер: выгрузить акт</t>
        </is>
      </c>
      <c r="O1225" s="8" t="inlineStr"/>
      <c r="P1225" s="12" t="inlineStr">
        <is>
          <t>Операция есть в ETM, а акт 1С за этот (или следующий) месяц не выгружен — сначала получить акт</t>
        </is>
      </c>
      <c r="Q1225" s="8" t="inlineStr">
        <is>
          <t>57238924</t>
        </is>
      </c>
    </row>
    <row r="1226">
      <c r="A1226" s="8" t="inlineStr">
        <is>
          <t>G09323</t>
        </is>
      </c>
      <c r="B1226" s="8" t="inlineStr">
        <is>
          <t>ИССЫК ТРИП</t>
        </is>
      </c>
      <c r="C1226" s="8" t="inlineStr">
        <is>
          <t>2552672764</t>
        </is>
      </c>
      <c r="D1226" s="8" t="inlineStr">
        <is>
          <t>ETM, акт 1С за месяц не выгружен</t>
        </is>
      </c>
      <c r="E1226" s="8" t="inlineStr">
        <is>
          <t>Выгрузка 1С</t>
        </is>
      </c>
      <c r="F1226" s="8" t="inlineStr">
        <is>
          <t>B</t>
        </is>
      </c>
      <c r="G1226" s="14" t="n">
        <v>0</v>
      </c>
      <c r="H1226" s="14" t="n">
        <v>-18328.05</v>
      </c>
      <c r="I1226" s="14" t="n">
        <v>18328.05</v>
      </c>
      <c r="J1226" s="14" t="n">
        <v>-18328.05</v>
      </c>
      <c r="K1226" s="21" t="n">
        <v>46071.55342592593</v>
      </c>
      <c r="L1226" s="21" t="n"/>
      <c r="M1226" s="8" t="inlineStr"/>
      <c r="N1226" s="8" t="inlineStr">
        <is>
          <t>Бухгалтер: выгрузить акт</t>
        </is>
      </c>
      <c r="O1226" s="8" t="inlineStr">
        <is>
          <t>g.omurbekova</t>
        </is>
      </c>
      <c r="P1226" s="12" t="inlineStr">
        <is>
          <t>Операция есть в ETM, а акт 1С за этот (или следующий) месяц не выгружен — сначала получить акт</t>
        </is>
      </c>
      <c r="Q1226" s="8" t="inlineStr">
        <is>
          <t>57097002</t>
        </is>
      </c>
    </row>
    <row r="1227">
      <c r="A1227" s="8" t="inlineStr">
        <is>
          <t>G13565</t>
        </is>
      </c>
      <c r="B1227" s="8" t="inlineStr">
        <is>
          <t>Сыдыков С. У.</t>
        </is>
      </c>
      <c r="C1227" s="8" t="inlineStr">
        <is>
          <t>2476315696</t>
        </is>
      </c>
      <c r="D1227" s="8" t="inlineStr">
        <is>
          <t>ETM, акт 1С за месяц не выгружен</t>
        </is>
      </c>
      <c r="E1227" s="8" t="inlineStr">
        <is>
          <t>Выгрузка 1С</t>
        </is>
      </c>
      <c r="F1227" s="8" t="inlineStr">
        <is>
          <t>B</t>
        </is>
      </c>
      <c r="G1227" s="14" t="n">
        <v>0</v>
      </c>
      <c r="H1227" s="14" t="n">
        <v>-18258.62</v>
      </c>
      <c r="I1227" s="14" t="n">
        <v>18258.62</v>
      </c>
      <c r="J1227" s="14" t="n">
        <v>-18258.62</v>
      </c>
      <c r="K1227" s="21" t="n">
        <v>46143.74271990741</v>
      </c>
      <c r="L1227" s="21" t="n"/>
      <c r="M1227" s="8" t="inlineStr"/>
      <c r="N1227" s="8" t="inlineStr">
        <is>
          <t>Бухгалтер: выгрузить акт</t>
        </is>
      </c>
      <c r="O1227" s="8" t="inlineStr">
        <is>
          <t>d.mambetova</t>
        </is>
      </c>
      <c r="P1227" s="12" t="inlineStr">
        <is>
          <t>Операция есть в ETM, а акт 1С за этот (или следующий) месяц не выгружен — сначала получить акт</t>
        </is>
      </c>
      <c r="Q1227" s="8" t="inlineStr">
        <is>
          <t>57241734</t>
        </is>
      </c>
    </row>
    <row r="1228">
      <c r="A1228" s="8" t="inlineStr">
        <is>
          <t>G02888</t>
        </is>
      </c>
      <c r="B1228" s="8" t="inlineStr">
        <is>
          <t>SkyWay Travel</t>
        </is>
      </c>
      <c r="C1228" s="8" t="inlineStr">
        <is>
          <t>2460735864</t>
        </is>
      </c>
      <c r="D1228" s="8" t="inlineStr">
        <is>
          <t>Сумма не сходится</t>
        </is>
      </c>
      <c r="E1228" s="8" t="inlineStr">
        <is>
          <t>1С</t>
        </is>
      </c>
      <c r="F1228" s="8" t="inlineStr">
        <is>
          <t>B</t>
        </is>
      </c>
      <c r="G1228" s="14" t="n">
        <v>31200</v>
      </c>
      <c r="H1228" s="14" t="n">
        <v>-13200</v>
      </c>
      <c r="I1228" s="14" t="n"/>
      <c r="J1228" s="14" t="n">
        <v>18000</v>
      </c>
      <c r="K1228" s="21" t="n">
        <v>46151.61762731482</v>
      </c>
      <c r="L1228" s="21" t="n">
        <v>46151</v>
      </c>
      <c r="M1228" s="8" t="inlineStr">
        <is>
          <t>TRANSPOSITION</t>
        </is>
      </c>
      <c r="N1228" s="8" t="inlineStr">
        <is>
          <t>Бухгалтер 1С</t>
        </is>
      </c>
      <c r="O1228" s="8" t="inlineStr"/>
      <c r="P1228" s="12" t="inlineStr">
        <is>
          <t>Суммы 1С (31,200.00) и ETM (13,200.00) отличаются перестановкой — похоже на ручную опечатку при вводе акта в 1С (гипотеза, подтвердить у бухгалтера)</t>
        </is>
      </c>
      <c r="Q1228" s="8" t="inlineStr">
        <is>
          <t>57268073</t>
        </is>
      </c>
    </row>
    <row r="1229">
      <c r="A1229" s="8" t="inlineStr">
        <is>
          <t>G13202</t>
        </is>
      </c>
      <c r="B1229" s="8" t="inlineStr">
        <is>
          <t>Сатар уулу Санжар</t>
        </is>
      </c>
      <c r="C1229" s="8" t="inlineStr">
        <is>
          <t>2476315099|2476315101|2476315103</t>
        </is>
      </c>
      <c r="D1229" s="8" t="inlineStr">
        <is>
          <t>Сумма не сходится</t>
        </is>
      </c>
      <c r="E1229" s="8" t="inlineStr">
        <is>
          <t>1С</t>
        </is>
      </c>
      <c r="F1229" s="8" t="inlineStr">
        <is>
          <t>B</t>
        </is>
      </c>
      <c r="G1229" s="14" t="n">
        <v>75024.14999999999</v>
      </c>
      <c r="H1229" s="14" t="n">
        <v>-57024.14999999999</v>
      </c>
      <c r="I1229" s="14" t="n"/>
      <c r="J1229" s="14" t="n">
        <v>18000</v>
      </c>
      <c r="K1229" s="21" t="n">
        <v>46068.4109837963</v>
      </c>
      <c r="L1229" s="21" t="n">
        <v>46068</v>
      </c>
      <c r="M1229" s="8" t="inlineStr">
        <is>
          <t>TRANSPOSITION</t>
        </is>
      </c>
      <c r="N1229" s="8" t="inlineStr">
        <is>
          <t>Бухгалтер 1С</t>
        </is>
      </c>
      <c r="O1229" s="8" t="inlineStr"/>
      <c r="P1229" s="12" t="inlineStr">
        <is>
          <t>Суммы 1С (75,024.15) и ETM (57,024.15) отличаются перестановкой — похоже на ручную опечатку при вводе акта в 1С (гипотеза, подтвердить у бухгалтера)</t>
        </is>
      </c>
      <c r="Q1229" s="8" t="inlineStr">
        <is>
          <t>57091560,57091595,57091550</t>
        </is>
      </c>
    </row>
    <row r="1230">
      <c r="A1230" s="8" t="inlineStr">
        <is>
          <t>G08535</t>
        </is>
      </c>
      <c r="B1230" s="8" t="inlineStr">
        <is>
          <t>ИП Токтосун кызы Н.</t>
        </is>
      </c>
      <c r="C1230" s="8" t="inlineStr">
        <is>
          <t>2420847658</t>
        </is>
      </c>
      <c r="D1230" s="8" t="inlineStr">
        <is>
          <t>ETM, акт 1С за месяц не выгружен</t>
        </is>
      </c>
      <c r="E1230" s="8" t="inlineStr">
        <is>
          <t>Выгрузка 1С</t>
        </is>
      </c>
      <c r="F1230" s="8" t="inlineStr">
        <is>
          <t>B</t>
        </is>
      </c>
      <c r="G1230" s="14" t="n">
        <v>0</v>
      </c>
      <c r="H1230" s="14" t="n">
        <v>-17891.86</v>
      </c>
      <c r="I1230" s="14" t="n">
        <v>17891.8649</v>
      </c>
      <c r="J1230" s="14" t="n">
        <v>-17891.86</v>
      </c>
      <c r="K1230" s="21" t="n">
        <v>46066.39203703704</v>
      </c>
      <c r="L1230" s="21" t="n"/>
      <c r="M1230" s="8" t="inlineStr"/>
      <c r="N1230" s="8" t="inlineStr">
        <is>
          <t>Бухгалтер: выгрузить акт</t>
        </is>
      </c>
      <c r="O1230" s="8" t="inlineStr">
        <is>
          <t>b.isakov</t>
        </is>
      </c>
      <c r="P1230" s="12" t="inlineStr">
        <is>
          <t>Операция есть в ETM, а акт 1С за этот (или следующий) месяц не выгружен — сначала получить акт</t>
        </is>
      </c>
      <c r="Q1230" s="8" t="inlineStr">
        <is>
          <t>57089153</t>
        </is>
      </c>
    </row>
    <row r="1231">
      <c r="A1231" s="8" t="inlineStr">
        <is>
          <t>G08645</t>
        </is>
      </c>
      <c r="B1231" s="8" t="inlineStr">
        <is>
          <t>ИП Токтосун кызы Н.</t>
        </is>
      </c>
      <c r="C1231" s="8" t="inlineStr">
        <is>
          <t>2476316519</t>
        </is>
      </c>
      <c r="D1231" s="8" t="inlineStr">
        <is>
          <t>ETM, акт 1С за месяц не выгружен</t>
        </is>
      </c>
      <c r="E1231" s="8" t="inlineStr">
        <is>
          <t>Выгрузка 1С</t>
        </is>
      </c>
      <c r="F1231" s="8" t="inlineStr">
        <is>
          <t>B</t>
        </is>
      </c>
      <c r="G1231" s="14" t="n">
        <v>0</v>
      </c>
      <c r="H1231" s="14" t="n">
        <v>-17890.02</v>
      </c>
      <c r="I1231" s="14" t="n">
        <v>17890.02</v>
      </c>
      <c r="J1231" s="14" t="n">
        <v>-17890.02</v>
      </c>
      <c r="K1231" s="21" t="n">
        <v>46078.67925925926</v>
      </c>
      <c r="L1231" s="21" t="n"/>
      <c r="M1231" s="8" t="inlineStr"/>
      <c r="N1231" s="8" t="inlineStr">
        <is>
          <t>Бухгалтер: выгрузить акт</t>
        </is>
      </c>
      <c r="O1231" s="8" t="inlineStr">
        <is>
          <t>e.satarov</t>
        </is>
      </c>
      <c r="P1231" s="12" t="inlineStr">
        <is>
          <t>Операция есть в ETM, а акт 1С за этот (или следующий) месяц не выгружен — сначала получить акт</t>
        </is>
      </c>
      <c r="Q1231" s="8" t="inlineStr">
        <is>
          <t>57108596</t>
        </is>
      </c>
    </row>
    <row r="1232">
      <c r="A1232" s="8" t="inlineStr">
        <is>
          <t>G07198</t>
        </is>
      </c>
      <c r="B1232" s="8" t="inlineStr">
        <is>
          <t>Жибек Эйр</t>
        </is>
      </c>
      <c r="C1232" s="8" t="inlineStr">
        <is>
          <t>2420847489</t>
        </is>
      </c>
      <c r="D1232" s="8" t="inlineStr">
        <is>
          <t>ETM, акт 1С за месяц не выгружен</t>
        </is>
      </c>
      <c r="E1232" s="8" t="inlineStr">
        <is>
          <t>Выгрузка 1С</t>
        </is>
      </c>
      <c r="F1232" s="8" t="inlineStr">
        <is>
          <t>B</t>
        </is>
      </c>
      <c r="G1232" s="14" t="n">
        <v>0</v>
      </c>
      <c r="H1232" s="14" t="n">
        <v>-17707.25</v>
      </c>
      <c r="I1232" s="14" t="n">
        <v>17707.252</v>
      </c>
      <c r="J1232" s="14" t="n">
        <v>-17707.25</v>
      </c>
      <c r="K1232" s="21" t="n">
        <v>46133.71630787037</v>
      </c>
      <c r="L1232" s="21" t="n"/>
      <c r="M1232" s="8" t="inlineStr"/>
      <c r="N1232" s="8" t="inlineStr">
        <is>
          <t>Бухгалтер: выгрузить акт</t>
        </is>
      </c>
      <c r="O1232" s="8" t="inlineStr">
        <is>
          <t>k.dzhumaev</t>
        </is>
      </c>
      <c r="P1232" s="12" t="inlineStr">
        <is>
          <t>Операция есть в ETM, а акт 1С за этот (или следующий) месяц не выгружен — сначала получить акт</t>
        </is>
      </c>
      <c r="Q1232" s="8" t="inlineStr">
        <is>
          <t>57220623</t>
        </is>
      </c>
    </row>
    <row r="1233">
      <c r="A1233" s="8" t="inlineStr">
        <is>
          <t>G07457</t>
        </is>
      </c>
      <c r="B1233" s="8" t="inlineStr">
        <is>
          <t>Жолчу кызы А.</t>
        </is>
      </c>
      <c r="C1233" s="8" t="inlineStr">
        <is>
          <t>2416943004</t>
        </is>
      </c>
      <c r="D1233" s="8" t="inlineStr">
        <is>
          <t>ETM, акт 1С за месяц не выгружен</t>
        </is>
      </c>
      <c r="E1233" s="8" t="inlineStr">
        <is>
          <t>Выгрузка 1С</t>
        </is>
      </c>
      <c r="F1233" s="8" t="inlineStr">
        <is>
          <t>B</t>
        </is>
      </c>
      <c r="G1233" s="14" t="n">
        <v>0</v>
      </c>
      <c r="H1233" s="14" t="n">
        <v>-17674.27</v>
      </c>
      <c r="I1233" s="14" t="n"/>
      <c r="J1233" s="14" t="n">
        <v>-17674.27</v>
      </c>
      <c r="K1233" s="21" t="n">
        <v>46188.49701388889</v>
      </c>
      <c r="L1233" s="21" t="n"/>
      <c r="M1233" s="8" t="inlineStr"/>
      <c r="N1233" s="8" t="inlineStr">
        <is>
          <t>Бухгалтер: выгрузить акт</t>
        </is>
      </c>
      <c r="O1233" s="8" t="inlineStr"/>
      <c r="P1233" s="12" t="inlineStr">
        <is>
          <t>Операция есть в ETM, а акт 1С за этот (или следующий) месяц не выгружен — сначала получить акт</t>
        </is>
      </c>
      <c r="Q1233" s="8" t="inlineStr">
        <is>
          <t>57369544</t>
        </is>
      </c>
    </row>
    <row r="1234">
      <c r="A1234" s="8" t="inlineStr">
        <is>
          <t>G08140</t>
        </is>
      </c>
      <c r="B1234" s="8" t="inlineStr">
        <is>
          <t>ИП Жумабекова Б. Н.</t>
        </is>
      </c>
      <c r="C1234" s="8" t="inlineStr">
        <is>
          <t>2420843780</t>
        </is>
      </c>
      <c r="D1234" s="8" t="inlineStr">
        <is>
          <t>ETM, акт 1С за месяц не выгружен</t>
        </is>
      </c>
      <c r="E1234" s="8" t="inlineStr">
        <is>
          <t>Выгрузка 1С</t>
        </is>
      </c>
      <c r="F1234" s="8" t="inlineStr">
        <is>
          <t>B</t>
        </is>
      </c>
      <c r="G1234" s="14" t="n">
        <v>0</v>
      </c>
      <c r="H1234" s="14" t="n">
        <v>-17610.5</v>
      </c>
      <c r="I1234" s="14" t="n"/>
      <c r="J1234" s="14" t="n">
        <v>-17610.5</v>
      </c>
      <c r="K1234" s="21" t="n">
        <v>46143.57837962963</v>
      </c>
      <c r="L1234" s="21" t="n"/>
      <c r="M1234" s="8" t="inlineStr"/>
      <c r="N1234" s="8" t="inlineStr">
        <is>
          <t>Бухгалтер: выгрузить акт</t>
        </is>
      </c>
      <c r="O1234" s="8" t="inlineStr"/>
      <c r="P1234" s="12" t="inlineStr">
        <is>
          <t>Операция есть в ETM, а акт 1С за этот (или следующий) месяц не выгружен — сначала получить акт</t>
        </is>
      </c>
      <c r="Q1234" s="8" t="inlineStr">
        <is>
          <t>57241330</t>
        </is>
      </c>
    </row>
    <row r="1235">
      <c r="A1235" s="8" t="inlineStr">
        <is>
          <t>G07199</t>
        </is>
      </c>
      <c r="B1235" s="8" t="inlineStr">
        <is>
          <t>Жибек Эйр</t>
        </is>
      </c>
      <c r="C1235" s="8" t="inlineStr">
        <is>
          <t>2420847683</t>
        </is>
      </c>
      <c r="D1235" s="8" t="inlineStr">
        <is>
          <t>ETM, акт 1С за месяц не выгружен</t>
        </is>
      </c>
      <c r="E1235" s="8" t="inlineStr">
        <is>
          <t>Выгрузка 1С</t>
        </is>
      </c>
      <c r="F1235" s="8" t="inlineStr">
        <is>
          <t>B</t>
        </is>
      </c>
      <c r="G1235" s="14" t="n">
        <v>0</v>
      </c>
      <c r="H1235" s="14" t="n">
        <v>-17535.51</v>
      </c>
      <c r="I1235" s="14" t="n">
        <v>17535.5084</v>
      </c>
      <c r="J1235" s="14" t="n">
        <v>-17535.51</v>
      </c>
      <c r="K1235" s="21" t="n">
        <v>46140.37341435185</v>
      </c>
      <c r="L1235" s="21" t="n"/>
      <c r="M1235" s="8" t="inlineStr"/>
      <c r="N1235" s="8" t="inlineStr">
        <is>
          <t>Бухгалтер: выгрузить акт</t>
        </is>
      </c>
      <c r="O1235" s="8" t="inlineStr">
        <is>
          <t>b.isakov</t>
        </is>
      </c>
      <c r="P1235" s="12" t="inlineStr">
        <is>
          <t>Операция есть в ETM, а акт 1С за этот (или следующий) месяц не выгружен — сначала получить акт</t>
        </is>
      </c>
      <c r="Q1235" s="8" t="inlineStr">
        <is>
          <t>57235435</t>
        </is>
      </c>
    </row>
    <row r="1236">
      <c r="A1236" s="8" t="inlineStr">
        <is>
          <t>G10644</t>
        </is>
      </c>
      <c r="B1236" s="8" t="inlineStr">
        <is>
          <t>Манас Туризм</t>
        </is>
      </c>
      <c r="C1236" s="8" t="inlineStr">
        <is>
          <t>2420848803</t>
        </is>
      </c>
      <c r="D1236" s="8" t="inlineStr">
        <is>
          <t>ETM, акт 1С за месяц не выгружен</t>
        </is>
      </c>
      <c r="E1236" s="8" t="inlineStr">
        <is>
          <t>Выгрузка 1С</t>
        </is>
      </c>
      <c r="F1236" s="8" t="inlineStr">
        <is>
          <t>B</t>
        </is>
      </c>
      <c r="G1236" s="14" t="n">
        <v>0</v>
      </c>
      <c r="H1236" s="14" t="n">
        <v>-17420.42</v>
      </c>
      <c r="I1236" s="14" t="n">
        <v>17420.4196</v>
      </c>
      <c r="J1236" s="14" t="n">
        <v>-17420.42</v>
      </c>
      <c r="K1236" s="21" t="n">
        <v>46177.45278935185</v>
      </c>
      <c r="L1236" s="21" t="n"/>
      <c r="M1236" s="8" t="inlineStr"/>
      <c r="N1236" s="8" t="inlineStr">
        <is>
          <t>Бухгалтер: выгрузить акт</t>
        </is>
      </c>
      <c r="O1236" s="8" t="inlineStr">
        <is>
          <t>e.satarov</t>
        </is>
      </c>
      <c r="P1236" s="12" t="inlineStr">
        <is>
          <t>Операция есть в ETM, а акт 1С за этот (или следующий) месяц не выгружен — сначала получить акт</t>
        </is>
      </c>
      <c r="Q1236" s="8" t="inlineStr">
        <is>
          <t>57341772</t>
        </is>
      </c>
    </row>
    <row r="1237">
      <c r="A1237" s="8" t="inlineStr">
        <is>
          <t>G14255</t>
        </is>
      </c>
      <c r="B1237" s="8" t="inlineStr">
        <is>
          <t>ЧОЛПОН ТУР</t>
        </is>
      </c>
      <c r="C1237" s="8" t="inlineStr">
        <is>
          <t>2420843057</t>
        </is>
      </c>
      <c r="D1237" s="8" t="inlineStr">
        <is>
          <t>ETM, акт 1С за месяц не выгружен</t>
        </is>
      </c>
      <c r="E1237" s="8" t="inlineStr">
        <is>
          <t>Выгрузка 1С</t>
        </is>
      </c>
      <c r="F1237" s="8" t="inlineStr">
        <is>
          <t>B</t>
        </is>
      </c>
      <c r="G1237" s="14" t="n">
        <v>0</v>
      </c>
      <c r="H1237" s="14" t="n">
        <v>-17025.69</v>
      </c>
      <c r="I1237" s="14" t="n">
        <v>17025.6928</v>
      </c>
      <c r="J1237" s="14" t="n">
        <v>-17025.69</v>
      </c>
      <c r="K1237" s="21" t="n">
        <v>46087.56019675926</v>
      </c>
      <c r="L1237" s="21" t="n"/>
      <c r="M1237" s="8" t="inlineStr"/>
      <c r="N1237" s="8" t="inlineStr">
        <is>
          <t>Бухгалтер: выгрузить акт</t>
        </is>
      </c>
      <c r="O1237" s="8" t="inlineStr">
        <is>
          <t>a.toktosunova</t>
        </is>
      </c>
      <c r="P1237" s="12" t="inlineStr">
        <is>
          <t>Операция есть в ETM, а акт 1С за этот (или следующий) месяц не выгружен — сначала получить акт</t>
        </is>
      </c>
      <c r="Q1237" s="8" t="inlineStr">
        <is>
          <t>57127125</t>
        </is>
      </c>
    </row>
    <row r="1238">
      <c r="A1238" s="8" t="inlineStr">
        <is>
          <t>G09946</t>
        </is>
      </c>
      <c r="B1238" s="8" t="inlineStr">
        <is>
          <t>МУРАС ТРИП</t>
        </is>
      </c>
      <c r="C1238" s="8" t="inlineStr">
        <is>
          <t>2460733190</t>
        </is>
      </c>
      <c r="D1238" s="8" t="inlineStr">
        <is>
          <t>ETM, акт 1С за месяц не выгружен</t>
        </is>
      </c>
      <c r="E1238" s="8" t="inlineStr">
        <is>
          <t>Выгрузка 1С</t>
        </is>
      </c>
      <c r="F1238" s="8" t="inlineStr">
        <is>
          <t>B</t>
        </is>
      </c>
      <c r="G1238" s="14" t="n">
        <v>0</v>
      </c>
      <c r="H1238" s="14" t="n">
        <v>-16742</v>
      </c>
      <c r="I1238" s="14" t="n">
        <v>16742</v>
      </c>
      <c r="J1238" s="14" t="n">
        <v>-16742</v>
      </c>
      <c r="K1238" s="21" t="n">
        <v>46195.68082175926</v>
      </c>
      <c r="L1238" s="21" t="n"/>
      <c r="M1238" s="8" t="inlineStr"/>
      <c r="N1238" s="8" t="inlineStr">
        <is>
          <t>Бухгалтер: выгрузить акт</t>
        </is>
      </c>
      <c r="O1238" s="8" t="inlineStr">
        <is>
          <t>n.abdyldaeva</t>
        </is>
      </c>
      <c r="P1238" s="12" t="inlineStr">
        <is>
          <t>Операция есть в ETM, а акт 1С за этот (или следующий) месяц не выгружен — сначала получить акт</t>
        </is>
      </c>
      <c r="Q1238" s="8" t="inlineStr">
        <is>
          <t>57388467</t>
        </is>
      </c>
    </row>
    <row r="1239">
      <c r="A1239" s="8" t="inlineStr">
        <is>
          <t>G12993</t>
        </is>
      </c>
      <c r="B1239" s="8" t="inlineStr">
        <is>
          <t>Сатар уулу Санжар</t>
        </is>
      </c>
      <c r="C1239" s="8" t="inlineStr">
        <is>
          <t>2459526885</t>
        </is>
      </c>
      <c r="D1239" s="8" t="inlineStr">
        <is>
          <t>ETM, акт 1С за месяц не выгружен</t>
        </is>
      </c>
      <c r="E1239" s="8" t="inlineStr">
        <is>
          <t>Выгрузка 1С</t>
        </is>
      </c>
      <c r="F1239" s="8" t="inlineStr">
        <is>
          <t>B</t>
        </is>
      </c>
      <c r="G1239" s="14" t="n">
        <v>0</v>
      </c>
      <c r="H1239" s="14" t="n">
        <v>-16663</v>
      </c>
      <c r="I1239" s="14" t="n">
        <v>16663</v>
      </c>
      <c r="J1239" s="14" t="n">
        <v>-16663</v>
      </c>
      <c r="K1239" s="21" t="n">
        <v>46134.6412037037</v>
      </c>
      <c r="L1239" s="21" t="n"/>
      <c r="M1239" s="8" t="inlineStr"/>
      <c r="N1239" s="8" t="inlineStr">
        <is>
          <t>Бухгалтер: выгрузить акт</t>
        </is>
      </c>
      <c r="O1239" s="8" t="inlineStr">
        <is>
          <t>r.sydykov</t>
        </is>
      </c>
      <c r="P1239" s="12" t="inlineStr">
        <is>
          <t>Операция есть в ETM, а акт 1С за этот (или следующий) месяц не выгружен — сначала получить акт</t>
        </is>
      </c>
      <c r="Q1239" s="8" t="inlineStr">
        <is>
          <t>57221421</t>
        </is>
      </c>
    </row>
    <row r="1240">
      <c r="A1240" s="8" t="inlineStr">
        <is>
          <t>G07288</t>
        </is>
      </c>
      <c r="B1240" s="8" t="inlineStr">
        <is>
          <t>Жибек Эйр</t>
        </is>
      </c>
      <c r="C1240" s="8" t="inlineStr">
        <is>
          <t>2461880905</t>
        </is>
      </c>
      <c r="D1240" s="8" t="inlineStr">
        <is>
          <t>ETM, акт 1С за месяц не выгружен</t>
        </is>
      </c>
      <c r="E1240" s="8" t="inlineStr">
        <is>
          <t>Выгрузка 1С</t>
        </is>
      </c>
      <c r="F1240" s="8" t="inlineStr">
        <is>
          <t>B</t>
        </is>
      </c>
      <c r="G1240" s="14" t="n">
        <v>0</v>
      </c>
      <c r="H1240" s="14" t="n">
        <v>-16623</v>
      </c>
      <c r="I1240" s="14" t="n"/>
      <c r="J1240" s="14" t="n">
        <v>-16623</v>
      </c>
      <c r="K1240" s="21" t="n">
        <v>46162.68825231482</v>
      </c>
      <c r="L1240" s="21" t="n"/>
      <c r="M1240" s="8" t="inlineStr"/>
      <c r="N1240" s="8" t="inlineStr">
        <is>
          <t>Бухгалтер: выгрузить акт</t>
        </is>
      </c>
      <c r="O1240" s="8" t="inlineStr"/>
      <c r="P1240" s="12" t="inlineStr">
        <is>
          <t>Операция есть в ETM, а акт 1С за этот (или следующий) месяц не выгружен — сначала получить акт</t>
        </is>
      </c>
      <c r="Q1240" s="8" t="inlineStr">
        <is>
          <t>57300668</t>
        </is>
      </c>
    </row>
    <row r="1241">
      <c r="A1241" s="8" t="inlineStr">
        <is>
          <t>G08188</t>
        </is>
      </c>
      <c r="B1241" s="8" t="inlineStr">
        <is>
          <t>ИП Жумабекова Б. Н.</t>
        </is>
      </c>
      <c r="C1241" s="8" t="inlineStr">
        <is>
          <t>2461881286</t>
        </is>
      </c>
      <c r="D1241" s="8" t="inlineStr">
        <is>
          <t>ETM, акт 1С за месяц не выгружен</t>
        </is>
      </c>
      <c r="E1241" s="8" t="inlineStr">
        <is>
          <t>Выгрузка 1С</t>
        </is>
      </c>
      <c r="F1241" s="8" t="inlineStr">
        <is>
          <t>B</t>
        </is>
      </c>
      <c r="G1241" s="14" t="n">
        <v>0</v>
      </c>
      <c r="H1241" s="14" t="n">
        <v>-16623</v>
      </c>
      <c r="I1241" s="14" t="n">
        <v>16623</v>
      </c>
      <c r="J1241" s="14" t="n">
        <v>-16623</v>
      </c>
      <c r="K1241" s="21" t="n">
        <v>46161.38664351852</v>
      </c>
      <c r="L1241" s="21" t="n"/>
      <c r="M1241" s="8" t="inlineStr"/>
      <c r="N1241" s="8" t="inlineStr">
        <is>
          <t>Бухгалтер: выгрузить акт</t>
        </is>
      </c>
      <c r="O1241" s="8" t="inlineStr">
        <is>
          <t>r.sydykov</t>
        </is>
      </c>
      <c r="P1241" s="12" t="inlineStr">
        <is>
          <t>Операция есть в ETM, а акт 1С за этот (или следующий) месяц не выгружен — сначала получить акт</t>
        </is>
      </c>
      <c r="Q1241" s="8" t="inlineStr">
        <is>
          <t>57297473</t>
        </is>
      </c>
    </row>
    <row r="1242">
      <c r="A1242" s="8" t="inlineStr">
        <is>
          <t>G13147</t>
        </is>
      </c>
      <c r="B1242" s="8" t="inlineStr">
        <is>
          <t>Сатар уулу Санжар</t>
        </is>
      </c>
      <c r="C1242" s="8" t="inlineStr">
        <is>
          <t>2461883035</t>
        </is>
      </c>
      <c r="D1242" s="8" t="inlineStr">
        <is>
          <t>ETM, акт 1С за месяц не выгружен</t>
        </is>
      </c>
      <c r="E1242" s="8" t="inlineStr">
        <is>
          <t>Выгрузка 1С</t>
        </is>
      </c>
      <c r="F1242" s="8" t="inlineStr">
        <is>
          <t>B</t>
        </is>
      </c>
      <c r="G1242" s="14" t="n">
        <v>0</v>
      </c>
      <c r="H1242" s="14" t="n">
        <v>-16561.65</v>
      </c>
      <c r="I1242" s="14" t="n">
        <v>15773</v>
      </c>
      <c r="J1242" s="14" t="n">
        <v>-16561.65</v>
      </c>
      <c r="K1242" s="21" t="n">
        <v>46132.35060185185</v>
      </c>
      <c r="L1242" s="21" t="n"/>
      <c r="M1242" s="8" t="inlineStr"/>
      <c r="N1242" s="8" t="inlineStr">
        <is>
          <t>Бухгалтер: выгрузить акт</t>
        </is>
      </c>
      <c r="O1242" s="8" t="inlineStr">
        <is>
          <t>b.isakov</t>
        </is>
      </c>
      <c r="P1242" s="12" t="inlineStr">
        <is>
          <t>Операция есть в ETM, а акт 1С за этот (или следующий) месяц не выгружен — сначала получить акт</t>
        </is>
      </c>
      <c r="Q1242" s="8" t="inlineStr">
        <is>
          <t>57217730</t>
        </is>
      </c>
    </row>
    <row r="1243">
      <c r="A1243" s="8" t="inlineStr">
        <is>
          <t>G13073</t>
        </is>
      </c>
      <c r="B1243" s="8" t="inlineStr">
        <is>
          <t>Сатар уулу Санжар</t>
        </is>
      </c>
      <c r="C1243" s="8" t="inlineStr">
        <is>
          <t>2460733369</t>
        </is>
      </c>
      <c r="D1243" s="8" t="inlineStr">
        <is>
          <t>ETM, акт 1С за месяц не выгружен</t>
        </is>
      </c>
      <c r="E1243" s="8" t="inlineStr">
        <is>
          <t>Выгрузка 1С</t>
        </is>
      </c>
      <c r="F1243" s="8" t="inlineStr">
        <is>
          <t>B</t>
        </is>
      </c>
      <c r="G1243" s="14" t="n">
        <v>0</v>
      </c>
      <c r="H1243" s="14" t="n">
        <v>-16428</v>
      </c>
      <c r="I1243" s="14" t="n"/>
      <c r="J1243" s="14" t="n">
        <v>-16428</v>
      </c>
      <c r="K1243" s="21" t="n">
        <v>46188.76784722223</v>
      </c>
      <c r="L1243" s="21" t="n"/>
      <c r="M1243" s="8" t="inlineStr"/>
      <c r="N1243" s="8" t="inlineStr">
        <is>
          <t>Бухгалтер: выгрузить акт</t>
        </is>
      </c>
      <c r="O1243" s="8" t="inlineStr"/>
      <c r="P1243" s="12" t="inlineStr">
        <is>
          <t>Операция есть в ETM, а акт 1С за этот (или следующий) месяц не выгружен — сначала получить акт</t>
        </is>
      </c>
      <c r="Q1243" s="8" t="inlineStr">
        <is>
          <t>57368716</t>
        </is>
      </c>
    </row>
    <row r="1244">
      <c r="A1244" s="8" t="inlineStr">
        <is>
          <t>G10658</t>
        </is>
      </c>
      <c r="B1244" s="8" t="inlineStr">
        <is>
          <t>Манас Туризм</t>
        </is>
      </c>
      <c r="C1244" s="8" t="inlineStr">
        <is>
          <t>2459532255</t>
        </is>
      </c>
      <c r="D1244" s="8" t="inlineStr">
        <is>
          <t>ETM, акт 1С за месяц не выгружен</t>
        </is>
      </c>
      <c r="E1244" s="8" t="inlineStr">
        <is>
          <t>Выгрузка 1С</t>
        </is>
      </c>
      <c r="F1244" s="8" t="inlineStr">
        <is>
          <t>B</t>
        </is>
      </c>
      <c r="G1244" s="14" t="n">
        <v>0</v>
      </c>
      <c r="H1244" s="14" t="n">
        <v>-16380</v>
      </c>
      <c r="I1244" s="14" t="n">
        <v>16380</v>
      </c>
      <c r="J1244" s="14" t="n">
        <v>-16380</v>
      </c>
      <c r="K1244" s="21" t="n">
        <v>46203.69633101852</v>
      </c>
      <c r="L1244" s="21" t="n"/>
      <c r="M1244" s="8" t="inlineStr"/>
      <c r="N1244" s="8" t="inlineStr">
        <is>
          <t>Бухгалтер: выгрузить акт</t>
        </is>
      </c>
      <c r="O1244" s="8" t="inlineStr">
        <is>
          <t>d.mambetova</t>
        </is>
      </c>
      <c r="P1244" s="12" t="inlineStr">
        <is>
          <t>Операция есть в ETM, а акт 1С за этот (или следующий) месяц не выгружен — сначала получить акт</t>
        </is>
      </c>
      <c r="Q1244" s="8" t="inlineStr">
        <is>
          <t>57416325</t>
        </is>
      </c>
    </row>
    <row r="1245">
      <c r="A1245" s="8" t="inlineStr">
        <is>
          <t>G14281</t>
        </is>
      </c>
      <c r="B1245" s="8" t="inlineStr">
        <is>
          <t>ЧОЛПОН ТУР</t>
        </is>
      </c>
      <c r="C1245" s="8" t="inlineStr">
        <is>
          <t>2459531436</t>
        </is>
      </c>
      <c r="D1245" s="8" t="inlineStr">
        <is>
          <t>ETM, акт 1С за месяц не выгружен</t>
        </is>
      </c>
      <c r="E1245" s="8" t="inlineStr">
        <is>
          <t>Выгрузка 1С</t>
        </is>
      </c>
      <c r="F1245" s="8" t="inlineStr">
        <is>
          <t>B</t>
        </is>
      </c>
      <c r="G1245" s="14" t="n">
        <v>0</v>
      </c>
      <c r="H1245" s="14" t="n">
        <v>-16327</v>
      </c>
      <c r="I1245" s="14" t="n"/>
      <c r="J1245" s="14" t="n">
        <v>-16327</v>
      </c>
      <c r="K1245" s="21" t="n">
        <v>46134.37171296297</v>
      </c>
      <c r="L1245" s="21" t="n"/>
      <c r="M1245" s="8" t="inlineStr"/>
      <c r="N1245" s="8" t="inlineStr">
        <is>
          <t>Бухгалтер: выгрузить акт</t>
        </is>
      </c>
      <c r="O1245" s="8" t="inlineStr"/>
      <c r="P1245" s="12" t="inlineStr">
        <is>
          <t>Операция есть в ETM, а акт 1С за этот (или следующий) месяц не выгружен — сначала получить акт</t>
        </is>
      </c>
      <c r="Q1245" s="8" t="inlineStr">
        <is>
          <t>57222738</t>
        </is>
      </c>
    </row>
    <row r="1246">
      <c r="A1246" s="8" t="inlineStr">
        <is>
          <t>G14282</t>
        </is>
      </c>
      <c r="B1246" s="8" t="inlineStr">
        <is>
          <t>ЧОЛПОН ТУР</t>
        </is>
      </c>
      <c r="C1246" s="8" t="inlineStr">
        <is>
          <t>2459531437</t>
        </is>
      </c>
      <c r="D1246" s="8" t="inlineStr">
        <is>
          <t>ETM, акт 1С за месяц не выгружен</t>
        </is>
      </c>
      <c r="E1246" s="8" t="inlineStr">
        <is>
          <t>Выгрузка 1С</t>
        </is>
      </c>
      <c r="F1246" s="8" t="inlineStr">
        <is>
          <t>B</t>
        </is>
      </c>
      <c r="G1246" s="14" t="n">
        <v>0</v>
      </c>
      <c r="H1246" s="14" t="n">
        <v>-16327</v>
      </c>
      <c r="I1246" s="14" t="n"/>
      <c r="J1246" s="14" t="n">
        <v>-16327</v>
      </c>
      <c r="K1246" s="21" t="n">
        <v>46134.68201388889</v>
      </c>
      <c r="L1246" s="21" t="n"/>
      <c r="M1246" s="8" t="inlineStr"/>
      <c r="N1246" s="8" t="inlineStr">
        <is>
          <t>Бухгалтер: выгрузить акт</t>
        </is>
      </c>
      <c r="O1246" s="8" t="inlineStr"/>
      <c r="P1246" s="12" t="inlineStr">
        <is>
          <t>Операция есть в ETM, а акт 1С за этот (или следующий) месяц не выгружен — сначала получить акт</t>
        </is>
      </c>
      <c r="Q1246" s="8" t="inlineStr">
        <is>
          <t>57222739</t>
        </is>
      </c>
    </row>
    <row r="1247">
      <c r="A1247" s="8" t="inlineStr">
        <is>
          <t>G07101</t>
        </is>
      </c>
      <c r="B1247" s="8" t="inlineStr">
        <is>
          <t>Жибек Вояж</t>
        </is>
      </c>
      <c r="C1247" s="8" t="inlineStr">
        <is>
          <t>2461883404</t>
        </is>
      </c>
      <c r="D1247" s="8" t="inlineStr">
        <is>
          <t>ETM, акт 1С за месяц не выгружен</t>
        </is>
      </c>
      <c r="E1247" s="8" t="inlineStr">
        <is>
          <t>Выгрузка 1С</t>
        </is>
      </c>
      <c r="F1247" s="8" t="inlineStr">
        <is>
          <t>B</t>
        </is>
      </c>
      <c r="G1247" s="14" t="n">
        <v>0</v>
      </c>
      <c r="H1247" s="14" t="n">
        <v>-16282</v>
      </c>
      <c r="I1247" s="14" t="n"/>
      <c r="J1247" s="14" t="n">
        <v>-16282</v>
      </c>
      <c r="K1247" s="21" t="n">
        <v>46136.57375</v>
      </c>
      <c r="L1247" s="21" t="n"/>
      <c r="M1247" s="8" t="inlineStr"/>
      <c r="N1247" s="8" t="inlineStr">
        <is>
          <t>Бухгалтер: выгрузить акт</t>
        </is>
      </c>
      <c r="O1247" s="8" t="inlineStr"/>
      <c r="P1247" s="12" t="inlineStr">
        <is>
          <t>Операция есть в ETM, а акт 1С за этот (или следующий) месяц не выгружен — сначала получить акт</t>
        </is>
      </c>
      <c r="Q1247" s="8" t="inlineStr">
        <is>
          <t>57226566</t>
        </is>
      </c>
    </row>
    <row r="1248">
      <c r="A1248" s="8" t="inlineStr">
        <is>
          <t>G07102</t>
        </is>
      </c>
      <c r="B1248" s="8" t="inlineStr">
        <is>
          <t>Жибек Вояж</t>
        </is>
      </c>
      <c r="C1248" s="8" t="inlineStr">
        <is>
          <t>2461883405</t>
        </is>
      </c>
      <c r="D1248" s="8" t="inlineStr">
        <is>
          <t>ETM, акт 1С за месяц не выгружен</t>
        </is>
      </c>
      <c r="E1248" s="8" t="inlineStr">
        <is>
          <t>Выгрузка 1С</t>
        </is>
      </c>
      <c r="F1248" s="8" t="inlineStr">
        <is>
          <t>B</t>
        </is>
      </c>
      <c r="G1248" s="14" t="n">
        <v>0</v>
      </c>
      <c r="H1248" s="14" t="n">
        <v>-16282</v>
      </c>
      <c r="I1248" s="14" t="n"/>
      <c r="J1248" s="14" t="n">
        <v>-16282</v>
      </c>
      <c r="K1248" s="21" t="n">
        <v>46136.48975694444</v>
      </c>
      <c r="L1248" s="21" t="n"/>
      <c r="M1248" s="8" t="inlineStr"/>
      <c r="N1248" s="8" t="inlineStr">
        <is>
          <t>Бухгалтер: выгрузить акт</t>
        </is>
      </c>
      <c r="O1248" s="8" t="inlineStr"/>
      <c r="P1248" s="12" t="inlineStr">
        <is>
          <t>Операция есть в ETM, а акт 1С за этот (или следующий) месяц не выгружен — сначала получить акт</t>
        </is>
      </c>
      <c r="Q1248" s="8" t="inlineStr">
        <is>
          <t>57226583</t>
        </is>
      </c>
    </row>
    <row r="1249">
      <c r="A1249" s="8" t="inlineStr">
        <is>
          <t>G13177</t>
        </is>
      </c>
      <c r="B1249" s="8" t="inlineStr">
        <is>
          <t>Сатар уулу Санжар</t>
        </is>
      </c>
      <c r="C1249" s="8" t="inlineStr">
        <is>
          <t>2461885850</t>
        </is>
      </c>
      <c r="D1249" s="8" t="inlineStr">
        <is>
          <t>ETM, акт 1С за месяц не выгружен</t>
        </is>
      </c>
      <c r="E1249" s="8" t="inlineStr">
        <is>
          <t>Выгрузка 1С</t>
        </is>
      </c>
      <c r="F1249" s="8" t="inlineStr">
        <is>
          <t>B</t>
        </is>
      </c>
      <c r="G1249" s="14" t="n">
        <v>0</v>
      </c>
      <c r="H1249" s="14" t="n">
        <v>-16096</v>
      </c>
      <c r="I1249" s="14" t="n"/>
      <c r="J1249" s="14" t="n">
        <v>-16096</v>
      </c>
      <c r="K1249" s="21" t="n">
        <v>46137.69592592592</v>
      </c>
      <c r="L1249" s="21" t="n"/>
      <c r="M1249" s="8" t="inlineStr"/>
      <c r="N1249" s="8" t="inlineStr">
        <is>
          <t>Бухгалтер: выгрузить акт</t>
        </is>
      </c>
      <c r="O1249" s="8" t="inlineStr"/>
      <c r="P1249" s="12" t="inlineStr">
        <is>
          <t>Операция есть в ETM, а акт 1С за этот (или следующий) месяц не выгружен — сначала получить акт</t>
        </is>
      </c>
      <c r="Q1249" s="8" t="inlineStr">
        <is>
          <t>57229271</t>
        </is>
      </c>
    </row>
    <row r="1250">
      <c r="A1250" s="8" t="inlineStr">
        <is>
          <t>G13094</t>
        </is>
      </c>
      <c r="B1250" s="8" t="inlineStr">
        <is>
          <t>Сатар уулу Санжар</t>
        </is>
      </c>
      <c r="C1250" s="8" t="inlineStr">
        <is>
          <t>2460736205</t>
        </is>
      </c>
      <c r="D1250" s="8" t="inlineStr">
        <is>
          <t>ETM, акт 1С за месяц не выгружен</t>
        </is>
      </c>
      <c r="E1250" s="8" t="inlineStr">
        <is>
          <t>Выгрузка 1С</t>
        </is>
      </c>
      <c r="F1250" s="8" t="inlineStr">
        <is>
          <t>B</t>
        </is>
      </c>
      <c r="G1250" s="14" t="n">
        <v>0</v>
      </c>
      <c r="H1250" s="14" t="n">
        <v>-16094</v>
      </c>
      <c r="I1250" s="14" t="n"/>
      <c r="J1250" s="14" t="n">
        <v>-16094</v>
      </c>
      <c r="K1250" s="21" t="n">
        <v>46180.63537037037</v>
      </c>
      <c r="L1250" s="21" t="n"/>
      <c r="M1250" s="8" t="inlineStr"/>
      <c r="N1250" s="8" t="inlineStr">
        <is>
          <t>Бухгалтер: выгрузить акт</t>
        </is>
      </c>
      <c r="O1250" s="8" t="inlineStr"/>
      <c r="P1250" s="12" t="inlineStr">
        <is>
          <t>Операция есть в ETM, а акт 1С за этот (или следующий) месяц не выгружен — сначала получить акт</t>
        </is>
      </c>
      <c r="Q1250" s="8" t="inlineStr">
        <is>
          <t>57349477</t>
        </is>
      </c>
    </row>
    <row r="1251">
      <c r="A1251" s="8" t="inlineStr">
        <is>
          <t>G13256</t>
        </is>
      </c>
      <c r="B1251" s="8" t="inlineStr">
        <is>
          <t>Сатар уулу Санжар</t>
        </is>
      </c>
      <c r="C1251" s="8" t="inlineStr">
        <is>
          <t>2476319618</t>
        </is>
      </c>
      <c r="D1251" s="8" t="inlineStr">
        <is>
          <t>ETM, акт 1С за месяц не выгружен</t>
        </is>
      </c>
      <c r="E1251" s="8" t="inlineStr">
        <is>
          <t>Выгрузка 1С</t>
        </is>
      </c>
      <c r="F1251" s="8" t="inlineStr">
        <is>
          <t>B</t>
        </is>
      </c>
      <c r="G1251" s="14" t="n">
        <v>0</v>
      </c>
      <c r="H1251" s="14" t="n">
        <v>-16082.31</v>
      </c>
      <c r="I1251" s="14" t="n">
        <v>16082.31</v>
      </c>
      <c r="J1251" s="14" t="n">
        <v>-16082.31</v>
      </c>
      <c r="K1251" s="21" t="n">
        <v>46179.47981481482</v>
      </c>
      <c r="L1251" s="21" t="n"/>
      <c r="M1251" s="8" t="inlineStr"/>
      <c r="N1251" s="8" t="inlineStr">
        <is>
          <t>Бухгалтер: выгрузить акт</t>
        </is>
      </c>
      <c r="O1251" s="8" t="inlineStr">
        <is>
          <t>e.satarov</t>
        </is>
      </c>
      <c r="P1251" s="12" t="inlineStr">
        <is>
          <t>Операция есть в ETM, а акт 1С за этот (или следующий) месяц не выгружен — сначала получить акт</t>
        </is>
      </c>
      <c r="Q1251" s="8" t="inlineStr">
        <is>
          <t>57347716</t>
        </is>
      </c>
    </row>
    <row r="1252">
      <c r="A1252" s="8" t="inlineStr">
        <is>
          <t>G12926</t>
        </is>
      </c>
      <c r="B1252" s="8" t="inlineStr">
        <is>
          <t>Сатар уулу Санжар</t>
        </is>
      </c>
      <c r="C1252" s="8" t="inlineStr">
        <is>
          <t>2420843261</t>
        </is>
      </c>
      <c r="D1252" s="8" t="inlineStr">
        <is>
          <t>ETM, акт 1С за месяц не выгружен</t>
        </is>
      </c>
      <c r="E1252" s="8" t="inlineStr">
        <is>
          <t>Выгрузка 1С</t>
        </is>
      </c>
      <c r="F1252" s="8" t="inlineStr">
        <is>
          <t>B</t>
        </is>
      </c>
      <c r="G1252" s="14" t="n">
        <v>0</v>
      </c>
      <c r="H1252" s="14" t="n">
        <v>-15948.39</v>
      </c>
      <c r="I1252" s="14" t="n">
        <v>15948.3904</v>
      </c>
      <c r="J1252" s="14" t="n">
        <v>-15948.39</v>
      </c>
      <c r="K1252" s="21" t="n">
        <v>46186.6200462963</v>
      </c>
      <c r="L1252" s="21" t="n"/>
      <c r="M1252" s="8" t="inlineStr"/>
      <c r="N1252" s="8" t="inlineStr">
        <is>
          <t>Бухгалтер: выгрузить акт</t>
        </is>
      </c>
      <c r="O1252" s="8" t="inlineStr">
        <is>
          <t>d.mambetova</t>
        </is>
      </c>
      <c r="P1252" s="12" t="inlineStr">
        <is>
          <t>Операция есть в ETM, а акт 1С за этот (или следующий) месяц не выгружен — сначала получить акт</t>
        </is>
      </c>
      <c r="Q1252" s="8" t="inlineStr">
        <is>
          <t>57363759</t>
        </is>
      </c>
    </row>
    <row r="1253">
      <c r="A1253" s="8" t="inlineStr">
        <is>
          <t>G08435</t>
        </is>
      </c>
      <c r="B1253" s="8" t="inlineStr">
        <is>
          <t>ИП Муратов Э. У.</t>
        </is>
      </c>
      <c r="C1253" s="8" t="inlineStr">
        <is>
          <t>2476316746</t>
        </is>
      </c>
      <c r="D1253" s="8" t="inlineStr">
        <is>
          <t>ETM, акт 1С за месяц не выгружен</t>
        </is>
      </c>
      <c r="E1253" s="8" t="inlineStr">
        <is>
          <t>Выгрузка 1С</t>
        </is>
      </c>
      <c r="F1253" s="8" t="inlineStr">
        <is>
          <t>B</t>
        </is>
      </c>
      <c r="G1253" s="14" t="n">
        <v>0</v>
      </c>
      <c r="H1253" s="14" t="n">
        <v>-15933.44</v>
      </c>
      <c r="I1253" s="14" t="n">
        <v>15933.44</v>
      </c>
      <c r="J1253" s="14" t="n">
        <v>-15933.44</v>
      </c>
      <c r="K1253" s="21" t="n">
        <v>46107.71380787037</v>
      </c>
      <c r="L1253" s="21" t="n"/>
      <c r="M1253" s="8" t="inlineStr"/>
      <c r="N1253" s="8" t="inlineStr">
        <is>
          <t>Бухгалтер: выгрузить акт</t>
        </is>
      </c>
      <c r="O1253" s="8" t="inlineStr">
        <is>
          <t>n.abdyldaeva</t>
        </is>
      </c>
      <c r="P1253" s="12" t="inlineStr">
        <is>
          <t>Операция есть в ETM, а акт 1С за этот (или следующий) месяц не выгружен — сначала получить акт</t>
        </is>
      </c>
      <c r="Q1253" s="8" t="inlineStr">
        <is>
          <t>57172797</t>
        </is>
      </c>
    </row>
    <row r="1254">
      <c r="A1254" s="8" t="inlineStr">
        <is>
          <t>G13104</t>
        </is>
      </c>
      <c r="B1254" s="8" t="inlineStr">
        <is>
          <t>Сатар уулу Санжар</t>
        </is>
      </c>
      <c r="C1254" s="8" t="inlineStr">
        <is>
          <t>2460736957</t>
        </is>
      </c>
      <c r="D1254" s="8" t="inlineStr">
        <is>
          <t>ETM, акт 1С за месяц не выгружен</t>
        </is>
      </c>
      <c r="E1254" s="8" t="inlineStr">
        <is>
          <t>Выгрузка 1С</t>
        </is>
      </c>
      <c r="F1254" s="8" t="inlineStr">
        <is>
          <t>B</t>
        </is>
      </c>
      <c r="G1254" s="14" t="n">
        <v>0</v>
      </c>
      <c r="H1254" s="14" t="n">
        <v>-15879</v>
      </c>
      <c r="I1254" s="14" t="n"/>
      <c r="J1254" s="14" t="n">
        <v>-15879</v>
      </c>
      <c r="K1254" s="21" t="n">
        <v>46192.42475694444</v>
      </c>
      <c r="L1254" s="21" t="n"/>
      <c r="M1254" s="8" t="inlineStr"/>
      <c r="N1254" s="8" t="inlineStr">
        <is>
          <t>Бухгалтер: выгрузить акт</t>
        </is>
      </c>
      <c r="O1254" s="8" t="inlineStr"/>
      <c r="P1254" s="12" t="inlineStr">
        <is>
          <t>Операция есть в ETM, а акт 1С за этот (или следующий) месяц не выгружен — сначала получить акт</t>
        </is>
      </c>
      <c r="Q1254" s="8" t="inlineStr">
        <is>
          <t>57381624</t>
        </is>
      </c>
    </row>
    <row r="1255">
      <c r="A1255" s="8" t="inlineStr">
        <is>
          <t>G07218</t>
        </is>
      </c>
      <c r="B1255" s="8" t="inlineStr">
        <is>
          <t>Жибек Эйр</t>
        </is>
      </c>
      <c r="C1255" s="8" t="inlineStr">
        <is>
          <t>2459528074</t>
        </is>
      </c>
      <c r="D1255" s="8" t="inlineStr">
        <is>
          <t>ETM, акт 1С за месяц не выгружен</t>
        </is>
      </c>
      <c r="E1255" s="8" t="inlineStr">
        <is>
          <t>Выгрузка 1С</t>
        </is>
      </c>
      <c r="F1255" s="8" t="inlineStr">
        <is>
          <t>B</t>
        </is>
      </c>
      <c r="G1255" s="14" t="n">
        <v>0</v>
      </c>
      <c r="H1255" s="14" t="n">
        <v>-15688</v>
      </c>
      <c r="I1255" s="14" t="n"/>
      <c r="J1255" s="14" t="n">
        <v>-15688</v>
      </c>
      <c r="K1255" s="21" t="n">
        <v>46147.45414351852</v>
      </c>
      <c r="L1255" s="21" t="n"/>
      <c r="M1255" s="8" t="inlineStr"/>
      <c r="N1255" s="8" t="inlineStr">
        <is>
          <t>Бухгалтер: выгрузить акт</t>
        </is>
      </c>
      <c r="O1255" s="8" t="inlineStr"/>
      <c r="P1255" s="12" t="inlineStr">
        <is>
          <t>Операция есть в ETM, а акт 1С за этот (или следующий) месяц не выгружен — сначала получить акт</t>
        </is>
      </c>
      <c r="Q1255" s="8" t="inlineStr">
        <is>
          <t>57254202</t>
        </is>
      </c>
    </row>
    <row r="1256">
      <c r="A1256" s="8" t="inlineStr">
        <is>
          <t>G07219</t>
        </is>
      </c>
      <c r="B1256" s="8" t="inlineStr">
        <is>
          <t>Жибек Эйр</t>
        </is>
      </c>
      <c r="C1256" s="8" t="inlineStr">
        <is>
          <t>2459528076</t>
        </is>
      </c>
      <c r="D1256" s="8" t="inlineStr">
        <is>
          <t>ETM, акт 1С за месяц не выгружен</t>
        </is>
      </c>
      <c r="E1256" s="8" t="inlineStr">
        <is>
          <t>Выгрузка 1С</t>
        </is>
      </c>
      <c r="F1256" s="8" t="inlineStr">
        <is>
          <t>B</t>
        </is>
      </c>
      <c r="G1256" s="14" t="n">
        <v>0</v>
      </c>
      <c r="H1256" s="14" t="n">
        <v>-15688</v>
      </c>
      <c r="I1256" s="14" t="n"/>
      <c r="J1256" s="14" t="n">
        <v>-15688</v>
      </c>
      <c r="K1256" s="21" t="n">
        <v>46147.39748842592</v>
      </c>
      <c r="L1256" s="21" t="n"/>
      <c r="M1256" s="8" t="inlineStr"/>
      <c r="N1256" s="8" t="inlineStr">
        <is>
          <t>Бухгалтер: выгрузить акт</t>
        </is>
      </c>
      <c r="O1256" s="8" t="inlineStr"/>
      <c r="P1256" s="12" t="inlineStr">
        <is>
          <t>Операция есть в ETM, а акт 1С за этот (или следующий) месяц не выгружен — сначала получить акт</t>
        </is>
      </c>
      <c r="Q1256" s="8" t="inlineStr">
        <is>
          <t>57254234</t>
        </is>
      </c>
    </row>
    <row r="1257">
      <c r="A1257" s="8" t="inlineStr">
        <is>
          <t>G07220</t>
        </is>
      </c>
      <c r="B1257" s="8" t="inlineStr">
        <is>
          <t>Жибек Эйр</t>
        </is>
      </c>
      <c r="C1257" s="8" t="inlineStr">
        <is>
          <t>2459528079</t>
        </is>
      </c>
      <c r="D1257" s="8" t="inlineStr">
        <is>
          <t>ETM, акт 1С за месяц не выгружен</t>
        </is>
      </c>
      <c r="E1257" s="8" t="inlineStr">
        <is>
          <t>Выгрузка 1С</t>
        </is>
      </c>
      <c r="F1257" s="8" t="inlineStr">
        <is>
          <t>B</t>
        </is>
      </c>
      <c r="G1257" s="14" t="n">
        <v>0</v>
      </c>
      <c r="H1257" s="14" t="n">
        <v>-15688</v>
      </c>
      <c r="I1257" s="14" t="n"/>
      <c r="J1257" s="14" t="n">
        <v>-15688</v>
      </c>
      <c r="K1257" s="21" t="n">
        <v>46147.6803125</v>
      </c>
      <c r="L1257" s="21" t="n"/>
      <c r="M1257" s="8" t="inlineStr"/>
      <c r="N1257" s="8" t="inlineStr">
        <is>
          <t>Бухгалтер: выгрузить акт</t>
        </is>
      </c>
      <c r="O1257" s="8" t="inlineStr"/>
      <c r="P1257" s="12" t="inlineStr">
        <is>
          <t>Операция есть в ETM, а акт 1С за этот (или следующий) месяц не выгружен — сначала получить акт</t>
        </is>
      </c>
      <c r="Q1257" s="8" t="inlineStr">
        <is>
          <t>57254259</t>
        </is>
      </c>
    </row>
    <row r="1258">
      <c r="A1258" s="8" t="inlineStr">
        <is>
          <t>G13091</t>
        </is>
      </c>
      <c r="B1258" s="8" t="inlineStr">
        <is>
          <t>Сатар уулу Санжар</t>
        </is>
      </c>
      <c r="C1258" s="8" t="inlineStr">
        <is>
          <t>2460735930</t>
        </is>
      </c>
      <c r="D1258" s="8" t="inlineStr">
        <is>
          <t>ETM, акт 1С за месяц не выгружен</t>
        </is>
      </c>
      <c r="E1258" s="8" t="inlineStr">
        <is>
          <t>Выгрузка 1С</t>
        </is>
      </c>
      <c r="F1258" s="8" t="inlineStr">
        <is>
          <t>B</t>
        </is>
      </c>
      <c r="G1258" s="14" t="n">
        <v>0</v>
      </c>
      <c r="H1258" s="14" t="n">
        <v>-15624</v>
      </c>
      <c r="I1258" s="14" t="n">
        <v>15624</v>
      </c>
      <c r="J1258" s="14" t="n">
        <v>-15624</v>
      </c>
      <c r="K1258" s="21" t="n">
        <v>46184.47003472222</v>
      </c>
      <c r="L1258" s="21" t="n"/>
      <c r="M1258" s="8" t="inlineStr"/>
      <c r="N1258" s="8" t="inlineStr">
        <is>
          <t>Бухгалтер: выгрузить акт</t>
        </is>
      </c>
      <c r="O1258" s="8" t="inlineStr">
        <is>
          <t>g.omurbekova</t>
        </is>
      </c>
      <c r="P1258" s="12" t="inlineStr">
        <is>
          <t>Операция есть в ETM, а акт 1С за этот (или следующий) месяц не выгружен — сначала получить акт</t>
        </is>
      </c>
      <c r="Q1258" s="8" t="inlineStr">
        <is>
          <t>57359344</t>
        </is>
      </c>
    </row>
    <row r="1259">
      <c r="A1259" s="8" t="inlineStr">
        <is>
          <t>G09069</t>
        </is>
      </c>
      <c r="B1259" s="8" t="inlineStr">
        <is>
          <t>ИССЫК ТРИП</t>
        </is>
      </c>
      <c r="C1259" s="8" t="inlineStr">
        <is>
          <t>2460734383</t>
        </is>
      </c>
      <c r="D1259" s="8" t="inlineStr">
        <is>
          <t>ETM, акт 1С за месяц не выгружен</t>
        </is>
      </c>
      <c r="E1259" s="8" t="inlineStr">
        <is>
          <t>Выгрузка 1С</t>
        </is>
      </c>
      <c r="F1259" s="8" t="inlineStr">
        <is>
          <t>B</t>
        </is>
      </c>
      <c r="G1259" s="14" t="n">
        <v>0</v>
      </c>
      <c r="H1259" s="14" t="n">
        <v>-15603</v>
      </c>
      <c r="I1259" s="14" t="n"/>
      <c r="J1259" s="14" t="n">
        <v>-15603</v>
      </c>
      <c r="K1259" s="21" t="n">
        <v>46071.52901620371</v>
      </c>
      <c r="L1259" s="21" t="n"/>
      <c r="M1259" s="8" t="inlineStr"/>
      <c r="N1259" s="8" t="inlineStr">
        <is>
          <t>Бухгалтер: выгрузить акт</t>
        </is>
      </c>
      <c r="O1259" s="8" t="inlineStr"/>
      <c r="P1259" s="12" t="inlineStr">
        <is>
          <t>Операция есть в ETM, а акт 1С за этот (или следующий) месяц не выгружен — сначала получить акт</t>
        </is>
      </c>
      <c r="Q1259" s="8" t="inlineStr">
        <is>
          <t>57096062</t>
        </is>
      </c>
    </row>
    <row r="1260">
      <c r="A1260" s="8" t="inlineStr">
        <is>
          <t>G07350</t>
        </is>
      </c>
      <c r="B1260" s="8" t="inlineStr">
        <is>
          <t>Жибек Эйр</t>
        </is>
      </c>
      <c r="C1260" s="8" t="inlineStr">
        <is>
          <t>2476316173</t>
        </is>
      </c>
      <c r="D1260" s="8" t="inlineStr">
        <is>
          <t>ETM, акт 1С за месяц не выгружен</t>
        </is>
      </c>
      <c r="E1260" s="8" t="inlineStr">
        <is>
          <t>Выгрузка 1С</t>
        </is>
      </c>
      <c r="F1260" s="8" t="inlineStr">
        <is>
          <t>B</t>
        </is>
      </c>
      <c r="G1260" s="14" t="n">
        <v>0</v>
      </c>
      <c r="H1260" s="14" t="n">
        <v>-15546</v>
      </c>
      <c r="I1260" s="14" t="n">
        <v>15546</v>
      </c>
      <c r="J1260" s="14" t="n">
        <v>-15546</v>
      </c>
      <c r="K1260" s="21" t="n">
        <v>46148.4703125</v>
      </c>
      <c r="L1260" s="21" t="n"/>
      <c r="M1260" s="8" t="inlineStr"/>
      <c r="N1260" s="8" t="inlineStr">
        <is>
          <t>Бухгалтер: выгрузить акт</t>
        </is>
      </c>
      <c r="O1260" s="8" t="inlineStr">
        <is>
          <t>a.toktosunova</t>
        </is>
      </c>
      <c r="P1260" s="12" t="inlineStr">
        <is>
          <t>Операция есть в ETM, а акт 1С за этот (или следующий) месяц не выгружен — сначала получить акт</t>
        </is>
      </c>
      <c r="Q1260" s="8" t="inlineStr">
        <is>
          <t>57258057</t>
        </is>
      </c>
    </row>
    <row r="1261">
      <c r="A1261" s="8" t="inlineStr">
        <is>
          <t>G09200</t>
        </is>
      </c>
      <c r="B1261" s="8" t="inlineStr">
        <is>
          <t>ИССЫК ТРИП</t>
        </is>
      </c>
      <c r="C1261" s="8" t="inlineStr">
        <is>
          <t>2476315412</t>
        </is>
      </c>
      <c r="D1261" s="8" t="inlineStr">
        <is>
          <t>ETM, акт 1С за месяц не выгружен</t>
        </is>
      </c>
      <c r="E1261" s="8" t="inlineStr">
        <is>
          <t>Выгрузка 1С</t>
        </is>
      </c>
      <c r="F1261" s="8" t="inlineStr">
        <is>
          <t>B</t>
        </is>
      </c>
      <c r="G1261" s="14" t="n">
        <v>0</v>
      </c>
      <c r="H1261" s="14" t="n">
        <v>-15422.91</v>
      </c>
      <c r="I1261" s="14" t="n">
        <v>15422.91</v>
      </c>
      <c r="J1261" s="14" t="n">
        <v>-15422.91</v>
      </c>
      <c r="K1261" s="21" t="n">
        <v>46067.4671875</v>
      </c>
      <c r="L1261" s="21" t="n"/>
      <c r="M1261" s="8" t="inlineStr"/>
      <c r="N1261" s="8" t="inlineStr">
        <is>
          <t>Бухгалтер: выгрузить акт</t>
        </is>
      </c>
      <c r="O1261" s="8" t="inlineStr">
        <is>
          <t>e.satarov</t>
        </is>
      </c>
      <c r="P1261" s="12" t="inlineStr">
        <is>
          <t>Операция есть в ETM, а акт 1С за этот (или следующий) месяц не выгружен — сначала получить акт</t>
        </is>
      </c>
      <c r="Q1261" s="8" t="inlineStr">
        <is>
          <t>57090394</t>
        </is>
      </c>
    </row>
    <row r="1262">
      <c r="A1262" s="8" t="inlineStr">
        <is>
          <t>G07360</t>
        </is>
      </c>
      <c r="B1262" s="8" t="inlineStr">
        <is>
          <t>Жибек Эйр</t>
        </is>
      </c>
      <c r="C1262" s="8" t="inlineStr">
        <is>
          <t>2476318034</t>
        </is>
      </c>
      <c r="D1262" s="8" t="inlineStr">
        <is>
          <t>ETM, акт 1С за месяц не выгружен</t>
        </is>
      </c>
      <c r="E1262" s="8" t="inlineStr">
        <is>
          <t>Выгрузка 1С</t>
        </is>
      </c>
      <c r="F1262" s="8" t="inlineStr">
        <is>
          <t>B</t>
        </is>
      </c>
      <c r="G1262" s="14" t="n">
        <v>0</v>
      </c>
      <c r="H1262" s="14" t="n">
        <v>-15200.5</v>
      </c>
      <c r="I1262" s="14" t="n">
        <v>15200.5</v>
      </c>
      <c r="J1262" s="14" t="n">
        <v>-15200.5</v>
      </c>
      <c r="K1262" s="21" t="n">
        <v>46163.43252314815</v>
      </c>
      <c r="L1262" s="21" t="n"/>
      <c r="M1262" s="8" t="inlineStr"/>
      <c r="N1262" s="8" t="inlineStr">
        <is>
          <t>Бухгалтер: выгрузить акт</t>
        </is>
      </c>
      <c r="O1262" s="8" t="inlineStr">
        <is>
          <t>g.omurbekova</t>
        </is>
      </c>
      <c r="P1262" s="12" t="inlineStr">
        <is>
          <t>Операция есть в ETM, а акт 1С за этот (или следующий) месяц не выгружен — сначала получить акт</t>
        </is>
      </c>
      <c r="Q1262" s="8" t="inlineStr">
        <is>
          <t>57305368</t>
        </is>
      </c>
    </row>
    <row r="1263">
      <c r="A1263" s="8" t="inlineStr">
        <is>
          <t>G07369</t>
        </is>
      </c>
      <c r="B1263" s="8" t="inlineStr">
        <is>
          <t>Жибек Эйр</t>
        </is>
      </c>
      <c r="C1263" s="8" t="inlineStr">
        <is>
          <t>2476319014</t>
        </is>
      </c>
      <c r="D1263" s="8" t="inlineStr">
        <is>
          <t>ETM, акт 1С за месяц не выгружен</t>
        </is>
      </c>
      <c r="E1263" s="8" t="inlineStr">
        <is>
          <t>Выгрузка 1С</t>
        </is>
      </c>
      <c r="F1263" s="8" t="inlineStr">
        <is>
          <t>B</t>
        </is>
      </c>
      <c r="G1263" s="14" t="n">
        <v>0</v>
      </c>
      <c r="H1263" s="14" t="n">
        <v>-15102.9</v>
      </c>
      <c r="I1263" s="14" t="n"/>
      <c r="J1263" s="14" t="n">
        <v>-15102.9</v>
      </c>
      <c r="K1263" s="21" t="n">
        <v>46113.57943287037</v>
      </c>
      <c r="L1263" s="21" t="n"/>
      <c r="M1263" s="8" t="inlineStr"/>
      <c r="N1263" s="8" t="inlineStr">
        <is>
          <t>Бухгалтер: выгрузить акт</t>
        </is>
      </c>
      <c r="O1263" s="8" t="inlineStr"/>
      <c r="P1263" s="12" t="inlineStr">
        <is>
          <t>Операция есть в ETM, а акт 1С за этот (или следующий) месяц не выгружен — сначала получить акт</t>
        </is>
      </c>
      <c r="Q1263" s="8" t="inlineStr">
        <is>
          <t>57185237</t>
        </is>
      </c>
    </row>
    <row r="1264">
      <c r="A1264" s="8" t="inlineStr">
        <is>
          <t>G07370</t>
        </is>
      </c>
      <c r="B1264" s="8" t="inlineStr">
        <is>
          <t>Жибек Эйр</t>
        </is>
      </c>
      <c r="C1264" s="8" t="inlineStr">
        <is>
          <t>2476319017</t>
        </is>
      </c>
      <c r="D1264" s="8" t="inlineStr">
        <is>
          <t>ETM, акт 1С за месяц не выгружен</t>
        </is>
      </c>
      <c r="E1264" s="8" t="inlineStr">
        <is>
          <t>Выгрузка 1С</t>
        </is>
      </c>
      <c r="F1264" s="8" t="inlineStr">
        <is>
          <t>B</t>
        </is>
      </c>
      <c r="G1264" s="14" t="n">
        <v>0</v>
      </c>
      <c r="H1264" s="14" t="n">
        <v>-15102.9</v>
      </c>
      <c r="I1264" s="14" t="n"/>
      <c r="J1264" s="14" t="n">
        <v>-15102.9</v>
      </c>
      <c r="K1264" s="21" t="n">
        <v>46113.83028935185</v>
      </c>
      <c r="L1264" s="21" t="n"/>
      <c r="M1264" s="8" t="inlineStr"/>
      <c r="N1264" s="8" t="inlineStr">
        <is>
          <t>Бухгалтер: выгрузить акт</t>
        </is>
      </c>
      <c r="O1264" s="8" t="inlineStr"/>
      <c r="P1264" s="12" t="inlineStr">
        <is>
          <t>Операция есть в ETM, а акт 1С за этот (или следующий) месяц не выгружен — сначала получить акт</t>
        </is>
      </c>
      <c r="Q1264" s="8" t="inlineStr">
        <is>
          <t>57185246</t>
        </is>
      </c>
    </row>
    <row r="1265">
      <c r="A1265" s="8" t="inlineStr">
        <is>
          <t>G13186</t>
        </is>
      </c>
      <c r="B1265" s="8" t="inlineStr">
        <is>
          <t>Сатар уулу Санжар</t>
        </is>
      </c>
      <c r="C1265" s="8" t="inlineStr">
        <is>
          <t>2476313957</t>
        </is>
      </c>
      <c r="D1265" s="8" t="inlineStr">
        <is>
          <t>ETM, акт 1С за месяц не выгружен</t>
        </is>
      </c>
      <c r="E1265" s="8" t="inlineStr">
        <is>
          <t>Выгрузка 1С</t>
        </is>
      </c>
      <c r="F1265" s="8" t="inlineStr">
        <is>
          <t>B</t>
        </is>
      </c>
      <c r="G1265" s="14" t="n">
        <v>0</v>
      </c>
      <c r="H1265" s="14" t="n">
        <v>-15098.04</v>
      </c>
      <c r="I1265" s="14" t="n">
        <v>15098.04</v>
      </c>
      <c r="J1265" s="14" t="n">
        <v>-15098.04</v>
      </c>
      <c r="K1265" s="21" t="n">
        <v>46189.44430555555</v>
      </c>
      <c r="L1265" s="21" t="n"/>
      <c r="M1265" s="8" t="inlineStr"/>
      <c r="N1265" s="8" t="inlineStr">
        <is>
          <t>Бухгалтер: выгрузить акт</t>
        </is>
      </c>
      <c r="O1265" s="8" t="inlineStr">
        <is>
          <t>a.toktosunova</t>
        </is>
      </c>
      <c r="P1265" s="12" t="inlineStr">
        <is>
          <t>Операция есть в ETM, а акт 1С за этот (или следующий) месяц не выгружен — сначала получить акт</t>
        </is>
      </c>
      <c r="Q1265" s="8" t="inlineStr">
        <is>
          <t>57368432</t>
        </is>
      </c>
    </row>
    <row r="1266">
      <c r="A1266" s="8" t="inlineStr">
        <is>
          <t>G08436</t>
        </is>
      </c>
      <c r="B1266" s="8" t="inlineStr">
        <is>
          <t>ИП Муратов Э. У.</t>
        </is>
      </c>
      <c r="C1266" s="8" t="inlineStr">
        <is>
          <t>2476316974</t>
        </is>
      </c>
      <c r="D1266" s="8" t="inlineStr">
        <is>
          <t>ETM, акт 1С за месяц не выгружен</t>
        </is>
      </c>
      <c r="E1266" s="8" t="inlineStr">
        <is>
          <t>Выгрузка 1С</t>
        </is>
      </c>
      <c r="F1266" s="8" t="inlineStr">
        <is>
          <t>B</t>
        </is>
      </c>
      <c r="G1266" s="14" t="n">
        <v>0</v>
      </c>
      <c r="H1266" s="14" t="n">
        <v>-14571.66</v>
      </c>
      <c r="I1266" s="14" t="n">
        <v>14571.66</v>
      </c>
      <c r="J1266" s="14" t="n">
        <v>-14571.66</v>
      </c>
      <c r="K1266" s="21" t="n">
        <v>46086.68472222222</v>
      </c>
      <c r="L1266" s="21" t="n"/>
      <c r="M1266" s="8" t="inlineStr"/>
      <c r="N1266" s="8" t="inlineStr">
        <is>
          <t>Бухгалтер: выгрузить акт</t>
        </is>
      </c>
      <c r="O1266" s="8" t="inlineStr">
        <is>
          <t>r.sydykov</t>
        </is>
      </c>
      <c r="P1266" s="12" t="inlineStr">
        <is>
          <t>Операция есть в ETM, а акт 1С за этот (или следующий) месяц не выгружен — сначала получить акт</t>
        </is>
      </c>
      <c r="Q1266" s="8" t="inlineStr">
        <is>
          <t>57125549</t>
        </is>
      </c>
    </row>
    <row r="1267">
      <c r="A1267" s="8" t="inlineStr">
        <is>
          <t>G00012</t>
        </is>
      </c>
      <c r="B1267" s="8" t="inlineStr">
        <is>
          <t>Ak-Bulak Voyage</t>
        </is>
      </c>
      <c r="C1267" s="8" t="inlineStr">
        <is>
          <t>2459527345</t>
        </is>
      </c>
      <c r="D1267" s="8" t="inlineStr">
        <is>
          <t>ETM, акт 1С за месяц не выгружен</t>
        </is>
      </c>
      <c r="E1267" s="8" t="inlineStr">
        <is>
          <t>Выгрузка 1С</t>
        </is>
      </c>
      <c r="F1267" s="8" t="inlineStr">
        <is>
          <t>B</t>
        </is>
      </c>
      <c r="G1267" s="14" t="n">
        <v>0</v>
      </c>
      <c r="H1267" s="14" t="n">
        <v>-14369</v>
      </c>
      <c r="I1267" s="14" t="n"/>
      <c r="J1267" s="14" t="n">
        <v>-14369</v>
      </c>
      <c r="K1267" s="21" t="n">
        <v>46065.58001157407</v>
      </c>
      <c r="L1267" s="21" t="n"/>
      <c r="M1267" s="8" t="inlineStr"/>
      <c r="N1267" s="8" t="inlineStr">
        <is>
          <t>Бухгалтер: выгрузить акт</t>
        </is>
      </c>
      <c r="O1267" s="8" t="inlineStr"/>
      <c r="P1267" s="12" t="inlineStr">
        <is>
          <t>Операция есть в ETM, а акт 1С за этот (или следующий) месяц не выгружен — сначала получить акт</t>
        </is>
      </c>
      <c r="Q1267" s="8" t="inlineStr">
        <is>
          <t>57086660</t>
        </is>
      </c>
    </row>
    <row r="1268">
      <c r="A1268" s="8" t="inlineStr">
        <is>
          <t>G07238</t>
        </is>
      </c>
      <c r="B1268" s="8" t="inlineStr">
        <is>
          <t>Жибек Эйр</t>
        </is>
      </c>
      <c r="C1268" s="8" t="inlineStr">
        <is>
          <t>2459530665</t>
        </is>
      </c>
      <c r="D1268" s="8" t="inlineStr">
        <is>
          <t>ETM, акт 1С за месяц не выгружен</t>
        </is>
      </c>
      <c r="E1268" s="8" t="inlineStr">
        <is>
          <t>Выгрузка 1С</t>
        </is>
      </c>
      <c r="F1268" s="8" t="inlineStr">
        <is>
          <t>B</t>
        </is>
      </c>
      <c r="G1268" s="14" t="n">
        <v>0</v>
      </c>
      <c r="H1268" s="14" t="n">
        <v>-14155</v>
      </c>
      <c r="I1268" s="14" t="n">
        <v>14155</v>
      </c>
      <c r="J1268" s="14" t="n">
        <v>-14155</v>
      </c>
      <c r="K1268" s="21" t="n">
        <v>46144.82569444444</v>
      </c>
      <c r="L1268" s="21" t="n"/>
      <c r="M1268" s="8" t="inlineStr"/>
      <c r="N1268" s="8" t="inlineStr">
        <is>
          <t>Бухгалтер: выгрузить акт</t>
        </is>
      </c>
      <c r="O1268" s="8" t="inlineStr">
        <is>
          <t>b.isakov</t>
        </is>
      </c>
      <c r="P1268" s="12" t="inlineStr">
        <is>
          <t>Операция есть в ETM, а акт 1С за этот (или следующий) месяц не выгружен — сначала получить акт</t>
        </is>
      </c>
      <c r="Q1268" s="8" t="inlineStr">
        <is>
          <t>57246111</t>
        </is>
      </c>
    </row>
    <row r="1269">
      <c r="A1269" s="8" t="inlineStr">
        <is>
          <t>G13998</t>
        </is>
      </c>
      <c r="B1269" s="8" t="inlineStr">
        <is>
          <t>Тянь-Шань Тур</t>
        </is>
      </c>
      <c r="C1269" s="8" t="inlineStr">
        <is>
          <t>2459529480</t>
        </is>
      </c>
      <c r="D1269" s="8" t="inlineStr">
        <is>
          <t>ETM, акт 1С за месяц не выгружен</t>
        </is>
      </c>
      <c r="E1269" s="8" t="inlineStr">
        <is>
          <t>Выгрузка 1С</t>
        </is>
      </c>
      <c r="F1269" s="8" t="inlineStr">
        <is>
          <t>B</t>
        </is>
      </c>
      <c r="G1269" s="14" t="n">
        <v>0</v>
      </c>
      <c r="H1269" s="14" t="n">
        <v>-14145</v>
      </c>
      <c r="I1269" s="14" t="n"/>
      <c r="J1269" s="14" t="n">
        <v>-14145</v>
      </c>
      <c r="K1269" s="21" t="n">
        <v>46129.80162037037</v>
      </c>
      <c r="L1269" s="21" t="n"/>
      <c r="M1269" s="8" t="inlineStr"/>
      <c r="N1269" s="8" t="inlineStr">
        <is>
          <t>Бухгалтер: выгрузить акт</t>
        </is>
      </c>
      <c r="O1269" s="8" t="inlineStr"/>
      <c r="P1269" s="12" t="inlineStr">
        <is>
          <t>Операция есть в ETM, а акт 1С за этот (или следующий) месяц не выгружен — сначала получить акт</t>
        </is>
      </c>
      <c r="Q1269" s="8" t="inlineStr">
        <is>
          <t>57212661</t>
        </is>
      </c>
    </row>
    <row r="1270">
      <c r="A1270" s="8" t="inlineStr">
        <is>
          <t>G00029</t>
        </is>
      </c>
      <c r="B1270" s="8" t="inlineStr">
        <is>
          <t>Ak-Bulak Voyage</t>
        </is>
      </c>
      <c r="C1270" s="8" t="inlineStr">
        <is>
          <t>2461882116</t>
        </is>
      </c>
      <c r="D1270" s="8" t="inlineStr">
        <is>
          <t>ETM, акт 1С за месяц не выгружен</t>
        </is>
      </c>
      <c r="E1270" s="8" t="inlineStr">
        <is>
          <t>Выгрузка 1С</t>
        </is>
      </c>
      <c r="F1270" s="8" t="inlineStr">
        <is>
          <t>B</t>
        </is>
      </c>
      <c r="G1270" s="14" t="n">
        <v>0</v>
      </c>
      <c r="H1270" s="14" t="n">
        <v>-14132.8</v>
      </c>
      <c r="I1270" s="14" t="n">
        <v>14132.8</v>
      </c>
      <c r="J1270" s="14" t="n">
        <v>-14132.8</v>
      </c>
      <c r="K1270" s="21" t="n">
        <v>46063.35032407408</v>
      </c>
      <c r="L1270" s="21" t="n"/>
      <c r="M1270" s="8" t="inlineStr"/>
      <c r="N1270" s="8" t="inlineStr">
        <is>
          <t>Бухгалтер: выгрузить акт</t>
        </is>
      </c>
      <c r="O1270" s="8" t="inlineStr">
        <is>
          <t>d.mambetova</t>
        </is>
      </c>
      <c r="P1270" s="12" t="inlineStr">
        <is>
          <t>Операция есть в ETM, а акт 1С за этот (или следующий) месяц не выгружен — сначала получить акт</t>
        </is>
      </c>
      <c r="Q1270" s="8" t="inlineStr">
        <is>
          <t>57082734</t>
        </is>
      </c>
    </row>
    <row r="1271">
      <c r="A1271" s="8" t="inlineStr">
        <is>
          <t>G14528</t>
        </is>
      </c>
      <c r="B1271" s="8" t="inlineStr">
        <is>
          <t>Чынар уулу Эмир</t>
        </is>
      </c>
      <c r="C1271" s="8" t="inlineStr">
        <is>
          <t>2459527136</t>
        </is>
      </c>
      <c r="D1271" s="8" t="inlineStr">
        <is>
          <t>ETM, акт 1С за месяц не выгружен</t>
        </is>
      </c>
      <c r="E1271" s="8" t="inlineStr">
        <is>
          <t>Выгрузка 1С</t>
        </is>
      </c>
      <c r="F1271" s="8" t="inlineStr">
        <is>
          <t>B</t>
        </is>
      </c>
      <c r="G1271" s="14" t="n">
        <v>0</v>
      </c>
      <c r="H1271" s="14" t="n">
        <v>-13822</v>
      </c>
      <c r="I1271" s="14" t="n">
        <v>13822</v>
      </c>
      <c r="J1271" s="14" t="n">
        <v>-13822</v>
      </c>
      <c r="K1271" s="21" t="n">
        <v>46084.3416087963</v>
      </c>
      <c r="L1271" s="21" t="n"/>
      <c r="M1271" s="8" t="inlineStr"/>
      <c r="N1271" s="8" t="inlineStr">
        <is>
          <t>Бухгалтер: выгрузить акт</t>
        </is>
      </c>
      <c r="O1271" s="8" t="inlineStr">
        <is>
          <t>r.sydykov</t>
        </is>
      </c>
      <c r="P1271" s="12" t="inlineStr">
        <is>
          <t>Операция есть в ETM, а акт 1С за этот (или следующий) месяц не выгружен — сначала получить акт</t>
        </is>
      </c>
      <c r="Q1271" s="8" t="inlineStr">
        <is>
          <t>57119760</t>
        </is>
      </c>
    </row>
    <row r="1272">
      <c r="A1272" s="8" t="inlineStr">
        <is>
          <t>G07273</t>
        </is>
      </c>
      <c r="B1272" s="8" t="inlineStr">
        <is>
          <t>Жибек Эйр</t>
        </is>
      </c>
      <c r="C1272" s="8" t="inlineStr">
        <is>
          <t>2460736560</t>
        </is>
      </c>
      <c r="D1272" s="8" t="inlineStr">
        <is>
          <t>ETM, акт 1С за месяц не выгружен</t>
        </is>
      </c>
      <c r="E1272" s="8" t="inlineStr">
        <is>
          <t>Выгрузка 1С</t>
        </is>
      </c>
      <c r="F1272" s="8" t="inlineStr">
        <is>
          <t>B</t>
        </is>
      </c>
      <c r="G1272" s="14" t="n">
        <v>0</v>
      </c>
      <c r="H1272" s="14" t="n">
        <v>-13792</v>
      </c>
      <c r="I1272" s="14" t="n">
        <v>13792</v>
      </c>
      <c r="J1272" s="14" t="n">
        <v>-13792</v>
      </c>
      <c r="K1272" s="21" t="n">
        <v>46117.77030092593</v>
      </c>
      <c r="L1272" s="21" t="n"/>
      <c r="M1272" s="8" t="inlineStr"/>
      <c r="N1272" s="8" t="inlineStr">
        <is>
          <t>Бухгалтер: выгрузить акт</t>
        </is>
      </c>
      <c r="O1272" s="8" t="inlineStr">
        <is>
          <t>b.isakov</t>
        </is>
      </c>
      <c r="P1272" s="12" t="inlineStr">
        <is>
          <t>Операция есть в ETM, а акт 1С за этот (или следующий) месяц не выгружен — сначала получить акт</t>
        </is>
      </c>
      <c r="Q1272" s="8" t="inlineStr">
        <is>
          <t>57191851</t>
        </is>
      </c>
    </row>
    <row r="1273">
      <c r="A1273" s="8" t="inlineStr">
        <is>
          <t>G07301</t>
        </is>
      </c>
      <c r="B1273" s="8" t="inlineStr">
        <is>
          <t>Жибек Эйр</t>
        </is>
      </c>
      <c r="C1273" s="8" t="inlineStr">
        <is>
          <t>2461882491</t>
        </is>
      </c>
      <c r="D1273" s="8" t="inlineStr">
        <is>
          <t>ETM, акт 1С за месяц не выгружен</t>
        </is>
      </c>
      <c r="E1273" s="8" t="inlineStr">
        <is>
          <t>Выгрузка 1С</t>
        </is>
      </c>
      <c r="F1273" s="8" t="inlineStr">
        <is>
          <t>B</t>
        </is>
      </c>
      <c r="G1273" s="14" t="n">
        <v>0</v>
      </c>
      <c r="H1273" s="14" t="n">
        <v>-13601</v>
      </c>
      <c r="I1273" s="14" t="n"/>
      <c r="J1273" s="14" t="n">
        <v>-13601</v>
      </c>
      <c r="K1273" s="21" t="n">
        <v>46148.62403935185</v>
      </c>
      <c r="L1273" s="21" t="n"/>
      <c r="M1273" s="8" t="inlineStr"/>
      <c r="N1273" s="8" t="inlineStr">
        <is>
          <t>Бухгалтер: выгрузить акт</t>
        </is>
      </c>
      <c r="O1273" s="8" t="inlineStr"/>
      <c r="P1273" s="12" t="inlineStr">
        <is>
          <t>Операция есть в ETM, а акт 1С за этот (или следующий) месяц не выгружен — сначала получить акт</t>
        </is>
      </c>
      <c r="Q1273" s="8" t="inlineStr">
        <is>
          <t>57257863</t>
        </is>
      </c>
    </row>
    <row r="1274">
      <c r="A1274" s="8" t="inlineStr">
        <is>
          <t>G13102</t>
        </is>
      </c>
      <c r="B1274" s="8" t="inlineStr">
        <is>
          <t>Сатар уулу Санжар</t>
        </is>
      </c>
      <c r="C1274" s="8" t="inlineStr">
        <is>
          <t>2460736944</t>
        </is>
      </c>
      <c r="D1274" s="8" t="inlineStr">
        <is>
          <t>ETM, акт 1С за месяц не выгружен</t>
        </is>
      </c>
      <c r="E1274" s="8" t="inlineStr">
        <is>
          <t>Выгрузка 1С</t>
        </is>
      </c>
      <c r="F1274" s="8" t="inlineStr">
        <is>
          <t>B</t>
        </is>
      </c>
      <c r="G1274" s="14" t="n">
        <v>0</v>
      </c>
      <c r="H1274" s="14" t="n">
        <v>-13457</v>
      </c>
      <c r="I1274" s="14" t="n"/>
      <c r="J1274" s="14" t="n">
        <v>-13457</v>
      </c>
      <c r="K1274" s="21" t="n">
        <v>46181.44711805556</v>
      </c>
      <c r="L1274" s="21" t="n"/>
      <c r="M1274" s="8" t="inlineStr"/>
      <c r="N1274" s="8" t="inlineStr">
        <is>
          <t>Бухгалтер: выгрузить акт</t>
        </is>
      </c>
      <c r="O1274" s="8" t="inlineStr"/>
      <c r="P1274" s="12" t="inlineStr">
        <is>
          <t>Операция есть в ETM, а акт 1С за этот (или следующий) месяц не выгружен — сначала получить акт</t>
        </is>
      </c>
      <c r="Q1274" s="8" t="inlineStr">
        <is>
          <t>57352670</t>
        </is>
      </c>
    </row>
    <row r="1275">
      <c r="A1275" s="8" t="inlineStr">
        <is>
          <t>G09091</t>
        </is>
      </c>
      <c r="B1275" s="8" t="inlineStr">
        <is>
          <t>ИССЫК ТРИП</t>
        </is>
      </c>
      <c r="C1275" s="8" t="inlineStr">
        <is>
          <t>2460736118</t>
        </is>
      </c>
      <c r="D1275" s="8" t="inlineStr">
        <is>
          <t>ETM, акт 1С за месяц не выгружен</t>
        </is>
      </c>
      <c r="E1275" s="8" t="inlineStr">
        <is>
          <t>Выгрузка 1С</t>
        </is>
      </c>
      <c r="F1275" s="8" t="inlineStr">
        <is>
          <t>B</t>
        </is>
      </c>
      <c r="G1275" s="14" t="n">
        <v>0</v>
      </c>
      <c r="H1275" s="14" t="n">
        <v>-13005</v>
      </c>
      <c r="I1275" s="14" t="n">
        <v>13005</v>
      </c>
      <c r="J1275" s="14" t="n">
        <v>-13005</v>
      </c>
      <c r="K1275" s="21" t="n">
        <v>46078.38810185185</v>
      </c>
      <c r="L1275" s="21" t="n"/>
      <c r="M1275" s="8" t="inlineStr"/>
      <c r="N1275" s="8" t="inlineStr">
        <is>
          <t>Бухгалтер: выгрузить акт</t>
        </is>
      </c>
      <c r="O1275" s="8" t="inlineStr">
        <is>
          <t>e.satarov</t>
        </is>
      </c>
      <c r="P1275" s="12" t="inlineStr">
        <is>
          <t>Операция есть в ETM, а акт 1С за этот (или следующий) месяц не выгружен — сначала получить акт</t>
        </is>
      </c>
      <c r="Q1275" s="8" t="inlineStr">
        <is>
          <t>57108882</t>
        </is>
      </c>
    </row>
    <row r="1276">
      <c r="A1276" s="8" t="inlineStr">
        <is>
          <t>G09962</t>
        </is>
      </c>
      <c r="B1276" s="8" t="inlineStr">
        <is>
          <t>МУРАС ТРИП</t>
        </is>
      </c>
      <c r="C1276" s="8" t="inlineStr">
        <is>
          <t>2461881711</t>
        </is>
      </c>
      <c r="D1276" s="8" t="inlineStr">
        <is>
          <t>ETM, акт 1С за месяц не выгружен</t>
        </is>
      </c>
      <c r="E1276" s="8" t="inlineStr">
        <is>
          <t>Выгрузка 1С</t>
        </is>
      </c>
      <c r="F1276" s="8" t="inlineStr">
        <is>
          <t>B</t>
        </is>
      </c>
      <c r="G1276" s="14" t="n">
        <v>0</v>
      </c>
      <c r="H1276" s="14" t="n">
        <v>-12808</v>
      </c>
      <c r="I1276" s="14" t="n">
        <v>12808</v>
      </c>
      <c r="J1276" s="14" t="n">
        <v>-12808</v>
      </c>
      <c r="K1276" s="21" t="n">
        <v>46197.64974537037</v>
      </c>
      <c r="L1276" s="21" t="n"/>
      <c r="M1276" s="8" t="inlineStr"/>
      <c r="N1276" s="8" t="inlineStr">
        <is>
          <t>Бухгалтер: выгрузить акт</t>
        </is>
      </c>
      <c r="O1276" s="8" t="inlineStr">
        <is>
          <t>b.isakov</t>
        </is>
      </c>
      <c r="P1276" s="12" t="inlineStr">
        <is>
          <t>Операция есть в ETM, а акт 1С за этот (или следующий) месяц не выгружен — сначала получить акт</t>
        </is>
      </c>
      <c r="Q1276" s="8" t="inlineStr">
        <is>
          <t>57395196</t>
        </is>
      </c>
    </row>
    <row r="1277">
      <c r="A1277" s="8" t="inlineStr">
        <is>
          <t>G14283</t>
        </is>
      </c>
      <c r="B1277" s="8" t="inlineStr">
        <is>
          <t>ЧОЛПОН ТУР</t>
        </is>
      </c>
      <c r="C1277" s="8" t="inlineStr">
        <is>
          <t>2459531851</t>
        </is>
      </c>
      <c r="D1277" s="8" t="inlineStr">
        <is>
          <t>ETM, акт 1С за месяц не выгружен</t>
        </is>
      </c>
      <c r="E1277" s="8" t="inlineStr">
        <is>
          <t>Выгрузка 1С</t>
        </is>
      </c>
      <c r="F1277" s="8" t="inlineStr">
        <is>
          <t>B</t>
        </is>
      </c>
      <c r="G1277" s="14" t="n">
        <v>0</v>
      </c>
      <c r="H1277" s="14" t="n">
        <v>-12706</v>
      </c>
      <c r="I1277" s="14" t="n"/>
      <c r="J1277" s="14" t="n">
        <v>-12706</v>
      </c>
      <c r="K1277" s="21" t="n">
        <v>46082.76175925926</v>
      </c>
      <c r="L1277" s="21" t="n"/>
      <c r="M1277" s="8" t="inlineStr"/>
      <c r="N1277" s="8" t="inlineStr">
        <is>
          <t>Бухгалтер: выгрузить акт</t>
        </is>
      </c>
      <c r="O1277" s="8" t="inlineStr"/>
      <c r="P1277" s="12" t="inlineStr">
        <is>
          <t>Операция есть в ETM, а акт 1С за этот (или следующий) месяц не выгружен — сначала получить акт</t>
        </is>
      </c>
      <c r="Q1277" s="8" t="inlineStr">
        <is>
          <t>57116909</t>
        </is>
      </c>
    </row>
    <row r="1278">
      <c r="A1278" s="8" t="inlineStr">
        <is>
          <t>G13162</t>
        </is>
      </c>
      <c r="B1278" s="8" t="inlineStr">
        <is>
          <t>Сатар уулу Санжар</t>
        </is>
      </c>
      <c r="C1278" s="8" t="inlineStr">
        <is>
          <t>2461884324</t>
        </is>
      </c>
      <c r="D1278" s="8" t="inlineStr">
        <is>
          <t>ETM, акт 1С за месяц не выгружен</t>
        </is>
      </c>
      <c r="E1278" s="8" t="inlineStr">
        <is>
          <t>Выгрузка 1С</t>
        </is>
      </c>
      <c r="F1278" s="8" t="inlineStr">
        <is>
          <t>B</t>
        </is>
      </c>
      <c r="G1278" s="14" t="n">
        <v>0</v>
      </c>
      <c r="H1278" s="14" t="n">
        <v>-12692</v>
      </c>
      <c r="I1278" s="14" t="n">
        <v>12692</v>
      </c>
      <c r="J1278" s="14" t="n">
        <v>-12692</v>
      </c>
      <c r="K1278" s="21" t="n">
        <v>46175.68640046296</v>
      </c>
      <c r="L1278" s="21" t="n"/>
      <c r="M1278" s="8" t="inlineStr"/>
      <c r="N1278" s="8" t="inlineStr">
        <is>
          <t>Бухгалтер: выгрузить акт</t>
        </is>
      </c>
      <c r="O1278" s="8" t="inlineStr">
        <is>
          <t>d.mambetova</t>
        </is>
      </c>
      <c r="P1278" s="12" t="inlineStr">
        <is>
          <t>Операция есть в ETM, а акт 1С за этот (или следующий) месяц не выгружен — сначала получить акт</t>
        </is>
      </c>
      <c r="Q1278" s="8" t="inlineStr">
        <is>
          <t>57336718</t>
        </is>
      </c>
    </row>
    <row r="1279">
      <c r="A1279" s="8" t="inlineStr">
        <is>
          <t>G07291</t>
        </is>
      </c>
      <c r="B1279" s="8" t="inlineStr">
        <is>
          <t>Жибек Эйр</t>
        </is>
      </c>
      <c r="C1279" s="8" t="inlineStr">
        <is>
          <t>2461881407</t>
        </is>
      </c>
      <c r="D1279" s="8" t="inlineStr">
        <is>
          <t>ETM, акт 1С за месяц не выгружен</t>
        </is>
      </c>
      <c r="E1279" s="8" t="inlineStr">
        <is>
          <t>Выгрузка 1С</t>
        </is>
      </c>
      <c r="F1279" s="8" t="inlineStr">
        <is>
          <t>B</t>
        </is>
      </c>
      <c r="G1279" s="14" t="n">
        <v>0</v>
      </c>
      <c r="H1279" s="14" t="n">
        <v>-12482</v>
      </c>
      <c r="I1279" s="14" t="n"/>
      <c r="J1279" s="14" t="n">
        <v>-12482</v>
      </c>
      <c r="K1279" s="21" t="n">
        <v>46165.34371527778</v>
      </c>
      <c r="L1279" s="21" t="n"/>
      <c r="M1279" s="8" t="inlineStr"/>
      <c r="N1279" s="8" t="inlineStr">
        <is>
          <t>Бухгалтер: выгрузить акт</t>
        </is>
      </c>
      <c r="O1279" s="8" t="inlineStr"/>
      <c r="P1279" s="12" t="inlineStr">
        <is>
          <t>Операция есть в ETM, а акт 1С за этот (или следующий) месяц не выгружен — сначала получить акт</t>
        </is>
      </c>
      <c r="Q1279" s="8" t="inlineStr">
        <is>
          <t>57309744</t>
        </is>
      </c>
    </row>
    <row r="1280">
      <c r="A1280" s="8" t="inlineStr">
        <is>
          <t>G09179</t>
        </is>
      </c>
      <c r="B1280" s="8" t="inlineStr">
        <is>
          <t>ИССЫК ТРИП</t>
        </is>
      </c>
      <c r="C1280" s="8" t="inlineStr">
        <is>
          <t>2461886577</t>
        </is>
      </c>
      <c r="D1280" s="8" t="inlineStr">
        <is>
          <t>ETM, акт 1С за месяц не выгружен</t>
        </is>
      </c>
      <c r="E1280" s="8" t="inlineStr">
        <is>
          <t>Выгрузка 1С</t>
        </is>
      </c>
      <c r="F1280" s="8" t="inlineStr">
        <is>
          <t>B</t>
        </is>
      </c>
      <c r="G1280" s="14" t="n">
        <v>0</v>
      </c>
      <c r="H1280" s="14" t="n">
        <v>-12467</v>
      </c>
      <c r="I1280" s="14" t="n">
        <v>12467</v>
      </c>
      <c r="J1280" s="14" t="n">
        <v>-12467</v>
      </c>
      <c r="K1280" s="21" t="n">
        <v>46081.66778935185</v>
      </c>
      <c r="L1280" s="21" t="n"/>
      <c r="M1280" s="8" t="inlineStr"/>
      <c r="N1280" s="8" t="inlineStr">
        <is>
          <t>Бухгалтер: выгрузить акт</t>
        </is>
      </c>
      <c r="O1280" s="8" t="inlineStr">
        <is>
          <t>b.isakov</t>
        </is>
      </c>
      <c r="P1280" s="12" t="inlineStr">
        <is>
          <t>Операция есть в ETM, а акт 1С за этот (или следующий) месяц не выгружен — сначала получить акт</t>
        </is>
      </c>
      <c r="Q1280" s="8" t="inlineStr">
        <is>
          <t>57115563</t>
        </is>
      </c>
    </row>
    <row r="1281">
      <c r="A1281" s="8" t="inlineStr">
        <is>
          <t>G13295</t>
        </is>
      </c>
      <c r="B1281" s="8" t="inlineStr">
        <is>
          <t>Сатар уулу Санжар</t>
        </is>
      </c>
      <c r="C1281" s="8" t="inlineStr">
        <is>
          <t>2552670868</t>
        </is>
      </c>
      <c r="D1281" s="8" t="inlineStr">
        <is>
          <t>ETM, акт 1С за месяц не выгружен</t>
        </is>
      </c>
      <c r="E1281" s="8" t="inlineStr">
        <is>
          <t>Выгрузка 1С</t>
        </is>
      </c>
      <c r="F1281" s="8" t="inlineStr">
        <is>
          <t>B</t>
        </is>
      </c>
      <c r="G1281" s="14" t="n">
        <v>0</v>
      </c>
      <c r="H1281" s="14" t="n">
        <v>-11898.2</v>
      </c>
      <c r="I1281" s="14" t="n">
        <v>11898.205</v>
      </c>
      <c r="J1281" s="14" t="n">
        <v>-11898.2</v>
      </c>
      <c r="K1281" s="21" t="n">
        <v>46171.4416087963</v>
      </c>
      <c r="L1281" s="21" t="n"/>
      <c r="M1281" s="8" t="inlineStr"/>
      <c r="N1281" s="8" t="inlineStr">
        <is>
          <t>Бухгалтер: выгрузить акт</t>
        </is>
      </c>
      <c r="O1281" s="8" t="inlineStr">
        <is>
          <t>e.satarov|n.abdyldaeva</t>
        </is>
      </c>
      <c r="P1281" s="12" t="inlineStr">
        <is>
          <t>Операция есть в ETM, а акт 1С за этот (или следующий) месяц не выгружен — сначала получить акт</t>
        </is>
      </c>
      <c r="Q1281" s="8" t="inlineStr">
        <is>
          <t>57326565,57348269</t>
        </is>
      </c>
    </row>
    <row r="1282">
      <c r="A1282" s="8" t="inlineStr">
        <is>
          <t>G13038</t>
        </is>
      </c>
      <c r="B1282" s="8" t="inlineStr">
        <is>
          <t>Сатар уулу Санжар</t>
        </is>
      </c>
      <c r="C1282" s="8" t="inlineStr">
        <is>
          <t>2459530678</t>
        </is>
      </c>
      <c r="D1282" s="8" t="inlineStr">
        <is>
          <t>ETM, акт 1С за месяц не выгружен</t>
        </is>
      </c>
      <c r="E1282" s="8" t="inlineStr">
        <is>
          <t>Выгрузка 1С</t>
        </is>
      </c>
      <c r="F1282" s="8" t="inlineStr">
        <is>
          <t>B</t>
        </is>
      </c>
      <c r="G1282" s="14" t="n">
        <v>0</v>
      </c>
      <c r="H1282" s="14" t="n">
        <v>-11741</v>
      </c>
      <c r="I1282" s="14" t="n">
        <v>11741</v>
      </c>
      <c r="J1282" s="14" t="n">
        <v>-11741</v>
      </c>
      <c r="K1282" s="21" t="n">
        <v>46139.77927083334</v>
      </c>
      <c r="L1282" s="21" t="n"/>
      <c r="M1282" s="8" t="inlineStr"/>
      <c r="N1282" s="8" t="inlineStr">
        <is>
          <t>Бухгалтер: выгрузить акт</t>
        </is>
      </c>
      <c r="O1282" s="8" t="inlineStr">
        <is>
          <t>g.omurbekova</t>
        </is>
      </c>
      <c r="P1282" s="12" t="inlineStr">
        <is>
          <t>Операция есть в ETM, а акт 1С за этот (или следующий) месяц не выгружен — сначала получить акт</t>
        </is>
      </c>
      <c r="Q1282" s="8" t="inlineStr">
        <is>
          <t>57232943</t>
        </is>
      </c>
    </row>
    <row r="1283">
      <c r="A1283" s="8" t="inlineStr">
        <is>
          <t>G13179</t>
        </is>
      </c>
      <c r="B1283" s="8" t="inlineStr">
        <is>
          <t>Сатар уулу Санжар</t>
        </is>
      </c>
      <c r="C1283" s="8" t="inlineStr">
        <is>
          <t>2461885949</t>
        </is>
      </c>
      <c r="D1283" s="8" t="inlineStr">
        <is>
          <t>ETM, акт 1С за месяц не выгружен</t>
        </is>
      </c>
      <c r="E1283" s="8" t="inlineStr">
        <is>
          <t>Выгрузка 1С</t>
        </is>
      </c>
      <c r="F1283" s="8" t="inlineStr">
        <is>
          <t>B</t>
        </is>
      </c>
      <c r="G1283" s="14" t="n">
        <v>0</v>
      </c>
      <c r="H1283" s="14" t="n">
        <v>-11691</v>
      </c>
      <c r="I1283" s="14" t="n">
        <v>11691</v>
      </c>
      <c r="J1283" s="14" t="n">
        <v>-11691</v>
      </c>
      <c r="K1283" s="21" t="n">
        <v>46134.44456018518</v>
      </c>
      <c r="L1283" s="21" t="n"/>
      <c r="M1283" s="8" t="inlineStr"/>
      <c r="N1283" s="8" t="inlineStr">
        <is>
          <t>Бухгалтер: выгрузить акт</t>
        </is>
      </c>
      <c r="O1283" s="8" t="inlineStr">
        <is>
          <t>b.isakov</t>
        </is>
      </c>
      <c r="P1283" s="12" t="inlineStr">
        <is>
          <t>Операция есть в ETM, а акт 1С за этот (или следующий) месяц не выгружен — сначала получить акт</t>
        </is>
      </c>
      <c r="Q1283" s="8" t="inlineStr">
        <is>
          <t>57222769</t>
        </is>
      </c>
    </row>
    <row r="1284">
      <c r="A1284" s="8" t="inlineStr">
        <is>
          <t>G07249</t>
        </is>
      </c>
      <c r="B1284" s="8" t="inlineStr">
        <is>
          <t>Жибек Эйр</t>
        </is>
      </c>
      <c r="C1284" s="8" t="inlineStr">
        <is>
          <t>2460733017</t>
        </is>
      </c>
      <c r="D1284" s="8" t="inlineStr">
        <is>
          <t>ETM, акт 1С за месяц не выгружен</t>
        </is>
      </c>
      <c r="E1284" s="8" t="inlineStr">
        <is>
          <t>Выгрузка 1С</t>
        </is>
      </c>
      <c r="F1284" s="8" t="inlineStr">
        <is>
          <t>B</t>
        </is>
      </c>
      <c r="G1284" s="14" t="n">
        <v>0</v>
      </c>
      <c r="H1284" s="14" t="n">
        <v>-11503</v>
      </c>
      <c r="I1284" s="14" t="n">
        <v>11503</v>
      </c>
      <c r="J1284" s="14" t="n">
        <v>-11503</v>
      </c>
      <c r="K1284" s="21" t="n">
        <v>46137.65018518519</v>
      </c>
      <c r="L1284" s="21" t="n"/>
      <c r="M1284" s="8" t="inlineStr"/>
      <c r="N1284" s="8" t="inlineStr">
        <is>
          <t>Бухгалтер: выгрузить акт</t>
        </is>
      </c>
      <c r="O1284" s="8" t="inlineStr">
        <is>
          <t>n.abdyldaeva</t>
        </is>
      </c>
      <c r="P1284" s="12" t="inlineStr">
        <is>
          <t>Операция есть в ETM, а акт 1С за этот (или следующий) месяц не выгружен — сначала получить акт</t>
        </is>
      </c>
      <c r="Q1284" s="8" t="inlineStr">
        <is>
          <t>57228069</t>
        </is>
      </c>
    </row>
    <row r="1285">
      <c r="A1285" s="8" t="inlineStr">
        <is>
          <t>G14305</t>
        </is>
      </c>
      <c r="B1285" s="8" t="inlineStr">
        <is>
          <t>ЧОЛПОН ТУР</t>
        </is>
      </c>
      <c r="C1285" s="8" t="inlineStr">
        <is>
          <t>2461885526</t>
        </is>
      </c>
      <c r="D1285" s="8" t="inlineStr">
        <is>
          <t>ETM, акт 1С за месяц не выгружен</t>
        </is>
      </c>
      <c r="E1285" s="8" t="inlineStr">
        <is>
          <t>Выгрузка 1С</t>
        </is>
      </c>
      <c r="F1285" s="8" t="inlineStr">
        <is>
          <t>B</t>
        </is>
      </c>
      <c r="G1285" s="14" t="n">
        <v>0</v>
      </c>
      <c r="H1285" s="14" t="n">
        <v>-11402</v>
      </c>
      <c r="I1285" s="14" t="n">
        <v>11402</v>
      </c>
      <c r="J1285" s="14" t="n">
        <v>-11402</v>
      </c>
      <c r="K1285" s="21" t="n">
        <v>46140.5670949074</v>
      </c>
      <c r="L1285" s="21" t="n"/>
      <c r="M1285" s="8" t="inlineStr"/>
      <c r="N1285" s="8" t="inlineStr">
        <is>
          <t>Бухгалтер: выгрузить акт</t>
        </is>
      </c>
      <c r="O1285" s="8" t="inlineStr">
        <is>
          <t>e.satarov</t>
        </is>
      </c>
      <c r="P1285" s="12" t="inlineStr">
        <is>
          <t>Операция есть в ETM, а акт 1С за этот (или следующий) месяц не выгружен — сначала получить акт</t>
        </is>
      </c>
      <c r="Q1285" s="8" t="inlineStr">
        <is>
          <t>57235399</t>
        </is>
      </c>
    </row>
    <row r="1286">
      <c r="A1286" s="8" t="inlineStr">
        <is>
          <t>G08419</t>
        </is>
      </c>
      <c r="B1286" s="8" t="inlineStr">
        <is>
          <t>ИП Муратов Э. У.</t>
        </is>
      </c>
      <c r="C1286" s="8" t="inlineStr">
        <is>
          <t>2461883486</t>
        </is>
      </c>
      <c r="D1286" s="8" t="inlineStr">
        <is>
          <t>ETM, акт 1С за месяц не выгружен</t>
        </is>
      </c>
      <c r="E1286" s="8" t="inlineStr">
        <is>
          <t>Выгрузка 1С</t>
        </is>
      </c>
      <c r="F1286" s="8" t="inlineStr">
        <is>
          <t>B</t>
        </is>
      </c>
      <c r="G1286" s="14" t="n">
        <v>0</v>
      </c>
      <c r="H1286" s="14" t="n">
        <v>-11369</v>
      </c>
      <c r="I1286" s="14" t="n">
        <v>11369</v>
      </c>
      <c r="J1286" s="14" t="n">
        <v>-11369</v>
      </c>
      <c r="K1286" s="21" t="n">
        <v>46109.62673611111</v>
      </c>
      <c r="L1286" s="21" t="n"/>
      <c r="M1286" s="8" t="inlineStr"/>
      <c r="N1286" s="8" t="inlineStr">
        <is>
          <t>Бухгалтер: выгрузить акт</t>
        </is>
      </c>
      <c r="O1286" s="8" t="inlineStr">
        <is>
          <t>d.mambetova</t>
        </is>
      </c>
      <c r="P1286" s="12" t="inlineStr">
        <is>
          <t>Операция есть в ETM, а акт 1С за этот (или следующий) месяц не выгружен — сначала получить акт</t>
        </is>
      </c>
      <c r="Q1286" s="8" t="inlineStr">
        <is>
          <t>57177643</t>
        </is>
      </c>
    </row>
    <row r="1287">
      <c r="A1287" s="8" t="inlineStr">
        <is>
          <t>G14479</t>
        </is>
      </c>
      <c r="B1287" s="8" t="inlineStr">
        <is>
          <t>Чолпон Тревел</t>
        </is>
      </c>
      <c r="C1287" s="8" t="inlineStr">
        <is>
          <t>2460735938</t>
        </is>
      </c>
      <c r="D1287" s="8" t="inlineStr">
        <is>
          <t>ETM, акт 1С за месяц не выгружен</t>
        </is>
      </c>
      <c r="E1287" s="8" t="inlineStr">
        <is>
          <t>Выгрузка 1С</t>
        </is>
      </c>
      <c r="F1287" s="8" t="inlineStr">
        <is>
          <t>B</t>
        </is>
      </c>
      <c r="G1287" s="14" t="n">
        <v>0</v>
      </c>
      <c r="H1287" s="14" t="n">
        <v>-11313</v>
      </c>
      <c r="I1287" s="14" t="n">
        <v>11313</v>
      </c>
      <c r="J1287" s="14" t="n">
        <v>-11313</v>
      </c>
      <c r="K1287" s="21" t="n">
        <v>46164.68108796296</v>
      </c>
      <c r="L1287" s="21" t="n"/>
      <c r="M1287" s="8" t="inlineStr"/>
      <c r="N1287" s="8" t="inlineStr">
        <is>
          <t>Бухгалтер: выгрузить акт</t>
        </is>
      </c>
      <c r="O1287" s="8" t="inlineStr">
        <is>
          <t>d.mambetova</t>
        </is>
      </c>
      <c r="P1287" s="12" t="inlineStr">
        <is>
          <t>Операция есть в ETM, а акт 1С за этот (или следующий) месяц не выгружен — сначала получить акт</t>
        </is>
      </c>
      <c r="Q1287" s="8" t="inlineStr">
        <is>
          <t>57307736</t>
        </is>
      </c>
    </row>
    <row r="1288">
      <c r="A1288" s="8" t="inlineStr">
        <is>
          <t>G09102</t>
        </is>
      </c>
      <c r="B1288" s="8" t="inlineStr">
        <is>
          <t>ИССЫК ТРИП</t>
        </is>
      </c>
      <c r="C1288" s="8" t="inlineStr">
        <is>
          <t>2460737493</t>
        </is>
      </c>
      <c r="D1288" s="8" t="inlineStr">
        <is>
          <t>ETM, акт 1С за месяц не выгружен</t>
        </is>
      </c>
      <c r="E1288" s="8" t="inlineStr">
        <is>
          <t>Выгрузка 1С</t>
        </is>
      </c>
      <c r="F1288" s="8" t="inlineStr">
        <is>
          <t>B</t>
        </is>
      </c>
      <c r="G1288" s="14" t="n">
        <v>0</v>
      </c>
      <c r="H1288" s="14" t="n">
        <v>-11084</v>
      </c>
      <c r="I1288" s="14" t="n">
        <v>11084</v>
      </c>
      <c r="J1288" s="14" t="n">
        <v>-11084</v>
      </c>
      <c r="K1288" s="21" t="n">
        <v>46072.45684027778</v>
      </c>
      <c r="L1288" s="21" t="n"/>
      <c r="M1288" s="8" t="inlineStr"/>
      <c r="N1288" s="8" t="inlineStr">
        <is>
          <t>Бухгалтер: выгрузить акт</t>
        </is>
      </c>
      <c r="O1288" s="8" t="inlineStr">
        <is>
          <t>k.dzhumaev</t>
        </is>
      </c>
      <c r="P1288" s="12" t="inlineStr">
        <is>
          <t>Операция есть в ETM, а акт 1С за этот (или следующий) месяц не выгружен — сначала получить акт</t>
        </is>
      </c>
      <c r="Q1288" s="8" t="inlineStr">
        <is>
          <t>57098877</t>
        </is>
      </c>
    </row>
    <row r="1289">
      <c r="A1289" s="8" t="inlineStr">
        <is>
          <t>G13097</t>
        </is>
      </c>
      <c r="B1289" s="8" t="inlineStr">
        <is>
          <t>Сатар уулу Санжар</t>
        </is>
      </c>
      <c r="C1289" s="8" t="inlineStr">
        <is>
          <t>2460736387</t>
        </is>
      </c>
      <c r="D1289" s="8" t="inlineStr">
        <is>
          <t>ETM, акт 1С за месяц не выгружен</t>
        </is>
      </c>
      <c r="E1289" s="8" t="inlineStr">
        <is>
          <t>Выгрузка 1С</t>
        </is>
      </c>
      <c r="F1289" s="8" t="inlineStr">
        <is>
          <t>B</t>
        </is>
      </c>
      <c r="G1289" s="14" t="n">
        <v>0</v>
      </c>
      <c r="H1289" s="14" t="n">
        <v>-10929</v>
      </c>
      <c r="I1289" s="14" t="n">
        <v>10929</v>
      </c>
      <c r="J1289" s="14" t="n">
        <v>-10929</v>
      </c>
      <c r="K1289" s="21" t="n">
        <v>46123.35094907408</v>
      </c>
      <c r="L1289" s="21" t="n"/>
      <c r="M1289" s="8" t="inlineStr"/>
      <c r="N1289" s="8" t="inlineStr">
        <is>
          <t>Бухгалтер: выгрузить акт</t>
        </is>
      </c>
      <c r="O1289" s="8" t="inlineStr">
        <is>
          <t>d.mambetova</t>
        </is>
      </c>
      <c r="P1289" s="12" t="inlineStr">
        <is>
          <t>Операция есть в ETM, а акт 1С за этот (или следующий) месяц не выгружен — сначала получить акт</t>
        </is>
      </c>
      <c r="Q1289" s="8" t="inlineStr">
        <is>
          <t>57202684</t>
        </is>
      </c>
    </row>
    <row r="1290">
      <c r="A1290" s="8" t="inlineStr">
        <is>
          <t>G07831</t>
        </is>
      </c>
      <c r="B1290" s="8" t="inlineStr">
        <is>
          <t>ИП Асанов К. Б.</t>
        </is>
      </c>
      <c r="C1290" s="8" t="inlineStr">
        <is>
          <t>2459527696</t>
        </is>
      </c>
      <c r="D1290" s="8" t="inlineStr">
        <is>
          <t>ETM, акт 1С за месяц не выгружен</t>
        </is>
      </c>
      <c r="E1290" s="8" t="inlineStr">
        <is>
          <t>Выгрузка 1С</t>
        </is>
      </c>
      <c r="F1290" s="8" t="inlineStr">
        <is>
          <t>B</t>
        </is>
      </c>
      <c r="G1290" s="14" t="n">
        <v>0</v>
      </c>
      <c r="H1290" s="14" t="n">
        <v>-10910</v>
      </c>
      <c r="I1290" s="14" t="n"/>
      <c r="J1290" s="14" t="n">
        <v>-10910</v>
      </c>
      <c r="K1290" s="21" t="n">
        <v>46057.40951388889</v>
      </c>
      <c r="L1290" s="21" t="n"/>
      <c r="M1290" s="8" t="inlineStr"/>
      <c r="N1290" s="8" t="inlineStr">
        <is>
          <t>Бухгалтер: выгрузить акт</t>
        </is>
      </c>
      <c r="O1290" s="8" t="inlineStr"/>
      <c r="P1290" s="12" t="inlineStr">
        <is>
          <t>Операция есть в ETM, а акт 1С за этот (или следующий) месяц не выгружен — сначала получить акт</t>
        </is>
      </c>
      <c r="Q1290" s="8" t="inlineStr">
        <is>
          <t>57072729</t>
        </is>
      </c>
    </row>
    <row r="1291">
      <c r="A1291" s="8" t="inlineStr">
        <is>
          <t>G07260</t>
        </is>
      </c>
      <c r="B1291" s="8" t="inlineStr">
        <is>
          <t>Жибек Эйр</t>
        </is>
      </c>
      <c r="C1291" s="8" t="inlineStr">
        <is>
          <t>2460734826</t>
        </is>
      </c>
      <c r="D1291" s="8" t="inlineStr">
        <is>
          <t>ETM, акт 1С за месяц не выгружен</t>
        </is>
      </c>
      <c r="E1291" s="8" t="inlineStr">
        <is>
          <t>Выгрузка 1С</t>
        </is>
      </c>
      <c r="F1291" s="8" t="inlineStr">
        <is>
          <t>B</t>
        </is>
      </c>
      <c r="G1291" s="14" t="n">
        <v>0</v>
      </c>
      <c r="H1291" s="14" t="n">
        <v>-10790</v>
      </c>
      <c r="I1291" s="14" t="n">
        <v>10790</v>
      </c>
      <c r="J1291" s="14" t="n">
        <v>-10790</v>
      </c>
      <c r="K1291" s="21" t="n">
        <v>46126.56625</v>
      </c>
      <c r="L1291" s="21" t="n"/>
      <c r="M1291" s="8" t="inlineStr"/>
      <c r="N1291" s="8" t="inlineStr">
        <is>
          <t>Бухгалтер: выгрузить акт</t>
        </is>
      </c>
      <c r="O1291" s="8" t="inlineStr">
        <is>
          <t>b.isakov</t>
        </is>
      </c>
      <c r="P1291" s="12" t="inlineStr">
        <is>
          <t>Операция есть в ETM, а акт 1С за этот (или следующий) месяц не выгружен — сначала получить акт</t>
        </is>
      </c>
      <c r="Q1291" s="8" t="inlineStr">
        <is>
          <t>57206944</t>
        </is>
      </c>
    </row>
    <row r="1292">
      <c r="A1292" s="8" t="inlineStr">
        <is>
          <t>G08575</t>
        </is>
      </c>
      <c r="B1292" s="8" t="inlineStr">
        <is>
          <t>ИП Токтосун кызы Н.</t>
        </is>
      </c>
      <c r="C1292" s="8" t="inlineStr">
        <is>
          <t>2460733549</t>
        </is>
      </c>
      <c r="D1292" s="8" t="inlineStr">
        <is>
          <t>ETM, акт 1С за месяц не выгружен</t>
        </is>
      </c>
      <c r="E1292" s="8" t="inlineStr">
        <is>
          <t>Выгрузка 1С</t>
        </is>
      </c>
      <c r="F1292" s="8" t="inlineStr">
        <is>
          <t>B</t>
        </is>
      </c>
      <c r="G1292" s="14" t="n">
        <v>0</v>
      </c>
      <c r="H1292" s="14" t="n">
        <v>-10702</v>
      </c>
      <c r="I1292" s="14" t="n"/>
      <c r="J1292" s="14" t="n">
        <v>-10702</v>
      </c>
      <c r="K1292" s="21" t="n">
        <v>46073.70207175926</v>
      </c>
      <c r="L1292" s="21" t="n"/>
      <c r="M1292" s="8" t="inlineStr"/>
      <c r="N1292" s="8" t="inlineStr">
        <is>
          <t>Бухгалтер: выгрузить акт</t>
        </is>
      </c>
      <c r="O1292" s="8" t="inlineStr"/>
      <c r="P1292" s="12" t="inlineStr">
        <is>
          <t>Операция есть в ETM, а акт 1С за этот (или следующий) месяц не выгружен — сначала получить акт</t>
        </is>
      </c>
      <c r="Q1292" s="8" t="inlineStr">
        <is>
          <t>57099778</t>
        </is>
      </c>
    </row>
    <row r="1293">
      <c r="A1293" s="8" t="inlineStr">
        <is>
          <t>G08576</t>
        </is>
      </c>
      <c r="B1293" s="8" t="inlineStr">
        <is>
          <t>ИП Токтосун кызы Н.</t>
        </is>
      </c>
      <c r="C1293" s="8" t="inlineStr">
        <is>
          <t>2460733550</t>
        </is>
      </c>
      <c r="D1293" s="8" t="inlineStr">
        <is>
          <t>ETM, акт 1С за месяц не выгружен</t>
        </is>
      </c>
      <c r="E1293" s="8" t="inlineStr">
        <is>
          <t>Выгрузка 1С</t>
        </is>
      </c>
      <c r="F1293" s="8" t="inlineStr">
        <is>
          <t>B</t>
        </is>
      </c>
      <c r="G1293" s="14" t="n">
        <v>0</v>
      </c>
      <c r="H1293" s="14" t="n">
        <v>-10702</v>
      </c>
      <c r="I1293" s="14" t="n"/>
      <c r="J1293" s="14" t="n">
        <v>-10702</v>
      </c>
      <c r="K1293" s="21" t="n">
        <v>46073.68898148148</v>
      </c>
      <c r="L1293" s="21" t="n"/>
      <c r="M1293" s="8" t="inlineStr"/>
      <c r="N1293" s="8" t="inlineStr">
        <is>
          <t>Бухгалтер: выгрузить акт</t>
        </is>
      </c>
      <c r="O1293" s="8" t="inlineStr"/>
      <c r="P1293" s="12" t="inlineStr">
        <is>
          <t>Операция есть в ETM, а акт 1С за этот (или следующий) месяц не выгружен — сначала получить акт</t>
        </is>
      </c>
      <c r="Q1293" s="8" t="inlineStr">
        <is>
          <t>57099809</t>
        </is>
      </c>
    </row>
    <row r="1294">
      <c r="A1294" s="8" t="inlineStr">
        <is>
          <t>G13557</t>
        </is>
      </c>
      <c r="B1294" s="8" t="inlineStr">
        <is>
          <t>Сыдыков С. У.</t>
        </is>
      </c>
      <c r="C1294" s="8" t="inlineStr">
        <is>
          <t>2461881937</t>
        </is>
      </c>
      <c r="D1294" s="8" t="inlineStr">
        <is>
          <t>ETM, акт 1С за месяц не выгружен</t>
        </is>
      </c>
      <c r="E1294" s="8" t="inlineStr">
        <is>
          <t>Выгрузка 1С</t>
        </is>
      </c>
      <c r="F1294" s="8" t="inlineStr">
        <is>
          <t>B</t>
        </is>
      </c>
      <c r="G1294" s="14" t="n">
        <v>0</v>
      </c>
      <c r="H1294" s="14" t="n">
        <v>-10468</v>
      </c>
      <c r="I1294" s="14" t="n"/>
      <c r="J1294" s="14" t="n">
        <v>-10468</v>
      </c>
      <c r="K1294" s="21" t="n">
        <v>46166.81668981481</v>
      </c>
      <c r="L1294" s="21" t="n"/>
      <c r="M1294" s="8" t="inlineStr"/>
      <c r="N1294" s="8" t="inlineStr">
        <is>
          <t>Бухгалтер: выгрузить акт</t>
        </is>
      </c>
      <c r="O1294" s="8" t="inlineStr"/>
      <c r="P1294" s="12" t="inlineStr">
        <is>
          <t>Операция есть в ETM, а акт 1С за этот (или следующий) месяц не выгружен — сначала получить акт</t>
        </is>
      </c>
      <c r="Q1294" s="8" t="inlineStr">
        <is>
          <t>57312664</t>
        </is>
      </c>
    </row>
    <row r="1295">
      <c r="A1295" s="8" t="inlineStr">
        <is>
          <t>G13558</t>
        </is>
      </c>
      <c r="B1295" s="8" t="inlineStr">
        <is>
          <t>Сыдыков С. У.</t>
        </is>
      </c>
      <c r="C1295" s="8" t="inlineStr">
        <is>
          <t>2461881939</t>
        </is>
      </c>
      <c r="D1295" s="8" t="inlineStr">
        <is>
          <t>ETM, акт 1С за месяц не выгружен</t>
        </is>
      </c>
      <c r="E1295" s="8" t="inlineStr">
        <is>
          <t>Выгрузка 1С</t>
        </is>
      </c>
      <c r="F1295" s="8" t="inlineStr">
        <is>
          <t>B</t>
        </is>
      </c>
      <c r="G1295" s="14" t="n">
        <v>0</v>
      </c>
      <c r="H1295" s="14" t="n">
        <v>-10468</v>
      </c>
      <c r="I1295" s="14" t="n"/>
      <c r="J1295" s="14" t="n">
        <v>-10468</v>
      </c>
      <c r="K1295" s="21" t="n">
        <v>46166.55920138889</v>
      </c>
      <c r="L1295" s="21" t="n"/>
      <c r="M1295" s="8" t="inlineStr"/>
      <c r="N1295" s="8" t="inlineStr">
        <is>
          <t>Бухгалтер: выгрузить акт</t>
        </is>
      </c>
      <c r="O1295" s="8" t="inlineStr"/>
      <c r="P1295" s="12" t="inlineStr">
        <is>
          <t>Операция есть в ETM, а акт 1С за этот (или следующий) месяц не выгружен — сначала получить акт</t>
        </is>
      </c>
      <c r="Q1295" s="8" t="inlineStr">
        <is>
          <t>57312672</t>
        </is>
      </c>
    </row>
    <row r="1296">
      <c r="A1296" s="8" t="inlineStr">
        <is>
          <t>G07208</t>
        </is>
      </c>
      <c r="B1296" s="8" t="inlineStr">
        <is>
          <t>Жибек Эйр</t>
        </is>
      </c>
      <c r="C1296" s="8" t="inlineStr">
        <is>
          <t>2459526483</t>
        </is>
      </c>
      <c r="D1296" s="8" t="inlineStr">
        <is>
          <t>ETM, акт 1С за месяц не выгружен</t>
        </is>
      </c>
      <c r="E1296" s="8" t="inlineStr">
        <is>
          <t>Выгрузка 1С</t>
        </is>
      </c>
      <c r="F1296" s="8" t="inlineStr">
        <is>
          <t>B</t>
        </is>
      </c>
      <c r="G1296" s="14" t="n">
        <v>0</v>
      </c>
      <c r="H1296" s="14" t="n">
        <v>-10426</v>
      </c>
      <c r="I1296" s="14" t="n">
        <v>10426</v>
      </c>
      <c r="J1296" s="14" t="n">
        <v>-10426</v>
      </c>
      <c r="K1296" s="21" t="n">
        <v>46158.64331018519</v>
      </c>
      <c r="L1296" s="21" t="n"/>
      <c r="M1296" s="8" t="inlineStr"/>
      <c r="N1296" s="8" t="inlineStr">
        <is>
          <t>Бухгалтер: выгрузить акт</t>
        </is>
      </c>
      <c r="O1296" s="8" t="inlineStr">
        <is>
          <t>a.toktosunova</t>
        </is>
      </c>
      <c r="P1296" s="12" t="inlineStr">
        <is>
          <t>Операция есть в ETM, а акт 1С за этот (или следующий) месяц не выгружен — сначала получить акт</t>
        </is>
      </c>
      <c r="Q1296" s="8" t="inlineStr">
        <is>
          <t>57288776</t>
        </is>
      </c>
    </row>
    <row r="1297">
      <c r="A1297" s="8" t="inlineStr">
        <is>
          <t>G09953</t>
        </is>
      </c>
      <c r="B1297" s="8" t="inlineStr">
        <is>
          <t>МУРАС ТРИП</t>
        </is>
      </c>
      <c r="C1297" s="8" t="inlineStr">
        <is>
          <t>2460736355</t>
        </is>
      </c>
      <c r="D1297" s="8" t="inlineStr">
        <is>
          <t>ETM, акт 1С за месяц не выгружен</t>
        </is>
      </c>
      <c r="E1297" s="8" t="inlineStr">
        <is>
          <t>Выгрузка 1С</t>
        </is>
      </c>
      <c r="F1297" s="8" t="inlineStr">
        <is>
          <t>B</t>
        </is>
      </c>
      <c r="G1297" s="14" t="n">
        <v>0</v>
      </c>
      <c r="H1297" s="14" t="n">
        <v>-10021</v>
      </c>
      <c r="I1297" s="14" t="n">
        <v>10021</v>
      </c>
      <c r="J1297" s="14" t="n">
        <v>-10021</v>
      </c>
      <c r="K1297" s="21" t="n">
        <v>46179.38744212963</v>
      </c>
      <c r="L1297" s="21" t="n"/>
      <c r="M1297" s="8" t="inlineStr"/>
      <c r="N1297" s="8" t="inlineStr">
        <is>
          <t>Бухгалтер: выгрузить акт</t>
        </is>
      </c>
      <c r="O1297" s="8" t="inlineStr">
        <is>
          <t>e.satarov</t>
        </is>
      </c>
      <c r="P1297" s="12" t="inlineStr">
        <is>
          <t>Операция есть в ETM, а акт 1С за этот (или следующий) месяц не выгружен — сначала получить акт</t>
        </is>
      </c>
      <c r="Q1297" s="8" t="inlineStr">
        <is>
          <t>57346821</t>
        </is>
      </c>
    </row>
    <row r="1298">
      <c r="A1298" s="8" t="inlineStr">
        <is>
          <t>G09132</t>
        </is>
      </c>
      <c r="B1298" s="8" t="inlineStr">
        <is>
          <t>ИССЫК ТРИП</t>
        </is>
      </c>
      <c r="C1298" s="8" t="inlineStr">
        <is>
          <t>2461882669</t>
        </is>
      </c>
      <c r="D1298" s="8" t="inlineStr">
        <is>
          <t>ETM, акт 1С за месяц не выгружен</t>
        </is>
      </c>
      <c r="E1298" s="8" t="inlineStr">
        <is>
          <t>Выгрузка 1С</t>
        </is>
      </c>
      <c r="F1298" s="8" t="inlineStr">
        <is>
          <t>B</t>
        </is>
      </c>
      <c r="G1298" s="14" t="n">
        <v>0</v>
      </c>
      <c r="H1298" s="14" t="n">
        <v>-10020</v>
      </c>
      <c r="I1298" s="14" t="n"/>
      <c r="J1298" s="14" t="n">
        <v>-10020</v>
      </c>
      <c r="K1298" s="21" t="n">
        <v>46058.50376157407</v>
      </c>
      <c r="L1298" s="21" t="n"/>
      <c r="M1298" s="8" t="inlineStr"/>
      <c r="N1298" s="8" t="inlineStr">
        <is>
          <t>Бухгалтер: выгрузить акт</t>
        </is>
      </c>
      <c r="O1298" s="8" t="inlineStr"/>
      <c r="P1298" s="12" t="inlineStr">
        <is>
          <t>Операция есть в ETM, а акт 1С за этот (или следующий) месяц не выгружен — сначала получить акт</t>
        </is>
      </c>
      <c r="Q1298" s="8" t="inlineStr">
        <is>
          <t>57074507</t>
        </is>
      </c>
    </row>
    <row r="1299">
      <c r="A1299" s="8" t="inlineStr">
        <is>
          <t>G04149</t>
        </is>
      </c>
      <c r="B1299" s="8" t="inlineStr">
        <is>
          <t>Абдылда уулу Б.</t>
        </is>
      </c>
      <c r="C1299" s="8" t="inlineStr">
        <is>
          <t>2416944105</t>
        </is>
      </c>
      <c r="D1299" s="8" t="inlineStr">
        <is>
          <t>Сумма не сходится</t>
        </is>
      </c>
      <c r="E1299" s="8" t="inlineStr">
        <is>
          <t>1С</t>
        </is>
      </c>
      <c r="F1299" s="8" t="inlineStr">
        <is>
          <t>B</t>
        </is>
      </c>
      <c r="G1299" s="14" t="n">
        <v>41783.68</v>
      </c>
      <c r="H1299" s="14" t="n">
        <v>-31783.68</v>
      </c>
      <c r="I1299" s="14" t="n"/>
      <c r="J1299" s="14" t="n">
        <v>10000</v>
      </c>
      <c r="K1299" s="21" t="n">
        <v>46186.58311342593</v>
      </c>
      <c r="L1299" s="21" t="n">
        <v>46186</v>
      </c>
      <c r="M1299" s="8" t="inlineStr">
        <is>
          <t>ONE_WRONG_DIGIT</t>
        </is>
      </c>
      <c r="N1299" s="8" t="inlineStr">
        <is>
          <t>Бухгалтер 1С</t>
        </is>
      </c>
      <c r="O1299" s="8" t="inlineStr"/>
      <c r="P1299" s="12" t="inlineStr">
        <is>
          <t>Суммы 1С (41,783.68) и ETM (31,783.68) отличаются одной цифрой — похоже на ручную опечатку при вводе акта в 1С (гипотеза, подтвердить у бухгалтера)</t>
        </is>
      </c>
      <c r="Q1299" s="8" t="inlineStr">
        <is>
          <t>57364609</t>
        </is>
      </c>
    </row>
    <row r="1300">
      <c r="A1300" s="8" t="inlineStr">
        <is>
          <t>G06281</t>
        </is>
      </c>
      <c r="B1300" s="8" t="inlineStr">
        <is>
          <t>Бирлик Трип</t>
        </is>
      </c>
      <c r="C1300" s="8" t="inlineStr">
        <is>
          <t>2461885407|2461885409|2461885411|2461885412</t>
        </is>
      </c>
      <c r="D1300" s="8" t="inlineStr">
        <is>
          <t>Сумма не сходится</t>
        </is>
      </c>
      <c r="E1300" s="8" t="inlineStr">
        <is>
          <t>1С</t>
        </is>
      </c>
      <c r="F1300" s="8" t="inlineStr">
        <is>
          <t>B</t>
        </is>
      </c>
      <c r="G1300" s="14" t="n">
        <v>59818</v>
      </c>
      <c r="H1300" s="14" t="n">
        <v>-69818</v>
      </c>
      <c r="I1300" s="14" t="n"/>
      <c r="J1300" s="14" t="n">
        <v>-10000</v>
      </c>
      <c r="K1300" s="21" t="n">
        <v>46047.41791666667</v>
      </c>
      <c r="L1300" s="21" t="n">
        <v>46047</v>
      </c>
      <c r="M1300" s="8" t="inlineStr">
        <is>
          <t>ONE_WRONG_DIGIT</t>
        </is>
      </c>
      <c r="N1300" s="8" t="inlineStr">
        <is>
          <t>Бухгалтер 1С</t>
        </is>
      </c>
      <c r="O1300" s="8" t="inlineStr"/>
      <c r="P1300" s="12" t="inlineStr">
        <is>
          <t>Суммы 1С (59,818.00) и ETM (69,818.00) отличаются одной цифрой — похоже на ручную опечатку при вводе акта в 1С (гипотеза, подтвердить у бухгалтера)</t>
        </is>
      </c>
      <c r="Q1300" s="8" t="inlineStr">
        <is>
          <t>57052690,57052744,57052723,57052656,57094053</t>
        </is>
      </c>
    </row>
    <row r="1301">
      <c r="A1301" s="8" t="inlineStr">
        <is>
          <t>G08366</t>
        </is>
      </c>
      <c r="B1301" s="8" t="inlineStr">
        <is>
          <t>ИП Муратов Э. У.</t>
        </is>
      </c>
      <c r="C1301" s="8" t="inlineStr">
        <is>
          <t>2420848446</t>
        </is>
      </c>
      <c r="D1301" s="8" t="inlineStr">
        <is>
          <t>Сумма не сходится</t>
        </is>
      </c>
      <c r="E1301" s="8" t="inlineStr">
        <is>
          <t>1С</t>
        </is>
      </c>
      <c r="F1301" s="8" t="inlineStr">
        <is>
          <t>B</t>
        </is>
      </c>
      <c r="G1301" s="14" t="n">
        <v>30787.95</v>
      </c>
      <c r="H1301" s="14" t="n">
        <v>-20787.95</v>
      </c>
      <c r="I1301" s="14" t="n"/>
      <c r="J1301" s="14" t="n">
        <v>10000</v>
      </c>
      <c r="K1301" s="21" t="n">
        <v>46133.55813657407</v>
      </c>
      <c r="L1301" s="21" t="n">
        <v>46133</v>
      </c>
      <c r="M1301" s="8" t="inlineStr">
        <is>
          <t>ONE_WRONG_DIGIT</t>
        </is>
      </c>
      <c r="N1301" s="8" t="inlineStr">
        <is>
          <t>Бухгалтер 1С</t>
        </is>
      </c>
      <c r="O1301" s="8" t="inlineStr"/>
      <c r="P1301" s="12" t="inlineStr">
        <is>
          <t>Суммы 1С (30,787.95) и ETM (20,787.95) отличаются одной цифрой — похоже на ручную опечатку при вводе акта в 1С (гипотеза, подтвердить у бухгалтера)</t>
        </is>
      </c>
      <c r="Q1301" s="8" t="inlineStr">
        <is>
          <t>57220950</t>
        </is>
      </c>
    </row>
    <row r="1302">
      <c r="A1302" s="8" t="inlineStr">
        <is>
          <t>G09396</t>
        </is>
      </c>
      <c r="B1302" s="8" t="inlineStr">
        <is>
          <t>Иссык Вояж</t>
        </is>
      </c>
      <c r="C1302" s="8" t="inlineStr">
        <is>
          <t>2459528001</t>
        </is>
      </c>
      <c r="D1302" s="8" t="inlineStr">
        <is>
          <t>Сумма не сходится</t>
        </is>
      </c>
      <c r="E1302" s="8" t="inlineStr">
        <is>
          <t>1С</t>
        </is>
      </c>
      <c r="F1302" s="8" t="inlineStr">
        <is>
          <t>B</t>
        </is>
      </c>
      <c r="G1302" s="14" t="n">
        <v>34495</v>
      </c>
      <c r="H1302" s="14" t="n">
        <v>-24495</v>
      </c>
      <c r="I1302" s="14" t="n"/>
      <c r="J1302" s="14" t="n">
        <v>10000</v>
      </c>
      <c r="K1302" s="21" t="n">
        <v>46216.53936342592</v>
      </c>
      <c r="L1302" s="21" t="n">
        <v>46216</v>
      </c>
      <c r="M1302" s="8" t="inlineStr">
        <is>
          <t>ONE_WRONG_DIGIT</t>
        </is>
      </c>
      <c r="N1302" s="8" t="inlineStr">
        <is>
          <t>Бухгалтер 1С</t>
        </is>
      </c>
      <c r="O1302" s="8" t="inlineStr"/>
      <c r="P1302" s="12" t="inlineStr">
        <is>
          <t>Суммы 1С (34,495.00) и ETM (24,495.00) отличаются одной цифрой — похоже на ручную опечатку при вводе акта в 1С (гипотеза, подтвердить у бухгалтера)</t>
        </is>
      </c>
      <c r="Q1302" s="8" t="inlineStr">
        <is>
          <t>57455132</t>
        </is>
      </c>
    </row>
    <row r="1303">
      <c r="A1303" s="8" t="inlineStr">
        <is>
          <t>G11471</t>
        </is>
      </c>
      <c r="B1303" s="8" t="inlineStr">
        <is>
          <t>ОсОО Иссык Тур</t>
        </is>
      </c>
      <c r="C1303" s="8" t="inlineStr">
        <is>
          <t>2559103511|2559103512</t>
        </is>
      </c>
      <c r="D1303" s="8" t="inlineStr">
        <is>
          <t>Сумма не сходится</t>
        </is>
      </c>
      <c r="E1303" s="8" t="inlineStr">
        <is>
          <t>1С</t>
        </is>
      </c>
      <c r="F1303" s="8" t="inlineStr">
        <is>
          <t>B</t>
        </is>
      </c>
      <c r="G1303" s="14" t="n">
        <v>94371.03999999999</v>
      </c>
      <c r="H1303" s="14" t="n">
        <v>-84371.03999999999</v>
      </c>
      <c r="I1303" s="14" t="n"/>
      <c r="J1303" s="14" t="n">
        <v>10000</v>
      </c>
      <c r="K1303" s="21" t="n">
        <v>46207.45253472222</v>
      </c>
      <c r="L1303" s="21" t="n">
        <v>46207</v>
      </c>
      <c r="M1303" s="8" t="inlineStr">
        <is>
          <t>ONE_WRONG_DIGIT</t>
        </is>
      </c>
      <c r="N1303" s="8" t="inlineStr">
        <is>
          <t>Бухгалтер 1С</t>
        </is>
      </c>
      <c r="O1303" s="8" t="inlineStr"/>
      <c r="P1303" s="12" t="inlineStr">
        <is>
          <t>Суммы 1С (94,371.04) и ETM (84,371.04) отличаются одной цифрой — похоже на ручную опечатку при вводе акта в 1С (гипотеза, подтвердить у бухгалтера)</t>
        </is>
      </c>
      <c r="Q1303" s="8" t="inlineStr">
        <is>
          <t>57429908</t>
        </is>
      </c>
    </row>
    <row r="1304">
      <c r="A1304" s="8" t="inlineStr">
        <is>
          <t>G14601</t>
        </is>
      </c>
      <c r="B1304" s="8" t="inlineStr">
        <is>
          <t>Чынарова Бурул Джолдошовна</t>
        </is>
      </c>
      <c r="C1304" s="8" t="inlineStr">
        <is>
          <t>2459527343</t>
        </is>
      </c>
      <c r="D1304" s="8" t="inlineStr">
        <is>
          <t>Сумма не сходится</t>
        </is>
      </c>
      <c r="E1304" s="8" t="inlineStr">
        <is>
          <t>1С</t>
        </is>
      </c>
      <c r="F1304" s="8" t="inlineStr">
        <is>
          <t>B</t>
        </is>
      </c>
      <c r="G1304" s="14" t="n">
        <v>43474</v>
      </c>
      <c r="H1304" s="14" t="n">
        <v>-33474</v>
      </c>
      <c r="I1304" s="14" t="n"/>
      <c r="J1304" s="14" t="n">
        <v>10000</v>
      </c>
      <c r="K1304" s="21" t="n">
        <v>46107.41226851852</v>
      </c>
      <c r="L1304" s="21" t="n">
        <v>46107</v>
      </c>
      <c r="M1304" s="8" t="inlineStr">
        <is>
          <t>ONE_WRONG_DIGIT</t>
        </is>
      </c>
      <c r="N1304" s="8" t="inlineStr">
        <is>
          <t>Бухгалтер 1С</t>
        </is>
      </c>
      <c r="O1304" s="8" t="inlineStr"/>
      <c r="P1304" s="12" t="inlineStr">
        <is>
          <t>Суммы 1С (43,474.00) и ETM (33,474.00) отличаются одной цифрой — похоже на ручную опечатку при вводе акта в 1С (гипотеза, подтвердить у бухгалтера)</t>
        </is>
      </c>
      <c r="Q1304" s="8" t="inlineStr">
        <is>
          <t>57172140</t>
        </is>
      </c>
    </row>
    <row r="1305">
      <c r="A1305" s="8" t="inlineStr">
        <is>
          <t>G09314</t>
        </is>
      </c>
      <c r="B1305" s="8" t="inlineStr">
        <is>
          <t>ИССЫК ТРИП</t>
        </is>
      </c>
      <c r="C1305" s="8" t="inlineStr">
        <is>
          <t>2552672342</t>
        </is>
      </c>
      <c r="D1305" s="8" t="inlineStr">
        <is>
          <t>Сумма не сходится</t>
        </is>
      </c>
      <c r="E1305" s="8" t="inlineStr">
        <is>
          <t>1С</t>
        </is>
      </c>
      <c r="F1305" s="8" t="inlineStr">
        <is>
          <t>B</t>
        </is>
      </c>
      <c r="G1305" s="14" t="n">
        <v>16279.42</v>
      </c>
      <c r="H1305" s="14" t="n">
        <v>-26279.42</v>
      </c>
      <c r="I1305" s="14" t="n"/>
      <c r="J1305" s="14" t="n">
        <v>-9999.999999999998</v>
      </c>
      <c r="K1305" s="21" t="n">
        <v>46177.63733796297</v>
      </c>
      <c r="L1305" s="21" t="n">
        <v>46177</v>
      </c>
      <c r="M1305" s="8" t="inlineStr">
        <is>
          <t>ONE_WRONG_DIGIT</t>
        </is>
      </c>
      <c r="N1305" s="8" t="inlineStr">
        <is>
          <t>Бухгалтер 1С</t>
        </is>
      </c>
      <c r="O1305" s="8" t="inlineStr"/>
      <c r="P1305" s="12" t="inlineStr">
        <is>
          <t>Суммы 1С (16,279.42) и ETM (26,279.42) отличаются одной цифрой — похоже на ручную опечатку при вводе акта в 1С (гипотеза, подтвердить у бухгалтера)</t>
        </is>
      </c>
      <c r="Q1305" s="8" t="inlineStr">
        <is>
          <t>57341626</t>
        </is>
      </c>
    </row>
    <row r="1306">
      <c r="A1306" s="8" t="inlineStr">
        <is>
          <t>G07315</t>
        </is>
      </c>
      <c r="B1306" s="8" t="inlineStr">
        <is>
          <t>Жибек Эйр</t>
        </is>
      </c>
      <c r="C1306" s="8" t="inlineStr">
        <is>
          <t>2461884223</t>
        </is>
      </c>
      <c r="D1306" s="8" t="inlineStr">
        <is>
          <t>ETM, акт 1С за месяц не выгружен</t>
        </is>
      </c>
      <c r="E1306" s="8" t="inlineStr">
        <is>
          <t>Выгрузка 1С</t>
        </is>
      </c>
      <c r="F1306" s="8" t="inlineStr">
        <is>
          <t>B</t>
        </is>
      </c>
      <c r="G1306" s="14" t="n">
        <v>0</v>
      </c>
      <c r="H1306" s="14" t="n">
        <v>-9949</v>
      </c>
      <c r="I1306" s="14" t="n"/>
      <c r="J1306" s="14" t="n">
        <v>-9949</v>
      </c>
      <c r="K1306" s="21" t="n">
        <v>46157.59689814815</v>
      </c>
      <c r="L1306" s="21" t="n"/>
      <c r="M1306" s="8" t="inlineStr"/>
      <c r="N1306" s="8" t="inlineStr">
        <is>
          <t>Бухгалтер: выгрузить акт</t>
        </is>
      </c>
      <c r="O1306" s="8" t="inlineStr"/>
      <c r="P1306" s="12" t="inlineStr">
        <is>
          <t>Операция есть в ETM, а акт 1С за этот (или следующий) месяц не выгружен — сначала получить акт</t>
        </is>
      </c>
      <c r="Q1306" s="8" t="inlineStr">
        <is>
          <t>57287013</t>
        </is>
      </c>
    </row>
    <row r="1307">
      <c r="A1307" s="8" t="inlineStr">
        <is>
          <t>G07316</t>
        </is>
      </c>
      <c r="B1307" s="8" t="inlineStr">
        <is>
          <t>Жибек Эйр</t>
        </is>
      </c>
      <c r="C1307" s="8" t="inlineStr">
        <is>
          <t>2461884226</t>
        </is>
      </c>
      <c r="D1307" s="8" t="inlineStr">
        <is>
          <t>ETM, акт 1С за месяц не выгружен</t>
        </is>
      </c>
      <c r="E1307" s="8" t="inlineStr">
        <is>
          <t>Выгрузка 1С</t>
        </is>
      </c>
      <c r="F1307" s="8" t="inlineStr">
        <is>
          <t>B</t>
        </is>
      </c>
      <c r="G1307" s="14" t="n">
        <v>0</v>
      </c>
      <c r="H1307" s="14" t="n">
        <v>-9949</v>
      </c>
      <c r="I1307" s="14" t="n"/>
      <c r="J1307" s="14" t="n">
        <v>-9949</v>
      </c>
      <c r="K1307" s="21" t="n">
        <v>46157.58528935185</v>
      </c>
      <c r="L1307" s="21" t="n"/>
      <c r="M1307" s="8" t="inlineStr"/>
      <c r="N1307" s="8" t="inlineStr">
        <is>
          <t>Бухгалтер: выгрузить акт</t>
        </is>
      </c>
      <c r="O1307" s="8" t="inlineStr"/>
      <c r="P1307" s="12" t="inlineStr">
        <is>
          <t>Операция есть в ETM, а акт 1С за этот (или следующий) месяц не выгружен — сначала получить акт</t>
        </is>
      </c>
      <c r="Q1307" s="8" t="inlineStr">
        <is>
          <t>57287046</t>
        </is>
      </c>
    </row>
    <row r="1308">
      <c r="A1308" s="8" t="inlineStr">
        <is>
          <t>G09104</t>
        </is>
      </c>
      <c r="B1308" s="8" t="inlineStr">
        <is>
          <t>ИССЫК ТРИП</t>
        </is>
      </c>
      <c r="C1308" s="8" t="inlineStr">
        <is>
          <t>2460737697</t>
        </is>
      </c>
      <c r="D1308" s="8" t="inlineStr">
        <is>
          <t>ETM, акт 1С за месяц не выгружен</t>
        </is>
      </c>
      <c r="E1308" s="8" t="inlineStr">
        <is>
          <t>Выгрузка 1С</t>
        </is>
      </c>
      <c r="F1308" s="8" t="inlineStr">
        <is>
          <t>B</t>
        </is>
      </c>
      <c r="G1308" s="14" t="n">
        <v>0</v>
      </c>
      <c r="H1308" s="14" t="n">
        <v>-9945</v>
      </c>
      <c r="I1308" s="14" t="n">
        <v>9945</v>
      </c>
      <c r="J1308" s="14" t="n">
        <v>-9945</v>
      </c>
      <c r="K1308" s="21" t="n">
        <v>46055.6812037037</v>
      </c>
      <c r="L1308" s="21" t="n"/>
      <c r="M1308" s="8" t="inlineStr"/>
      <c r="N1308" s="8" t="inlineStr">
        <is>
          <t>Бухгалтер: выгрузить акт</t>
        </is>
      </c>
      <c r="O1308" s="8" t="inlineStr">
        <is>
          <t>k.dzhumaev</t>
        </is>
      </c>
      <c r="P1308" s="12" t="inlineStr">
        <is>
          <t>Операция есть в ETM, а акт 1С за этот (или следующий) месяц не выгружен — сначала получить акт</t>
        </is>
      </c>
      <c r="Q1308" s="8" t="inlineStr">
        <is>
          <t>57069474</t>
        </is>
      </c>
    </row>
    <row r="1309">
      <c r="A1309" s="8" t="inlineStr">
        <is>
          <t>G07496</t>
        </is>
      </c>
      <c r="B1309" s="8" t="inlineStr">
        <is>
          <t>Жолчу кызы А.</t>
        </is>
      </c>
      <c r="C1309" s="8" t="inlineStr">
        <is>
          <t>2459532213</t>
        </is>
      </c>
      <c r="D1309" s="8" t="inlineStr">
        <is>
          <t>ETM, акт 1С за месяц не выгружен</t>
        </is>
      </c>
      <c r="E1309" s="8" t="inlineStr">
        <is>
          <t>Выгрузка 1С</t>
        </is>
      </c>
      <c r="F1309" s="8" t="inlineStr">
        <is>
          <t>B</t>
        </is>
      </c>
      <c r="G1309" s="14" t="n">
        <v>0</v>
      </c>
      <c r="H1309" s="14" t="n">
        <v>-9898</v>
      </c>
      <c r="I1309" s="14" t="n"/>
      <c r="J1309" s="14" t="n">
        <v>-9898</v>
      </c>
      <c r="K1309" s="21" t="n">
        <v>46177.53762731481</v>
      </c>
      <c r="L1309" s="21" t="n"/>
      <c r="M1309" s="8" t="inlineStr"/>
      <c r="N1309" s="8" t="inlineStr">
        <is>
          <t>Бухгалтер: выгрузить акт</t>
        </is>
      </c>
      <c r="O1309" s="8" t="inlineStr"/>
      <c r="P1309" s="12" t="inlineStr">
        <is>
          <t>Операция есть в ETM, а акт 1С за этот (или следующий) месяц не выгружен — сначала получить акт</t>
        </is>
      </c>
      <c r="Q1309" s="8" t="inlineStr">
        <is>
          <t>57341767</t>
        </is>
      </c>
    </row>
    <row r="1310">
      <c r="A1310" s="8" t="inlineStr">
        <is>
          <t>G03487</t>
        </is>
      </c>
      <c r="B1310" s="8" t="inlineStr">
        <is>
          <t>SkyWay Travel</t>
        </is>
      </c>
      <c r="C1310" s="8" t="inlineStr">
        <is>
          <t>2552670552|2552670554</t>
        </is>
      </c>
      <c r="D1310" s="8" t="inlineStr">
        <is>
          <t>Сумма не сходится</t>
        </is>
      </c>
      <c r="E1310" s="8" t="inlineStr">
        <is>
          <t>1С</t>
        </is>
      </c>
      <c r="F1310" s="8" t="inlineStr">
        <is>
          <t>B</t>
        </is>
      </c>
      <c r="G1310" s="14" t="n">
        <v>78838.28</v>
      </c>
      <c r="H1310" s="14" t="n">
        <v>-87838.28</v>
      </c>
      <c r="I1310" s="14" t="n"/>
      <c r="J1310" s="14" t="n">
        <v>-9000</v>
      </c>
      <c r="K1310" s="21" t="n">
        <v>46168.69252314815</v>
      </c>
      <c r="L1310" s="21" t="n">
        <v>46168</v>
      </c>
      <c r="M1310" s="8" t="inlineStr">
        <is>
          <t>TRANSPOSITION</t>
        </is>
      </c>
      <c r="N1310" s="8" t="inlineStr">
        <is>
          <t>Бухгалтер 1С</t>
        </is>
      </c>
      <c r="O1310" s="8" t="inlineStr"/>
      <c r="P1310" s="12" t="inlineStr">
        <is>
          <t>Суммы 1С (78,838.28) и ETM (87,838.28) отличаются перестановкой — похоже на ручную опечатку при вводе акта в 1С (гипотеза, подтвердить у бухгалтера)</t>
        </is>
      </c>
      <c r="Q1310" s="8" t="inlineStr">
        <is>
          <t>57318553,57318523</t>
        </is>
      </c>
    </row>
    <row r="1311">
      <c r="A1311" s="8" t="inlineStr">
        <is>
          <t>G14799</t>
        </is>
      </c>
      <c r="B1311" s="8" t="inlineStr">
        <is>
          <t>ЫЙЫК ЭКСПРЕСС</t>
        </is>
      </c>
      <c r="C1311" s="8" t="inlineStr">
        <is>
          <t>2476314147|2476314150</t>
        </is>
      </c>
      <c r="D1311" s="8" t="inlineStr">
        <is>
          <t>Сумма не сходится</t>
        </is>
      </c>
      <c r="E1311" s="8" t="inlineStr">
        <is>
          <t>1С</t>
        </is>
      </c>
      <c r="F1311" s="8" t="inlineStr">
        <is>
          <t>B</t>
        </is>
      </c>
      <c r="G1311" s="14" t="n">
        <v>56262</v>
      </c>
      <c r="H1311" s="14" t="n">
        <v>-65262</v>
      </c>
      <c r="I1311" s="14" t="n"/>
      <c r="J1311" s="14" t="n">
        <v>-9000</v>
      </c>
      <c r="K1311" s="21" t="n">
        <v>46031.58248842593</v>
      </c>
      <c r="L1311" s="21" t="n">
        <v>46031</v>
      </c>
      <c r="M1311" s="8" t="inlineStr">
        <is>
          <t>TRANSPOSITION</t>
        </is>
      </c>
      <c r="N1311" s="8" t="inlineStr">
        <is>
          <t>Бухгалтер 1С</t>
        </is>
      </c>
      <c r="O1311" s="8" t="inlineStr"/>
      <c r="P1311" s="12" t="inlineStr">
        <is>
          <t>Суммы 1С (56,262.00) и ETM (65,262.00) отличаются перестановкой — похоже на ручную опечатку при вводе акта в 1С (гипотеза, подтвердить у бухгалтера)</t>
        </is>
      </c>
      <c r="Q1311" s="8" t="inlineStr">
        <is>
          <t>57015713,57015690</t>
        </is>
      </c>
    </row>
    <row r="1312">
      <c r="A1312" s="8" t="inlineStr">
        <is>
          <t>G14459</t>
        </is>
      </c>
      <c r="B1312" s="8" t="inlineStr">
        <is>
          <t>Чолпон Тревел</t>
        </is>
      </c>
      <c r="C1312" s="8" t="inlineStr">
        <is>
          <t>2416944176</t>
        </is>
      </c>
      <c r="D1312" s="8" t="inlineStr">
        <is>
          <t>ETM, акт 1С за месяц не выгружен</t>
        </is>
      </c>
      <c r="E1312" s="8" t="inlineStr">
        <is>
          <t>Выгрузка 1С</t>
        </is>
      </c>
      <c r="F1312" s="8" t="inlineStr">
        <is>
          <t>B</t>
        </is>
      </c>
      <c r="G1312" s="14" t="n">
        <v>0</v>
      </c>
      <c r="H1312" s="14" t="n">
        <v>-8229.18</v>
      </c>
      <c r="I1312" s="14" t="n">
        <v>8229.175000000003</v>
      </c>
      <c r="J1312" s="14" t="n">
        <v>-8229.18</v>
      </c>
      <c r="K1312" s="21" t="n">
        <v>46140.45496527778</v>
      </c>
      <c r="L1312" s="21" t="n"/>
      <c r="M1312" s="8" t="inlineStr"/>
      <c r="N1312" s="8" t="inlineStr">
        <is>
          <t>Бухгалтер: выгрузить акт</t>
        </is>
      </c>
      <c r="O1312" s="8" t="inlineStr">
        <is>
          <t>e.satarov|n.abdyldaeva</t>
        </is>
      </c>
      <c r="P1312" s="12" t="inlineStr">
        <is>
          <t>Операция есть в ETM, а акт 1С за этот (или следующий) месяц не выгружен — сначала получить акт</t>
        </is>
      </c>
      <c r="Q1312" s="8" t="inlineStr">
        <is>
          <t>57234896,57271220</t>
        </is>
      </c>
    </row>
    <row r="1313">
      <c r="A1313" s="8" t="inlineStr">
        <is>
          <t>G13624</t>
        </is>
      </c>
      <c r="B1313" s="8" t="inlineStr">
        <is>
          <t>ТАЛАС ВОЯЖ</t>
        </is>
      </c>
      <c r="C1313" s="8" t="inlineStr">
        <is>
          <t>2461882142</t>
        </is>
      </c>
      <c r="D1313" s="8" t="inlineStr">
        <is>
          <t>Сумма не сходится</t>
        </is>
      </c>
      <c r="E1313" s="8" t="inlineStr">
        <is>
          <t>1С</t>
        </is>
      </c>
      <c r="F1313" s="8" t="inlineStr">
        <is>
          <t>B</t>
        </is>
      </c>
      <c r="G1313" s="14" t="n">
        <v>19035</v>
      </c>
      <c r="H1313" s="14" t="n">
        <v>-10935</v>
      </c>
      <c r="I1313" s="14" t="n"/>
      <c r="J1313" s="14" t="n">
        <v>8100</v>
      </c>
      <c r="K1313" s="21" t="n">
        <v>46159.64313657407</v>
      </c>
      <c r="L1313" s="21" t="n">
        <v>46159</v>
      </c>
      <c r="M1313" s="8" t="inlineStr">
        <is>
          <t>TRANSPOSITION</t>
        </is>
      </c>
      <c r="N1313" s="8" t="inlineStr">
        <is>
          <t>Бухгалтер 1С</t>
        </is>
      </c>
      <c r="O1313" s="8" t="inlineStr"/>
      <c r="P1313" s="12" t="inlineStr">
        <is>
          <t>Суммы 1С (19,035.00) и ETM (10,935.00) отличаются перестановкой — похоже на ручную опечатку при вводе акта в 1С (гипотеза, подтвердить у бухгалтера)</t>
        </is>
      </c>
      <c r="Q1313" s="8" t="inlineStr">
        <is>
          <t>57292553</t>
        </is>
      </c>
    </row>
    <row r="1314">
      <c r="A1314" s="8" t="inlineStr">
        <is>
          <t>G14467</t>
        </is>
      </c>
      <c r="B1314" s="8" t="inlineStr">
        <is>
          <t>Чолпон Тревел</t>
        </is>
      </c>
      <c r="C1314" s="8" t="inlineStr">
        <is>
          <t>2420846061</t>
        </is>
      </c>
      <c r="D1314" s="8" t="inlineStr">
        <is>
          <t>ETM, акт 1С за месяц не выгружен</t>
        </is>
      </c>
      <c r="E1314" s="8" t="inlineStr">
        <is>
          <t>Выгрузка 1С</t>
        </is>
      </c>
      <c r="F1314" s="8" t="inlineStr">
        <is>
          <t>B</t>
        </is>
      </c>
      <c r="G1314" s="14" t="n">
        <v>0</v>
      </c>
      <c r="H1314" s="14" t="n">
        <v>-7239.990000000002</v>
      </c>
      <c r="I1314" s="14" t="n">
        <v>7239.986700000001</v>
      </c>
      <c r="J1314" s="14" t="n">
        <v>-7239.990000000002</v>
      </c>
      <c r="K1314" s="21" t="n">
        <v>46160.66814814815</v>
      </c>
      <c r="L1314" s="21" t="n"/>
      <c r="M1314" s="8" t="inlineStr"/>
      <c r="N1314" s="8" t="inlineStr">
        <is>
          <t>Бухгалтер: выгрузить акт</t>
        </is>
      </c>
      <c r="O1314" s="8" t="inlineStr">
        <is>
          <t>b.isakov|n.abdyldaeva</t>
        </is>
      </c>
      <c r="P1314" s="12" t="inlineStr">
        <is>
          <t>Операция есть в ETM, а акт 1С за этот (или следующий) месяц не выгружен — сначала получить акт</t>
        </is>
      </c>
      <c r="Q1314" s="8" t="inlineStr">
        <is>
          <t>57295781,57312202</t>
        </is>
      </c>
    </row>
    <row r="1315">
      <c r="A1315" s="8" t="inlineStr">
        <is>
          <t>G14527</t>
        </is>
      </c>
      <c r="B1315" s="8" t="inlineStr">
        <is>
          <t>Чынар уулу Эмир</t>
        </is>
      </c>
      <c r="C1315" s="8" t="inlineStr">
        <is>
          <t>2459527135</t>
        </is>
      </c>
      <c r="D1315" s="8" t="inlineStr">
        <is>
          <t>ETM, акт 1С за месяц не выгружен</t>
        </is>
      </c>
      <c r="E1315" s="8" t="inlineStr">
        <is>
          <t>Выгрузка 1С</t>
        </is>
      </c>
      <c r="F1315" s="8" t="inlineStr">
        <is>
          <t>B</t>
        </is>
      </c>
      <c r="G1315" s="14" t="n">
        <v>0</v>
      </c>
      <c r="H1315" s="14" t="n">
        <v>-6476.25</v>
      </c>
      <c r="I1315" s="14" t="n">
        <v>6476.25</v>
      </c>
      <c r="J1315" s="14" t="n">
        <v>-6476.25</v>
      </c>
      <c r="K1315" s="21" t="n">
        <v>46080.81297453704</v>
      </c>
      <c r="L1315" s="21" t="n"/>
      <c r="M1315" s="8" t="inlineStr"/>
      <c r="N1315" s="8" t="inlineStr">
        <is>
          <t>Бухгалтер: выгрузить акт</t>
        </is>
      </c>
      <c r="O1315" s="8" t="inlineStr">
        <is>
          <t>n.abdyldaeva|r.sydykov</t>
        </is>
      </c>
      <c r="P1315" s="12" t="inlineStr">
        <is>
          <t>Операция есть в ETM, а акт 1С за этот (или следующий) месяц не выгружен — сначала получить акт</t>
        </is>
      </c>
      <c r="Q1315" s="8" t="inlineStr">
        <is>
          <t>57111893,57119515</t>
        </is>
      </c>
    </row>
    <row r="1316">
      <c r="A1316" s="8" t="inlineStr">
        <is>
          <t>G01089</t>
        </is>
      </c>
      <c r="B1316" s="8" t="inlineStr">
        <is>
          <t>Karakol Express</t>
        </is>
      </c>
      <c r="C1316" s="8" t="inlineStr">
        <is>
          <t>2416943197|2416943199|2416943200</t>
        </is>
      </c>
      <c r="D1316" s="8" t="inlineStr">
        <is>
          <t>Сумма не сходится</t>
        </is>
      </c>
      <c r="E1316" s="8" t="inlineStr">
        <is>
          <t>1С</t>
        </is>
      </c>
      <c r="F1316" s="8" t="inlineStr">
        <is>
          <t>B</t>
        </is>
      </c>
      <c r="G1316" s="14" t="n">
        <v>136086.15</v>
      </c>
      <c r="H1316" s="14" t="n">
        <v>-130686.15</v>
      </c>
      <c r="I1316" s="14" t="n"/>
      <c r="J1316" s="14" t="n">
        <v>5399.999999999985</v>
      </c>
      <c r="K1316" s="21" t="n">
        <v>46144.47925925926</v>
      </c>
      <c r="L1316" s="21" t="n">
        <v>46144</v>
      </c>
      <c r="M1316" s="8" t="inlineStr">
        <is>
          <t>TRANSPOSITION</t>
        </is>
      </c>
      <c r="N1316" s="8" t="inlineStr">
        <is>
          <t>Бухгалтер 1С</t>
        </is>
      </c>
      <c r="O1316" s="8" t="inlineStr"/>
      <c r="P1316" s="12" t="inlineStr">
        <is>
          <t>Суммы 1С (136,086.15) и ETM (130,686.15) отличаются перестановкой — похоже на ручную опечатку при вводе акта в 1С (гипотеза, подтвердить у бухгалтера)</t>
        </is>
      </c>
      <c r="Q1316" s="8" t="inlineStr">
        <is>
          <t>57245305,57245261,57245301</t>
        </is>
      </c>
    </row>
    <row r="1317">
      <c r="A1317" s="8" t="inlineStr">
        <is>
          <t>G13333</t>
        </is>
      </c>
      <c r="B1317" s="8" t="inlineStr">
        <is>
          <t>Сатар уулу Санжар</t>
        </is>
      </c>
      <c r="C1317" s="8" t="inlineStr">
        <is>
          <t>2559099695</t>
        </is>
      </c>
      <c r="D1317" s="8" t="inlineStr">
        <is>
          <t>ETM, акт 1С за месяц не выгружен</t>
        </is>
      </c>
      <c r="E1317" s="8" t="inlineStr">
        <is>
          <t>Выгрузка 1С</t>
        </is>
      </c>
      <c r="F1317" s="8" t="inlineStr">
        <is>
          <t>B</t>
        </is>
      </c>
      <c r="G1317" s="14" t="n">
        <v>0</v>
      </c>
      <c r="H1317" s="14" t="n">
        <v>-5392.559999999998</v>
      </c>
      <c r="I1317" s="14" t="n">
        <v>5392.559999999998</v>
      </c>
      <c r="J1317" s="14" t="n">
        <v>-5392.559999999998</v>
      </c>
      <c r="K1317" s="21" t="n">
        <v>46121.48695601852</v>
      </c>
      <c r="L1317" s="21" t="n"/>
      <c r="M1317" s="8" t="inlineStr"/>
      <c r="N1317" s="8" t="inlineStr">
        <is>
          <t>Бухгалтер: выгрузить акт</t>
        </is>
      </c>
      <c r="O1317" s="8" t="inlineStr">
        <is>
          <t>b.isakov|e.satarov</t>
        </is>
      </c>
      <c r="P1317" s="12" t="inlineStr">
        <is>
          <t>Операция есть в ETM, а акт 1С за этот (или следующий) месяц не выгружен — сначала получить акт</t>
        </is>
      </c>
      <c r="Q1317" s="8" t="inlineStr">
        <is>
          <t>57198304,57218983</t>
        </is>
      </c>
    </row>
    <row r="1318">
      <c r="A1318" s="8" t="inlineStr">
        <is>
          <t>G13681</t>
        </is>
      </c>
      <c r="B1318" s="8" t="inlineStr">
        <is>
          <t>ТАЛАС ЛАЙН</t>
        </is>
      </c>
      <c r="C1318" s="8" t="inlineStr">
        <is>
          <t>2420846948</t>
        </is>
      </c>
      <c r="D1318" s="8" t="inlineStr">
        <is>
          <t>Сумма не сходится</t>
        </is>
      </c>
      <c r="E1318" s="8" t="inlineStr">
        <is>
          <t>1С</t>
        </is>
      </c>
      <c r="F1318" s="8" t="inlineStr">
        <is>
          <t>B</t>
        </is>
      </c>
      <c r="G1318" s="14" t="n">
        <v>12777.44</v>
      </c>
      <c r="H1318" s="14" t="n">
        <v>-17277.44</v>
      </c>
      <c r="I1318" s="14" t="n"/>
      <c r="J1318" s="14" t="n">
        <v>-4499.999999999998</v>
      </c>
      <c r="K1318" s="21" t="n">
        <v>46179.54101851852</v>
      </c>
      <c r="L1318" s="21" t="n">
        <v>46179</v>
      </c>
      <c r="M1318" s="8" t="inlineStr">
        <is>
          <t>TRANSPOSITION</t>
        </is>
      </c>
      <c r="N1318" s="8" t="inlineStr">
        <is>
          <t>Бухгалтер 1С</t>
        </is>
      </c>
      <c r="O1318" s="8" t="inlineStr"/>
      <c r="P1318" s="12" t="inlineStr">
        <is>
          <t>Суммы 1С (12,777.44) и ETM (17,277.44) отличаются перестановкой — похоже на ручную опечатку при вводе акта в 1С (гипотеза, подтвердить у бухгалтера)</t>
        </is>
      </c>
      <c r="Q1318" s="8" t="inlineStr">
        <is>
          <t>57347112</t>
        </is>
      </c>
    </row>
    <row r="1319">
      <c r="A1319" s="8" t="inlineStr">
        <is>
          <t>G13167</t>
        </is>
      </c>
      <c r="B1319" s="8" t="inlineStr">
        <is>
          <t>Сатар уулу Санжар</t>
        </is>
      </c>
      <c r="C1319" s="8" t="inlineStr">
        <is>
          <t>2461885234</t>
        </is>
      </c>
      <c r="D1319" s="8" t="inlineStr">
        <is>
          <t>ETM, акт 1С за месяц не выгружен</t>
        </is>
      </c>
      <c r="E1319" s="8" t="inlineStr">
        <is>
          <t>Выгрузка 1С</t>
        </is>
      </c>
      <c r="F1319" s="8" t="inlineStr">
        <is>
          <t>B</t>
        </is>
      </c>
      <c r="G1319" s="14" t="n">
        <v>0</v>
      </c>
      <c r="H1319" s="14" t="n">
        <v>-3289.75</v>
      </c>
      <c r="I1319" s="14" t="n">
        <v>3289.75</v>
      </c>
      <c r="J1319" s="14" t="n">
        <v>-3289.75</v>
      </c>
      <c r="K1319" s="21" t="n">
        <v>46129.72592592592</v>
      </c>
      <c r="L1319" s="21" t="n"/>
      <c r="M1319" s="8" t="inlineStr"/>
      <c r="N1319" s="8" t="inlineStr">
        <is>
          <t>Бухгалтер: выгрузить акт</t>
        </is>
      </c>
      <c r="O1319" s="8" t="inlineStr">
        <is>
          <t>e.satarov|g.omurbekova</t>
        </is>
      </c>
      <c r="P1319" s="12" t="inlineStr">
        <is>
          <t>Операция есть в ETM, а акт 1С за этот (или следующий) месяц не выгружен — сначала получить акт</t>
        </is>
      </c>
      <c r="Q1319" s="8" t="inlineStr">
        <is>
          <t>57213149,57365916</t>
        </is>
      </c>
    </row>
    <row r="1320">
      <c r="A1320" s="8" t="inlineStr">
        <is>
          <t>G07240</t>
        </is>
      </c>
      <c r="B1320" s="8" t="inlineStr">
        <is>
          <t>Жибек Эйр</t>
        </is>
      </c>
      <c r="C1320" s="8" t="inlineStr">
        <is>
          <t>2459530859</t>
        </is>
      </c>
      <c r="D1320" s="8" t="inlineStr">
        <is>
          <t>ETM, акт 1С за месяц не выгружен</t>
        </is>
      </c>
      <c r="E1320" s="8" t="inlineStr">
        <is>
          <t>Выгрузка 1С</t>
        </is>
      </c>
      <c r="F1320" s="8" t="inlineStr">
        <is>
          <t>B</t>
        </is>
      </c>
      <c r="G1320" s="14" t="n">
        <v>0</v>
      </c>
      <c r="H1320" s="14" t="n">
        <v>-2927.400000000001</v>
      </c>
      <c r="I1320" s="14" t="n"/>
      <c r="J1320" s="14" t="n">
        <v>-2927.400000000001</v>
      </c>
      <c r="K1320" s="21" t="n">
        <v>46129.63575231482</v>
      </c>
      <c r="L1320" s="21" t="n"/>
      <c r="M1320" s="8" t="inlineStr"/>
      <c r="N1320" s="8" t="inlineStr">
        <is>
          <t>Бухгалтер: выгрузить акт</t>
        </is>
      </c>
      <c r="O1320" s="8" t="inlineStr"/>
      <c r="P1320" s="12" t="inlineStr">
        <is>
          <t>Операция есть в ETM, а акт 1С за этот (или следующий) месяц не выгружен — сначала получить акт</t>
        </is>
      </c>
      <c r="Q1320" s="8" t="inlineStr">
        <is>
          <t>57213142,57219017</t>
        </is>
      </c>
    </row>
    <row r="1321">
      <c r="A1321" s="8" t="inlineStr">
        <is>
          <t>G12973</t>
        </is>
      </c>
      <c r="B1321" s="8" t="inlineStr">
        <is>
          <t>Сатар уулу Санжар</t>
        </is>
      </c>
      <c r="C1321" s="8" t="inlineStr">
        <is>
          <t>2420846991</t>
        </is>
      </c>
      <c r="D1321" s="8" t="inlineStr">
        <is>
          <t>ETM, акт 1С за месяц не выгружен</t>
        </is>
      </c>
      <c r="E1321" s="8" t="inlineStr">
        <is>
          <t>Выгрузка 1С</t>
        </is>
      </c>
      <c r="F1321" s="8" t="inlineStr">
        <is>
          <t>B</t>
        </is>
      </c>
      <c r="G1321" s="14" t="n">
        <v>0</v>
      </c>
      <c r="H1321" s="14" t="n">
        <v>2643.389999999999</v>
      </c>
      <c r="I1321" s="14" t="n">
        <v>-2643.390132</v>
      </c>
      <c r="J1321" s="14" t="n">
        <v>2643.389999999999</v>
      </c>
      <c r="K1321" s="21" t="n">
        <v>46176.53954861111</v>
      </c>
      <c r="L1321" s="21" t="n"/>
      <c r="M1321" s="8" t="inlineStr"/>
      <c r="N1321" s="8" t="inlineStr">
        <is>
          <t>Бухгалтер: выгрузить акт</t>
        </is>
      </c>
      <c r="O1321" s="8" t="inlineStr">
        <is>
          <t>n.abdyldaeva|r.sydykov</t>
        </is>
      </c>
      <c r="P1321" s="12" t="inlineStr">
        <is>
          <t>Операция есть в ETM, а акт 1С за этот (или следующий) месяц не выгружен — сначала получить акт</t>
        </is>
      </c>
      <c r="Q1321" s="8" t="inlineStr">
        <is>
          <t>57339289,57397953</t>
        </is>
      </c>
    </row>
    <row r="1322">
      <c r="A1322" s="8" t="inlineStr">
        <is>
          <t>G14272</t>
        </is>
      </c>
      <c r="B1322" s="8" t="inlineStr">
        <is>
          <t>ЧОЛПОН ТУР</t>
        </is>
      </c>
      <c r="C1322" s="8" t="inlineStr">
        <is>
          <t>2459527186</t>
        </is>
      </c>
      <c r="D1322" s="8" t="inlineStr">
        <is>
          <t>ETM, акт 1С за месяц не выгружен</t>
        </is>
      </c>
      <c r="E1322" s="8" t="inlineStr">
        <is>
          <t>Выгрузка 1С</t>
        </is>
      </c>
      <c r="F1322" s="8" t="inlineStr">
        <is>
          <t>B</t>
        </is>
      </c>
      <c r="G1322" s="14" t="n">
        <v>0</v>
      </c>
      <c r="H1322" s="14" t="n">
        <v>-1885.950000000001</v>
      </c>
      <c r="I1322" s="14" t="n">
        <v>1885.950000000001</v>
      </c>
      <c r="J1322" s="14" t="n">
        <v>-1885.950000000001</v>
      </c>
      <c r="K1322" s="21" t="n">
        <v>46096.3609375</v>
      </c>
      <c r="L1322" s="21" t="n"/>
      <c r="M1322" s="8" t="inlineStr"/>
      <c r="N1322" s="8" t="inlineStr">
        <is>
          <t>Бухгалтер: выгрузить акт</t>
        </is>
      </c>
      <c r="O1322" s="8" t="inlineStr">
        <is>
          <t>a.toktosunova|n.abdyldaeva</t>
        </is>
      </c>
      <c r="P1322" s="12" t="inlineStr">
        <is>
          <t>Операция есть в ETM, а акт 1С за этот (или следующий) месяц не выгружен — сначала получить акт</t>
        </is>
      </c>
      <c r="Q1322" s="8" t="inlineStr">
        <is>
          <t>57148382,57197965</t>
        </is>
      </c>
    </row>
    <row r="1323">
      <c r="A1323" s="8" t="inlineStr">
        <is>
          <t>G00999</t>
        </is>
      </c>
      <c r="B1323" s="8" t="inlineStr">
        <is>
          <t>Jailoo Trip</t>
        </is>
      </c>
      <c r="C1323" s="8" t="inlineStr">
        <is>
          <t>2460736711</t>
        </is>
      </c>
      <c r="D1323" s="8" t="inlineStr">
        <is>
          <t>Сумма не сходится</t>
        </is>
      </c>
      <c r="E1323" s="8" t="inlineStr">
        <is>
          <t>1С</t>
        </is>
      </c>
      <c r="F1323" s="8" t="inlineStr">
        <is>
          <t>B</t>
        </is>
      </c>
      <c r="G1323" s="14" t="n">
        <v>17918</v>
      </c>
      <c r="H1323" s="14" t="n">
        <v>-19718</v>
      </c>
      <c r="I1323" s="14" t="n"/>
      <c r="J1323" s="14" t="n">
        <v>-1800</v>
      </c>
      <c r="K1323" s="21" t="n">
        <v>46178.55734953703</v>
      </c>
      <c r="L1323" s="21" t="n">
        <v>46178</v>
      </c>
      <c r="M1323" s="8" t="inlineStr">
        <is>
          <t>TRANSPOSITION</t>
        </is>
      </c>
      <c r="N1323" s="8" t="inlineStr">
        <is>
          <t>Бухгалтер 1С</t>
        </is>
      </c>
      <c r="O1323" s="8" t="inlineStr"/>
      <c r="P1323" s="12" t="inlineStr">
        <is>
          <t>Суммы 1С (17,918.00) и ETM (19,718.00) отличаются перестановкой — похоже на ручную опечатку при вводе акта в 1С (гипотеза, подтвердить у бухгалтера)</t>
        </is>
      </c>
      <c r="Q1323" s="8" t="inlineStr">
        <is>
          <t>57344362</t>
        </is>
      </c>
    </row>
    <row r="1324">
      <c r="A1324" s="8" t="inlineStr">
        <is>
          <t>G04164</t>
        </is>
      </c>
      <c r="B1324" s="8" t="inlineStr">
        <is>
          <t>Абдылда уулу Б.</t>
        </is>
      </c>
      <c r="C1324" s="8" t="inlineStr">
        <is>
          <t>2416945285</t>
        </is>
      </c>
      <c r="D1324" s="8" t="inlineStr">
        <is>
          <t>Сумма не сходится</t>
        </is>
      </c>
      <c r="E1324" s="8" t="inlineStr">
        <is>
          <t>1С</t>
        </is>
      </c>
      <c r="F1324" s="8" t="inlineStr">
        <is>
          <t>B</t>
        </is>
      </c>
      <c r="G1324" s="14" t="n">
        <v>25764.92</v>
      </c>
      <c r="H1324" s="14" t="n">
        <v>-27564.92</v>
      </c>
      <c r="I1324" s="14" t="n"/>
      <c r="J1324" s="14" t="n">
        <v>-1800</v>
      </c>
      <c r="K1324" s="21" t="n">
        <v>46040.42760416667</v>
      </c>
      <c r="L1324" s="21" t="n">
        <v>46040</v>
      </c>
      <c r="M1324" s="8" t="inlineStr">
        <is>
          <t>TRANSPOSITION</t>
        </is>
      </c>
      <c r="N1324" s="8" t="inlineStr">
        <is>
          <t>Бухгалтер 1С</t>
        </is>
      </c>
      <c r="O1324" s="8" t="inlineStr"/>
      <c r="P1324" s="12" t="inlineStr">
        <is>
          <t>Суммы 1С (25,764.92) и ETM (27,564.92) отличаются перестановкой — похоже на ручную опечатку при вводе акта в 1С (гипотеза, подтвердить у бухгалтера)</t>
        </is>
      </c>
      <c r="Q1324" s="8" t="inlineStr">
        <is>
          <t>57037446</t>
        </is>
      </c>
    </row>
    <row r="1325">
      <c r="A1325" s="8" t="inlineStr">
        <is>
          <t>G06864</t>
        </is>
      </c>
      <c r="B1325" s="8" t="inlineStr">
        <is>
          <t>Жибек Авиакасса</t>
        </is>
      </c>
      <c r="C1325" s="8" t="inlineStr">
        <is>
          <t>2416942611</t>
        </is>
      </c>
      <c r="D1325" s="8" t="inlineStr">
        <is>
          <t>Сумма не сходится</t>
        </is>
      </c>
      <c r="E1325" s="8" t="inlineStr">
        <is>
          <t>1С</t>
        </is>
      </c>
      <c r="F1325" s="8" t="inlineStr">
        <is>
          <t>B</t>
        </is>
      </c>
      <c r="G1325" s="14" t="n">
        <v>21368.25</v>
      </c>
      <c r="H1325" s="14" t="n">
        <v>-23168.25</v>
      </c>
      <c r="I1325" s="14" t="n"/>
      <c r="J1325" s="14" t="n">
        <v>-1800</v>
      </c>
      <c r="K1325" s="21" t="n">
        <v>46204.69429398148</v>
      </c>
      <c r="L1325" s="21" t="n">
        <v>46204</v>
      </c>
      <c r="M1325" s="8" t="inlineStr">
        <is>
          <t>TRANSPOSITION</t>
        </is>
      </c>
      <c r="N1325" s="8" t="inlineStr">
        <is>
          <t>Бухгалтер 1С</t>
        </is>
      </c>
      <c r="O1325" s="8" t="inlineStr"/>
      <c r="P1325" s="12" t="inlineStr">
        <is>
          <t>Суммы 1С (21,368.25) и ETM (23,168.25) отличаются перестановкой — похоже на ручную опечатку при вводе акта в 1С (гипотеза, подтвердить у бухгалтера)</t>
        </is>
      </c>
      <c r="Q1325" s="8" t="inlineStr">
        <is>
          <t>57417439</t>
        </is>
      </c>
    </row>
    <row r="1326">
      <c r="A1326" s="8" t="inlineStr">
        <is>
          <t>G07534</t>
        </is>
      </c>
      <c r="B1326" s="8" t="inlineStr">
        <is>
          <t>Жолчу кызы А.</t>
        </is>
      </c>
      <c r="C1326" s="8" t="inlineStr">
        <is>
          <t>2461885722</t>
        </is>
      </c>
      <c r="D1326" s="8" t="inlineStr">
        <is>
          <t>ETM, акт 1С за месяц не выгружен</t>
        </is>
      </c>
      <c r="E1326" s="8" t="inlineStr">
        <is>
          <t>Выгрузка 1С</t>
        </is>
      </c>
      <c r="F1326" s="8" t="inlineStr">
        <is>
          <t>B</t>
        </is>
      </c>
      <c r="G1326" s="14" t="n">
        <v>0</v>
      </c>
      <c r="H1326" s="14" t="n">
        <v>-1354</v>
      </c>
      <c r="I1326" s="14" t="n">
        <v>1354</v>
      </c>
      <c r="J1326" s="14" t="n">
        <v>-1354</v>
      </c>
      <c r="K1326" s="21" t="n">
        <v>46179.42332175926</v>
      </c>
      <c r="L1326" s="21" t="n"/>
      <c r="M1326" s="8" t="inlineStr"/>
      <c r="N1326" s="8" t="inlineStr">
        <is>
          <t>Бухгалтер: выгрузить акт</t>
        </is>
      </c>
      <c r="O1326" s="8" t="inlineStr">
        <is>
          <t>k.dzhumaev</t>
        </is>
      </c>
      <c r="P1326" s="12" t="inlineStr">
        <is>
          <t>Операция есть в ETM, а акт 1С за этот (или следующий) месяц не выгружен — сначала получить акт</t>
        </is>
      </c>
      <c r="Q1326" s="8" t="inlineStr">
        <is>
          <t>57347404</t>
        </is>
      </c>
    </row>
    <row r="1327">
      <c r="A1327" s="8" t="inlineStr">
        <is>
          <t>G01823</t>
        </is>
      </c>
      <c r="B1327" s="8" t="inlineStr">
        <is>
          <t>Karakol Express</t>
        </is>
      </c>
      <c r="C1327" s="8" t="inlineStr">
        <is>
          <t>2552670343</t>
        </is>
      </c>
      <c r="D1327" s="8" t="inlineStr">
        <is>
          <t>Сумма не сходится</t>
        </is>
      </c>
      <c r="E1327" s="8" t="inlineStr">
        <is>
          <t>1С</t>
        </is>
      </c>
      <c r="F1327" s="8" t="inlineStr">
        <is>
          <t>B</t>
        </is>
      </c>
      <c r="G1327" s="14" t="n">
        <v>22048.75</v>
      </c>
      <c r="H1327" s="14" t="n">
        <v>-23048.75</v>
      </c>
      <c r="I1327" s="14" t="n"/>
      <c r="J1327" s="14" t="n">
        <v>-1000</v>
      </c>
      <c r="K1327" s="21" t="n">
        <v>46031.38292824074</v>
      </c>
      <c r="L1327" s="21" t="n">
        <v>46031</v>
      </c>
      <c r="M1327" s="8" t="inlineStr">
        <is>
          <t>ONE_WRONG_DIGIT</t>
        </is>
      </c>
      <c r="N1327" s="8" t="inlineStr">
        <is>
          <t>Бухгалтер 1С</t>
        </is>
      </c>
      <c r="O1327" s="8" t="inlineStr"/>
      <c r="P1327" s="12" t="inlineStr">
        <is>
          <t>Суммы 1С (22,048.75) и ETM (23,048.75) отличаются одной цифрой — похоже на ручную опечатку при вводе акта в 1С (гипотеза, подтвердить у бухгалтера)</t>
        </is>
      </c>
      <c r="Q1327" s="8" t="inlineStr">
        <is>
          <t>57016709</t>
        </is>
      </c>
    </row>
    <row r="1328">
      <c r="A1328" s="8" t="inlineStr">
        <is>
          <t>G06446</t>
        </is>
      </c>
      <c r="B1328" s="8" t="inlineStr">
        <is>
          <t>Джолдош уулу Эмир</t>
        </is>
      </c>
      <c r="C1328" s="8" t="inlineStr">
        <is>
          <t>2461883206</t>
        </is>
      </c>
      <c r="D1328" s="8" t="inlineStr">
        <is>
          <t>Сумма не сходится</t>
        </is>
      </c>
      <c r="E1328" s="8" t="inlineStr">
        <is>
          <t>1С</t>
        </is>
      </c>
      <c r="F1328" s="8" t="inlineStr">
        <is>
          <t>B</t>
        </is>
      </c>
      <c r="G1328" s="14" t="n">
        <v>11960</v>
      </c>
      <c r="H1328" s="14" t="n">
        <v>-12960</v>
      </c>
      <c r="I1328" s="14" t="n"/>
      <c r="J1328" s="14" t="n">
        <v>-1000</v>
      </c>
      <c r="K1328" s="21" t="n">
        <v>46191.77648148148</v>
      </c>
      <c r="L1328" s="21" t="n">
        <v>46191</v>
      </c>
      <c r="M1328" s="8" t="inlineStr">
        <is>
          <t>ONE_WRONG_DIGIT</t>
        </is>
      </c>
      <c r="N1328" s="8" t="inlineStr">
        <is>
          <t>Бухгалтер 1С</t>
        </is>
      </c>
      <c r="O1328" s="8" t="inlineStr"/>
      <c r="P1328" s="12" t="inlineStr">
        <is>
          <t>Суммы 1С (11,960.00) и ETM (12,960.00) отличаются одной цифрой — похоже на ручную опечатку при вводе акта в 1С (гипотеза, подтвердить у бухгалтера)</t>
        </is>
      </c>
      <c r="Q1328" s="8" t="inlineStr">
        <is>
          <t>57378521</t>
        </is>
      </c>
    </row>
    <row r="1329">
      <c r="A1329" s="8" t="inlineStr">
        <is>
          <t>G14537</t>
        </is>
      </c>
      <c r="B1329" s="8" t="inlineStr">
        <is>
          <t>Чынар уулу Эмир</t>
        </is>
      </c>
      <c r="C1329" s="8" t="inlineStr">
        <is>
          <t>2460733701</t>
        </is>
      </c>
      <c r="D1329" s="8" t="inlineStr">
        <is>
          <t>Сумма не сходится</t>
        </is>
      </c>
      <c r="E1329" s="8" t="inlineStr">
        <is>
          <t>1С</t>
        </is>
      </c>
      <c r="F1329" s="8" t="inlineStr">
        <is>
          <t>B</t>
        </is>
      </c>
      <c r="G1329" s="14" t="n">
        <v>25088</v>
      </c>
      <c r="H1329" s="14" t="n">
        <v>-26088</v>
      </c>
      <c r="I1329" s="14" t="n"/>
      <c r="J1329" s="14" t="n">
        <v>-1000</v>
      </c>
      <c r="K1329" s="21" t="n">
        <v>46227.73380787037</v>
      </c>
      <c r="L1329" s="21" t="n">
        <v>46227</v>
      </c>
      <c r="M1329" s="8" t="inlineStr">
        <is>
          <t>ONE_WRONG_DIGIT</t>
        </is>
      </c>
      <c r="N1329" s="8" t="inlineStr">
        <is>
          <t>Бухгалтер 1С</t>
        </is>
      </c>
      <c r="O1329" s="8" t="inlineStr"/>
      <c r="P1329" s="12" t="inlineStr">
        <is>
          <t>Суммы 1С (25,088.00) и ETM (26,088.00) отличаются одной цифрой — похоже на ручную опечатку при вводе акта в 1С (гипотеза, подтвердить у бухгалтера)</t>
        </is>
      </c>
      <c r="Q1329" s="8" t="inlineStr">
        <is>
          <t>57483434</t>
        </is>
      </c>
    </row>
    <row r="1330">
      <c r="A1330" s="8" t="inlineStr">
        <is>
          <t>G14807</t>
        </is>
      </c>
      <c r="B1330" s="8" t="inlineStr">
        <is>
          <t>ЫЙЫК ЭКСПРЕСС</t>
        </is>
      </c>
      <c r="C1330" s="8" t="inlineStr">
        <is>
          <t>2476317366</t>
        </is>
      </c>
      <c r="D1330" s="8" t="inlineStr">
        <is>
          <t>Сумма не сходится</t>
        </is>
      </c>
      <c r="E1330" s="8" t="inlineStr">
        <is>
          <t>1С</t>
        </is>
      </c>
      <c r="F1330" s="8" t="inlineStr">
        <is>
          <t>B</t>
        </is>
      </c>
      <c r="G1330" s="14" t="n">
        <v>19896</v>
      </c>
      <c r="H1330" s="14" t="n">
        <v>-18996</v>
      </c>
      <c r="I1330" s="14" t="n"/>
      <c r="J1330" s="14" t="n">
        <v>900</v>
      </c>
      <c r="K1330" s="21" t="n">
        <v>46145.55341435185</v>
      </c>
      <c r="L1330" s="21" t="n">
        <v>46145</v>
      </c>
      <c r="M1330" s="8" t="inlineStr">
        <is>
          <t>TRANSPOSITION</t>
        </is>
      </c>
      <c r="N1330" s="8" t="inlineStr">
        <is>
          <t>Бухгалтер 1С</t>
        </is>
      </c>
      <c r="O1330" s="8" t="inlineStr"/>
      <c r="P1330" s="12" t="inlineStr">
        <is>
          <t>Суммы 1С (19,896.00) и ETM (18,996.00) отличаются перестановкой — похоже на ручную опечатку при вводе акта в 1С (гипотеза, подтвердить у бухгалтера)</t>
        </is>
      </c>
      <c r="Q1330" s="8" t="inlineStr">
        <is>
          <t>57248367</t>
        </is>
      </c>
    </row>
    <row r="1331">
      <c r="A1331" s="8" t="inlineStr">
        <is>
          <t>G02754</t>
        </is>
      </c>
      <c r="B1331" s="8" t="inlineStr">
        <is>
          <t>SkyWay Travel</t>
        </is>
      </c>
      <c r="C1331" s="8" t="inlineStr">
        <is>
          <t>2459530998</t>
        </is>
      </c>
      <c r="D1331" s="8" t="inlineStr">
        <is>
          <t>Сумма не сходится</t>
        </is>
      </c>
      <c r="E1331" s="8" t="inlineStr">
        <is>
          <t>1С</t>
        </is>
      </c>
      <c r="F1331" s="8" t="inlineStr">
        <is>
          <t>B</t>
        </is>
      </c>
      <c r="G1331" s="14" t="n">
        <v>10918</v>
      </c>
      <c r="H1331" s="14" t="n">
        <v>-10198</v>
      </c>
      <c r="I1331" s="14" t="n"/>
      <c r="J1331" s="14" t="n">
        <v>720</v>
      </c>
      <c r="K1331" s="21" t="n">
        <v>46234.75523148148</v>
      </c>
      <c r="L1331" s="21" t="n">
        <v>46234</v>
      </c>
      <c r="M1331" s="8" t="inlineStr">
        <is>
          <t>TRANSPOSITION</t>
        </is>
      </c>
      <c r="N1331" s="8" t="inlineStr">
        <is>
          <t>Бухгалтер 1С</t>
        </is>
      </c>
      <c r="O1331" s="8" t="inlineStr"/>
      <c r="P1331" s="12" t="inlineStr">
        <is>
          <t>Суммы 1С (10,918.00) и ETM (10,198.00) отличаются перестановкой — похоже на ручную опечатку при вводе акта в 1С (гипотеза, подтвердить у бухгалтера)</t>
        </is>
      </c>
      <c r="Q1331" s="8" t="inlineStr">
        <is>
          <t>57502976</t>
        </is>
      </c>
    </row>
    <row r="1332">
      <c r="A1332" s="8" t="inlineStr">
        <is>
          <t>G07613</t>
        </is>
      </c>
      <c r="B1332" s="8" t="inlineStr">
        <is>
          <t>Жумабек кызы Умут</t>
        </is>
      </c>
      <c r="C1332" s="8" t="inlineStr">
        <is>
          <t>2420846440</t>
        </is>
      </c>
      <c r="D1332" s="8" t="inlineStr">
        <is>
          <t>Сумма не сходится</t>
        </is>
      </c>
      <c r="E1332" s="8" t="inlineStr">
        <is>
          <t>1С</t>
        </is>
      </c>
      <c r="F1332" s="8" t="inlineStr">
        <is>
          <t>B</t>
        </is>
      </c>
      <c r="G1332" s="14" t="n">
        <v>16943.73</v>
      </c>
      <c r="H1332" s="14" t="n">
        <v>-16493.73</v>
      </c>
      <c r="I1332" s="14" t="n"/>
      <c r="J1332" s="14" t="n">
        <v>450</v>
      </c>
      <c r="K1332" s="21" t="n">
        <v>46051.66442129629</v>
      </c>
      <c r="L1332" s="21" t="n">
        <v>46051</v>
      </c>
      <c r="M1332" s="8" t="inlineStr">
        <is>
          <t>TRANSPOSITION</t>
        </is>
      </c>
      <c r="N1332" s="8" t="inlineStr">
        <is>
          <t>Бухгалтер 1С</t>
        </is>
      </c>
      <c r="O1332" s="8" t="inlineStr"/>
      <c r="P1332" s="12" t="inlineStr">
        <is>
          <t>Суммы 1С (16,943.73) и ETM (16,493.73) отличаются перестановкой — похоже на ручную опечатку при вводе акта в 1С (гипотеза, подтвердить у бухгалтера)</t>
        </is>
      </c>
      <c r="Q1332" s="8" t="inlineStr">
        <is>
          <t>57061266</t>
        </is>
      </c>
    </row>
    <row r="1333">
      <c r="A1333" s="8" t="inlineStr">
        <is>
          <t>G14013</t>
        </is>
      </c>
      <c r="B1333" s="8" t="inlineStr">
        <is>
          <t>Тянь-Шань Тур</t>
        </is>
      </c>
      <c r="C1333" s="8" t="inlineStr">
        <is>
          <t>2461882489</t>
        </is>
      </c>
      <c r="D1333" s="8" t="inlineStr">
        <is>
          <t>Сумма не сходится</t>
        </is>
      </c>
      <c r="E1333" s="8" t="inlineStr">
        <is>
          <t>1С</t>
        </is>
      </c>
      <c r="F1333" s="8" t="inlineStr">
        <is>
          <t>B</t>
        </is>
      </c>
      <c r="G1333" s="14" t="n">
        <v>12957</v>
      </c>
      <c r="H1333" s="14" t="n">
        <v>-12597</v>
      </c>
      <c r="I1333" s="14" t="n"/>
      <c r="J1333" s="14" t="n">
        <v>360</v>
      </c>
      <c r="K1333" s="21" t="n">
        <v>46094.74864583334</v>
      </c>
      <c r="L1333" s="21" t="n">
        <v>46094</v>
      </c>
      <c r="M1333" s="8" t="inlineStr">
        <is>
          <t>TRANSPOSITION</t>
        </is>
      </c>
      <c r="N1333" s="8" t="inlineStr">
        <is>
          <t>Бухгалтер 1С</t>
        </is>
      </c>
      <c r="O1333" s="8" t="inlineStr"/>
      <c r="P1333" s="12" t="inlineStr">
        <is>
          <t>Суммы 1С (12,957.00) и ETM (12,597.00) отличаются перестановкой — похоже на ручную опечатку при вводе акта в 1С (гипотеза, подтвердить у бухгалтера)</t>
        </is>
      </c>
      <c r="Q1333" s="8" t="inlineStr">
        <is>
          <t>57144938</t>
        </is>
      </c>
    </row>
    <row r="1334">
      <c r="A1334" s="8" t="inlineStr">
        <is>
          <t>G11984</t>
        </is>
      </c>
      <c r="B1334" s="8" t="inlineStr">
        <is>
          <t>ОсОО Чолпон Авиакасса</t>
        </is>
      </c>
      <c r="C1334" s="8" t="inlineStr">
        <is>
          <t>2420845785|2420845786|2420845789</t>
        </is>
      </c>
      <c r="D1334" s="8" t="inlineStr">
        <is>
          <t>Строка реестра задвоена</t>
        </is>
      </c>
      <c r="E1334" s="8" t="inlineStr">
        <is>
          <t>Реестр (сотрудник)</t>
        </is>
      </c>
      <c r="F1334" s="8" t="inlineStr">
        <is>
          <t>B</t>
        </is>
      </c>
      <c r="G1334" s="14" t="n">
        <v>47582.88</v>
      </c>
      <c r="H1334" s="14" t="n">
        <v>-47582.88</v>
      </c>
      <c r="I1334" s="14" t="n">
        <v>47582.8803</v>
      </c>
      <c r="J1334" s="14" t="n">
        <v>7.275957614183426e-12</v>
      </c>
      <c r="K1334" s="21" t="n">
        <v>46117.37841435185</v>
      </c>
      <c r="L1334" s="21" t="n">
        <v>46117</v>
      </c>
      <c r="M1334" s="8" t="inlineStr"/>
      <c r="N1334" s="8" t="inlineStr">
        <is>
          <t>Сотрудник, ведущий реестр</t>
        </is>
      </c>
      <c r="O1334" s="8" t="inlineStr">
        <is>
          <t>e.satarov</t>
        </is>
      </c>
      <c r="P1334" s="12" t="inlineStr">
        <is>
          <t>Строка реестра записана 2 раза (все поля совпадают); 1С и ETM согласованы (47,582.88), без копии реестр тоже совпадает. Удалить лишнюю строку в реестре; на баланс это не влияет</t>
        </is>
      </c>
      <c r="Q1334" s="8" t="inlineStr">
        <is>
          <t>57191763,57191747,57191756</t>
        </is>
      </c>
    </row>
    <row r="1335">
      <c r="A1335" s="8" t="inlineStr">
        <is>
          <t>G01308</t>
        </is>
      </c>
      <c r="B1335" s="8" t="inlineStr">
        <is>
          <t>Karakol Express</t>
        </is>
      </c>
      <c r="C1335" s="8" t="inlineStr">
        <is>
          <t>2459528511|2459528513</t>
        </is>
      </c>
      <c r="D1335" s="8" t="inlineStr">
        <is>
          <t>Строка реестра задвоена</t>
        </is>
      </c>
      <c r="E1335" s="8" t="inlineStr">
        <is>
          <t>Реестр (сотрудник)</t>
        </is>
      </c>
      <c r="F1335" s="8" t="inlineStr">
        <is>
          <t>B</t>
        </is>
      </c>
      <c r="G1335" s="14" t="n">
        <v>85670</v>
      </c>
      <c r="H1335" s="14" t="n">
        <v>-85670</v>
      </c>
      <c r="I1335" s="14" t="n">
        <v>85670</v>
      </c>
      <c r="J1335" s="14" t="n">
        <v>0</v>
      </c>
      <c r="K1335" s="21" t="n">
        <v>46139.5583449074</v>
      </c>
      <c r="L1335" s="21" t="n">
        <v>46139</v>
      </c>
      <c r="M1335" s="8" t="inlineStr"/>
      <c r="N1335" s="8" t="inlineStr">
        <is>
          <t>Сотрудник, ведущий реестр</t>
        </is>
      </c>
      <c r="O1335" s="8" t="inlineStr">
        <is>
          <t>r.sydykov</t>
        </is>
      </c>
      <c r="P1335" s="12" t="inlineStr">
        <is>
          <t>Строка реестра записана 2 раза (все поля совпадают); 1С и ETM согласованы (85,670.00), без копии реестр тоже совпадает. Удалить лишнюю строку в реестре; на баланс это не влияет</t>
        </is>
      </c>
      <c r="Q1335" s="8" t="inlineStr">
        <is>
          <t>57232161</t>
        </is>
      </c>
    </row>
    <row r="1336">
      <c r="A1336" s="8" t="inlineStr">
        <is>
          <t>G01343</t>
        </is>
      </c>
      <c r="B1336" s="8" t="inlineStr">
        <is>
          <t>Karakol Express</t>
        </is>
      </c>
      <c r="C1336" s="8" t="inlineStr">
        <is>
          <t>2459530361</t>
        </is>
      </c>
      <c r="D1336" s="8" t="inlineStr">
        <is>
          <t>Строка реестра задвоена</t>
        </is>
      </c>
      <c r="E1336" s="8" t="inlineStr">
        <is>
          <t>Реестр (сотрудник)</t>
        </is>
      </c>
      <c r="F1336" s="8" t="inlineStr">
        <is>
          <t>B</t>
        </is>
      </c>
      <c r="G1336" s="14" t="n">
        <v>43478</v>
      </c>
      <c r="H1336" s="14" t="n">
        <v>-43478</v>
      </c>
      <c r="I1336" s="14" t="n">
        <v>43478</v>
      </c>
      <c r="J1336" s="14" t="n">
        <v>0</v>
      </c>
      <c r="K1336" s="21" t="n">
        <v>46204.72556712963</v>
      </c>
      <c r="L1336" s="21" t="n">
        <v>46204</v>
      </c>
      <c r="M1336" s="8" t="inlineStr"/>
      <c r="N1336" s="8" t="inlineStr">
        <is>
          <t>Сотрудник, ведущий реестр</t>
        </is>
      </c>
      <c r="O1336" s="8" t="inlineStr">
        <is>
          <t>d.mambetova</t>
        </is>
      </c>
      <c r="P1336" s="12" t="inlineStr">
        <is>
          <t>Строка реестра записана 2 раза (все поля совпадают); 1С и ETM согласованы (43,478.00), без копии реестр тоже совпадает. Удалить лишнюю строку в реестре; на баланс это не влияет</t>
        </is>
      </c>
      <c r="Q1336" s="8" t="inlineStr">
        <is>
          <t>57418164</t>
        </is>
      </c>
    </row>
    <row r="1337">
      <c r="A1337" s="8" t="inlineStr">
        <is>
          <t>G01599</t>
        </is>
      </c>
      <c r="B1337" s="8" t="inlineStr">
        <is>
          <t>Karakol Express</t>
        </is>
      </c>
      <c r="C1337" s="8" t="inlineStr">
        <is>
          <t>2461884764</t>
        </is>
      </c>
      <c r="D1337" s="8" t="inlineStr">
        <is>
          <t>Строка реестра задвоена</t>
        </is>
      </c>
      <c r="E1337" s="8" t="inlineStr">
        <is>
          <t>Реестр (сотрудник)</t>
        </is>
      </c>
      <c r="F1337" s="8" t="inlineStr">
        <is>
          <t>B</t>
        </is>
      </c>
      <c r="G1337" s="14" t="n">
        <v>24974</v>
      </c>
      <c r="H1337" s="14" t="n">
        <v>-24974</v>
      </c>
      <c r="I1337" s="14" t="n">
        <v>24974</v>
      </c>
      <c r="J1337" s="14" t="n">
        <v>0</v>
      </c>
      <c r="K1337" s="21" t="n">
        <v>46234.51038194444</v>
      </c>
      <c r="L1337" s="21" t="n">
        <v>46234</v>
      </c>
      <c r="M1337" s="8" t="inlineStr"/>
      <c r="N1337" s="8" t="inlineStr">
        <is>
          <t>Сотрудник, ведущий реестр</t>
        </is>
      </c>
      <c r="O1337" s="8" t="inlineStr">
        <is>
          <t>b.isakov</t>
        </is>
      </c>
      <c r="P1337" s="12" t="inlineStr">
        <is>
          <t>Строка реестра записана 2 раза (все поля совпадают); 1С и ETM согласованы (24,974.00), без копии реестр тоже совпадает. Удалить лишнюю строку в реестре; на баланс это не влияет</t>
        </is>
      </c>
      <c r="Q1337" s="8" t="inlineStr">
        <is>
          <t>57502720</t>
        </is>
      </c>
    </row>
    <row r="1338">
      <c r="A1338" s="8" t="inlineStr">
        <is>
          <t>G01800</t>
        </is>
      </c>
      <c r="B1338" s="8" t="inlineStr">
        <is>
          <t>Karakol Express</t>
        </is>
      </c>
      <c r="C1338" s="8" t="inlineStr">
        <is>
          <t>2552669429</t>
        </is>
      </c>
      <c r="D1338" s="8" t="inlineStr">
        <is>
          <t>Строка реестра задвоена</t>
        </is>
      </c>
      <c r="E1338" s="8" t="inlineStr">
        <is>
          <t>Реестр (сотрудник)</t>
        </is>
      </c>
      <c r="F1338" s="8" t="inlineStr">
        <is>
          <t>B</t>
        </is>
      </c>
      <c r="G1338" s="14" t="n">
        <v>35094.66</v>
      </c>
      <c r="H1338" s="14" t="n">
        <v>-35094.66</v>
      </c>
      <c r="I1338" s="14" t="n">
        <v>35094.66</v>
      </c>
      <c r="J1338" s="14" t="n">
        <v>0</v>
      </c>
      <c r="K1338" s="21" t="n">
        <v>46099.3477662037</v>
      </c>
      <c r="L1338" s="21" t="n">
        <v>46099</v>
      </c>
      <c r="M1338" s="8" t="inlineStr"/>
      <c r="N1338" s="8" t="inlineStr">
        <is>
          <t>Сотрудник, ведущий реестр</t>
        </is>
      </c>
      <c r="O1338" s="8" t="inlineStr">
        <is>
          <t>g.omurbekova</t>
        </is>
      </c>
      <c r="P1338" s="12" t="inlineStr">
        <is>
          <t>Строка реестра записана 2 раза (все поля совпадают); 1С и ETM согласованы (35,094.66), без копии реестр тоже совпадает. Удалить лишнюю строку в реестре; на баланс это не влияет</t>
        </is>
      </c>
      <c r="Q1338" s="8" t="inlineStr">
        <is>
          <t>57155414</t>
        </is>
      </c>
    </row>
    <row r="1339">
      <c r="A1339" s="8" t="inlineStr">
        <is>
          <t>G02018</t>
        </is>
      </c>
      <c r="B1339" s="8" t="inlineStr">
        <is>
          <t>Kumtor Tours</t>
        </is>
      </c>
      <c r="C1339" s="8" t="inlineStr">
        <is>
          <t>2459532309|2459532310</t>
        </is>
      </c>
      <c r="D1339" s="8" t="inlineStr">
        <is>
          <t>Строка реестра задвоена</t>
        </is>
      </c>
      <c r="E1339" s="8" t="inlineStr">
        <is>
          <t>Реестр (сотрудник)</t>
        </is>
      </c>
      <c r="F1339" s="8" t="inlineStr">
        <is>
          <t>B</t>
        </is>
      </c>
      <c r="G1339" s="14" t="n">
        <v>65094</v>
      </c>
      <c r="H1339" s="14" t="n">
        <v>-65094</v>
      </c>
      <c r="I1339" s="14" t="n">
        <v>65094</v>
      </c>
      <c r="J1339" s="14" t="n">
        <v>0</v>
      </c>
      <c r="K1339" s="21" t="n">
        <v>46212.49101851852</v>
      </c>
      <c r="L1339" s="21" t="n">
        <v>46212</v>
      </c>
      <c r="M1339" s="8" t="inlineStr"/>
      <c r="N1339" s="8" t="inlineStr">
        <is>
          <t>Сотрудник, ведущий реестр</t>
        </is>
      </c>
      <c r="O1339" s="8" t="inlineStr">
        <is>
          <t>b.isakov</t>
        </is>
      </c>
      <c r="P1339" s="12" t="inlineStr">
        <is>
          <t>Строка реестра записана 2 раза (все поля совпадают); 1С и ETM согласованы (65,094.00), без копии реестр тоже совпадает. Удалить лишнюю строку в реестре; на баланс это не влияет</t>
        </is>
      </c>
      <c r="Q1339" s="8" t="inlineStr">
        <is>
          <t>57446215,57446248</t>
        </is>
      </c>
    </row>
    <row r="1340">
      <c r="A1340" s="8" t="inlineStr">
        <is>
          <t>G02062</t>
        </is>
      </c>
      <c r="B1340" s="8" t="inlineStr">
        <is>
          <t>Kumtor Tours</t>
        </is>
      </c>
      <c r="C1340" s="8" t="inlineStr">
        <is>
          <t>2559100891</t>
        </is>
      </c>
      <c r="D1340" s="8" t="inlineStr">
        <is>
          <t>Строка реестра задвоена</t>
        </is>
      </c>
      <c r="E1340" s="8" t="inlineStr">
        <is>
          <t>Реестр (сотрудник)</t>
        </is>
      </c>
      <c r="F1340" s="8" t="inlineStr">
        <is>
          <t>B</t>
        </is>
      </c>
      <c r="G1340" s="14" t="n">
        <v>4565.140000000001</v>
      </c>
      <c r="H1340" s="14" t="n">
        <v>-4565.140000000001</v>
      </c>
      <c r="I1340" s="14" t="n">
        <v>4565.140000000001</v>
      </c>
      <c r="J1340" s="14" t="n">
        <v>0</v>
      </c>
      <c r="K1340" s="21" t="n">
        <v>46059.46520833333</v>
      </c>
      <c r="L1340" s="21" t="n">
        <v>46059</v>
      </c>
      <c r="M1340" s="8" t="inlineStr"/>
      <c r="N1340" s="8" t="inlineStr">
        <is>
          <t>Сотрудник, ведущий реестр</t>
        </is>
      </c>
      <c r="O1340" s="8" t="inlineStr">
        <is>
          <t>n.abdyldaeva|r.sydykov</t>
        </is>
      </c>
      <c r="P1340" s="12" t="inlineStr">
        <is>
          <t>Строка реестра записана 2 раза (все поля совпадают); 1С и ETM согласованы (4,565.14), без копии реестр тоже совпадает. Удалить лишнюю строку в реестре; на баланс это не влияет</t>
        </is>
      </c>
      <c r="Q1340" s="8" t="inlineStr">
        <is>
          <t>57076437,57163468</t>
        </is>
      </c>
    </row>
    <row r="1341">
      <c r="A1341" s="8" t="inlineStr">
        <is>
          <t>G02274</t>
        </is>
      </c>
      <c r="B1341" s="8" t="inlineStr">
        <is>
          <t>SkyWay Travel</t>
        </is>
      </c>
      <c r="C1341" s="8" t="inlineStr">
        <is>
          <t>2416942446</t>
        </is>
      </c>
      <c r="D1341" s="8" t="inlineStr">
        <is>
          <t>Строка реестра задвоена</t>
        </is>
      </c>
      <c r="E1341" s="8" t="inlineStr">
        <is>
          <t>Реестр (сотрудник)</t>
        </is>
      </c>
      <c r="F1341" s="8" t="inlineStr">
        <is>
          <t>B</t>
        </is>
      </c>
      <c r="G1341" s="14" t="n">
        <v>30144.32</v>
      </c>
      <c r="H1341" s="14" t="n">
        <v>-30144.32</v>
      </c>
      <c r="I1341" s="14" t="n">
        <v>30144.32</v>
      </c>
      <c r="J1341" s="14" t="n">
        <v>0</v>
      </c>
      <c r="K1341" s="21" t="n">
        <v>46150.79688657408</v>
      </c>
      <c r="L1341" s="21" t="n">
        <v>46150</v>
      </c>
      <c r="M1341" s="8" t="inlineStr"/>
      <c r="N1341" s="8" t="inlineStr">
        <is>
          <t>Сотрудник, ведущий реестр</t>
        </is>
      </c>
      <c r="O1341" s="8" t="inlineStr">
        <is>
          <t>n.abdyldaeva</t>
        </is>
      </c>
      <c r="P1341" s="12" t="inlineStr">
        <is>
          <t>Строка реестра записана 2 раза (все поля совпадают); 1С и ETM согласованы (30,144.32), без копии реестр тоже совпадает. Удалить лишнюю строку в реестре; на баланс это не влияет</t>
        </is>
      </c>
      <c r="Q1341" s="8" t="inlineStr">
        <is>
          <t>57264263</t>
        </is>
      </c>
    </row>
    <row r="1342">
      <c r="A1342" s="8" t="inlineStr">
        <is>
          <t>G02369</t>
        </is>
      </c>
      <c r="B1342" s="8" t="inlineStr">
        <is>
          <t>SkyWay Travel</t>
        </is>
      </c>
      <c r="C1342" s="8" t="inlineStr">
        <is>
          <t>2416945256</t>
        </is>
      </c>
      <c r="D1342" s="8" t="inlineStr">
        <is>
          <t>Строка реестра задвоена</t>
        </is>
      </c>
      <c r="E1342" s="8" t="inlineStr">
        <is>
          <t>Реестр (сотрудник)</t>
        </is>
      </c>
      <c r="F1342" s="8" t="inlineStr">
        <is>
          <t>B</t>
        </is>
      </c>
      <c r="G1342" s="14" t="n">
        <v>25119.49</v>
      </c>
      <c r="H1342" s="14" t="n">
        <v>-25119.49</v>
      </c>
      <c r="I1342" s="14" t="n">
        <v>25119.485</v>
      </c>
      <c r="J1342" s="14" t="n">
        <v>0</v>
      </c>
      <c r="K1342" s="21" t="n">
        <v>46180.67469907407</v>
      </c>
      <c r="L1342" s="21" t="n">
        <v>46180</v>
      </c>
      <c r="M1342" s="8" t="inlineStr"/>
      <c r="N1342" s="8" t="inlineStr">
        <is>
          <t>Сотрудник, ведущий реестр</t>
        </is>
      </c>
      <c r="O1342" s="8" t="inlineStr">
        <is>
          <t>a.toktosunova</t>
        </is>
      </c>
      <c r="P1342" s="12" t="inlineStr">
        <is>
          <t>Строка реестра записана 2 раза (все поля совпадают); 1С и ETM согласованы (25,119.49), без копии реестр тоже совпадает. Удалить лишнюю строку в реестре; на баланс это не влияет</t>
        </is>
      </c>
      <c r="Q1342" s="8" t="inlineStr">
        <is>
          <t>57349729</t>
        </is>
      </c>
    </row>
    <row r="1343">
      <c r="A1343" s="8" t="inlineStr">
        <is>
          <t>G03279</t>
        </is>
      </c>
      <c r="B1343" s="8" t="inlineStr">
        <is>
          <t>SkyWay Travel</t>
        </is>
      </c>
      <c r="C1343" s="8" t="inlineStr">
        <is>
          <t>2476317231</t>
        </is>
      </c>
      <c r="D1343" s="8" t="inlineStr">
        <is>
          <t>Строка реестра задвоена</t>
        </is>
      </c>
      <c r="E1343" s="8" t="inlineStr">
        <is>
          <t>Реестр (сотрудник)</t>
        </is>
      </c>
      <c r="F1343" s="8" t="inlineStr">
        <is>
          <t>B</t>
        </is>
      </c>
      <c r="G1343" s="14" t="n">
        <v>26695.35</v>
      </c>
      <c r="H1343" s="14" t="n">
        <v>-26695.35</v>
      </c>
      <c r="I1343" s="14" t="n">
        <v>26695.35</v>
      </c>
      <c r="J1343" s="14" t="n">
        <v>0</v>
      </c>
      <c r="K1343" s="21" t="n">
        <v>46144.67680555556</v>
      </c>
      <c r="L1343" s="21" t="n">
        <v>46144</v>
      </c>
      <c r="M1343" s="8" t="inlineStr"/>
      <c r="N1343" s="8" t="inlineStr">
        <is>
          <t>Сотрудник, ведущий реестр</t>
        </is>
      </c>
      <c r="O1343" s="8" t="inlineStr">
        <is>
          <t>e.satarov</t>
        </is>
      </c>
      <c r="P1343" s="12" t="inlineStr">
        <is>
          <t>Строка реестра записана 2 раза (все поля совпадают); 1С и ETM согласованы (26,695.35), без копии реестр тоже совпадает. Удалить лишнюю строку в реестре; на баланс это не влияет</t>
        </is>
      </c>
      <c r="Q1343" s="8" t="inlineStr">
        <is>
          <t>57245758</t>
        </is>
      </c>
    </row>
    <row r="1344">
      <c r="A1344" s="8" t="inlineStr">
        <is>
          <t>G03861</t>
        </is>
      </c>
      <c r="B1344" s="8" t="inlineStr">
        <is>
          <t>Steppe Travel</t>
        </is>
      </c>
      <c r="C1344" s="8" t="inlineStr">
        <is>
          <t>2476316227|2476316228|2476316229</t>
        </is>
      </c>
      <c r="D1344" s="8" t="inlineStr">
        <is>
          <t>Строка реестра задвоена</t>
        </is>
      </c>
      <c r="E1344" s="8" t="inlineStr">
        <is>
          <t>Реестр (сотрудник)</t>
        </is>
      </c>
      <c r="F1344" s="8" t="inlineStr">
        <is>
          <t>B</t>
        </is>
      </c>
      <c r="G1344" s="14" t="n">
        <v>0</v>
      </c>
      <c r="H1344" s="14" t="n">
        <v>0</v>
      </c>
      <c r="I1344" s="14" t="n">
        <v>0</v>
      </c>
      <c r="J1344" s="14" t="n">
        <v>0</v>
      </c>
      <c r="K1344" s="21" t="n">
        <v>46072.43790509259</v>
      </c>
      <c r="L1344" s="21" t="n">
        <v>46072</v>
      </c>
      <c r="M1344" s="8" t="inlineStr"/>
      <c r="N1344" s="8" t="inlineStr">
        <is>
          <t>Сотрудник, ведущий реестр</t>
        </is>
      </c>
      <c r="O1344" s="8" t="inlineStr">
        <is>
          <t>g.omurbekova|k.dzhumaev</t>
        </is>
      </c>
      <c r="P1344" s="12" t="inlineStr">
        <is>
          <t>Строка реестра записана 2 раза (все поля совпадают); 1С и ETM согласованы (0.00), без копии реестр тоже совпадает. Удалить лишнюю строку в реестре; на баланс это не влияет</t>
        </is>
      </c>
      <c r="Q1344" s="8" t="inlineStr">
        <is>
          <t>57098132,57098177,57098142,57106040</t>
        </is>
      </c>
    </row>
    <row r="1345">
      <c r="A1345" s="8" t="inlineStr">
        <is>
          <t>G03955</t>
        </is>
      </c>
      <c r="B1345" s="8" t="inlineStr">
        <is>
          <t>Sunrise Tours</t>
        </is>
      </c>
      <c r="C1345" s="8" t="inlineStr">
        <is>
          <t>2461884262</t>
        </is>
      </c>
      <c r="D1345" s="8" t="inlineStr">
        <is>
          <t>Строка реестра задвоена</t>
        </is>
      </c>
      <c r="E1345" s="8" t="inlineStr">
        <is>
          <t>Реестр (сотрудник)</t>
        </is>
      </c>
      <c r="F1345" s="8" t="inlineStr">
        <is>
          <t>B</t>
        </is>
      </c>
      <c r="G1345" s="14" t="n">
        <v>32542</v>
      </c>
      <c r="H1345" s="14" t="n">
        <v>-32542</v>
      </c>
      <c r="I1345" s="14" t="n">
        <v>32542</v>
      </c>
      <c r="J1345" s="14" t="n">
        <v>0</v>
      </c>
      <c r="K1345" s="21" t="n">
        <v>46207.81252314815</v>
      </c>
      <c r="L1345" s="21" t="n">
        <v>46207</v>
      </c>
      <c r="M1345" s="8" t="inlineStr"/>
      <c r="N1345" s="8" t="inlineStr">
        <is>
          <t>Сотрудник, ведущий реестр</t>
        </is>
      </c>
      <c r="O1345" s="8" t="inlineStr">
        <is>
          <t>e.satarov</t>
        </is>
      </c>
      <c r="P1345" s="12" t="inlineStr">
        <is>
          <t>Строка реестра записана 2 раза (все поля совпадают); 1С и ETM согласованы (32,542.00), без копии реестр тоже совпадает. Удалить лишнюю строку в реестре; на баланс это не влияет</t>
        </is>
      </c>
      <c r="Q1345" s="8" t="inlineStr">
        <is>
          <t>57429137</t>
        </is>
      </c>
    </row>
    <row r="1346">
      <c r="A1346" s="8" t="inlineStr">
        <is>
          <t>G04118</t>
        </is>
      </c>
      <c r="B1346" s="8" t="inlineStr">
        <is>
          <t>Абдылда уулу Б.</t>
        </is>
      </c>
      <c r="C1346" s="8" t="inlineStr">
        <is>
          <t>2416941783|2416941784</t>
        </is>
      </c>
      <c r="D1346" s="8" t="inlineStr">
        <is>
          <t>Строка реестра задвоена</t>
        </is>
      </c>
      <c r="E1346" s="8" t="inlineStr">
        <is>
          <t>Реестр (сотрудник)</t>
        </is>
      </c>
      <c r="F1346" s="8" t="inlineStr">
        <is>
          <t>B</t>
        </is>
      </c>
      <c r="G1346" s="14" t="n">
        <v>68214.72</v>
      </c>
      <c r="H1346" s="14" t="n">
        <v>-68214.72</v>
      </c>
      <c r="I1346" s="14" t="n">
        <v>68214.72</v>
      </c>
      <c r="J1346" s="14" t="n">
        <v>0</v>
      </c>
      <c r="K1346" s="21" t="n">
        <v>46154.38112268518</v>
      </c>
      <c r="L1346" s="21" t="n">
        <v>46154</v>
      </c>
      <c r="M1346" s="8" t="inlineStr"/>
      <c r="N1346" s="8" t="inlineStr">
        <is>
          <t>Сотрудник, ведущий реестр</t>
        </is>
      </c>
      <c r="O1346" s="8" t="inlineStr">
        <is>
          <t>a.toktosunova</t>
        </is>
      </c>
      <c r="P1346" s="12" t="inlineStr">
        <is>
          <t>Строка реестра записана 2 раза (все поля совпадают); 1С и ETM согласованы (68,214.72), без копии реестр тоже совпадает. Удалить лишнюю строку в реестре; на баланс это не влияет</t>
        </is>
      </c>
      <c r="Q1346" s="8" t="inlineStr">
        <is>
          <t>57275184,57275218</t>
        </is>
      </c>
    </row>
    <row r="1347">
      <c r="A1347" s="8" t="inlineStr">
        <is>
          <t>G04686</t>
        </is>
      </c>
      <c r="B1347" s="8" t="inlineStr">
        <is>
          <t>Абдыраманова Д. А.</t>
        </is>
      </c>
      <c r="C1347" s="8" t="inlineStr">
        <is>
          <t>2460737551|2460737554</t>
        </is>
      </c>
      <c r="D1347" s="8" t="inlineStr">
        <is>
          <t>Строка реестра задвоена</t>
        </is>
      </c>
      <c r="E1347" s="8" t="inlineStr">
        <is>
          <t>Реестр (сотрудник)</t>
        </is>
      </c>
      <c r="F1347" s="8" t="inlineStr">
        <is>
          <t>B</t>
        </is>
      </c>
      <c r="G1347" s="14" t="n">
        <v>25260</v>
      </c>
      <c r="H1347" s="14" t="n">
        <v>-25260</v>
      </c>
      <c r="I1347" s="14" t="n">
        <v>25260</v>
      </c>
      <c r="J1347" s="14" t="n">
        <v>0</v>
      </c>
      <c r="K1347" s="21" t="n">
        <v>46024.49960648148</v>
      </c>
      <c r="L1347" s="21" t="n">
        <v>46024</v>
      </c>
      <c r="M1347" s="8" t="inlineStr"/>
      <c r="N1347" s="8" t="inlineStr">
        <is>
          <t>Сотрудник, ведущий реестр</t>
        </is>
      </c>
      <c r="O1347" s="8" t="inlineStr">
        <is>
          <t>r.sydykov</t>
        </is>
      </c>
      <c r="P1347" s="12" t="inlineStr">
        <is>
          <t>Строка реестра записана 2 раза (все поля совпадают); 1С и ETM согласованы (25,260.00), без копии реестр тоже совпадает. Удалить лишнюю строку в реестре; на баланс это не влияет</t>
        </is>
      </c>
      <c r="Q1347" s="8" t="inlineStr">
        <is>
          <t>57003620,57003615</t>
        </is>
      </c>
    </row>
    <row r="1348">
      <c r="A1348" s="8" t="inlineStr">
        <is>
          <t>G04989</t>
        </is>
      </c>
      <c r="B1348" s="8" t="inlineStr">
        <is>
          <t>Ак-Куу Авиа</t>
        </is>
      </c>
      <c r="C1348" s="8" t="inlineStr">
        <is>
          <t>2459531937</t>
        </is>
      </c>
      <c r="D1348" s="8" t="inlineStr">
        <is>
          <t>Строка реестра задвоена</t>
        </is>
      </c>
      <c r="E1348" s="8" t="inlineStr">
        <is>
          <t>Реестр (сотрудник)</t>
        </is>
      </c>
      <c r="F1348" s="8" t="inlineStr">
        <is>
          <t>B</t>
        </is>
      </c>
      <c r="G1348" s="14" t="n">
        <v>17386</v>
      </c>
      <c r="H1348" s="14" t="n">
        <v>-17386</v>
      </c>
      <c r="I1348" s="14" t="n">
        <v>17386</v>
      </c>
      <c r="J1348" s="14" t="n">
        <v>0</v>
      </c>
      <c r="K1348" s="21" t="n">
        <v>46034.499375</v>
      </c>
      <c r="L1348" s="21" t="n">
        <v>46034</v>
      </c>
      <c r="M1348" s="8" t="inlineStr"/>
      <c r="N1348" s="8" t="inlineStr">
        <is>
          <t>Сотрудник, ведущий реестр</t>
        </is>
      </c>
      <c r="O1348" s="8" t="inlineStr">
        <is>
          <t>b.isakov</t>
        </is>
      </c>
      <c r="P1348" s="12" t="inlineStr">
        <is>
          <t>Строка реестра записана 2 раза (все поля совпадают); 1С и ETM согласованы (17,386.00), без копии реестр тоже совпадает. Удалить лишнюю строку в реестре; на баланс это не влияет</t>
        </is>
      </c>
      <c r="Q1348" s="8" t="inlineStr">
        <is>
          <t>57023436</t>
        </is>
      </c>
    </row>
    <row r="1349">
      <c r="A1349" s="8" t="inlineStr">
        <is>
          <t>G05200</t>
        </is>
      </c>
      <c r="B1349" s="8" t="inlineStr">
        <is>
          <t>Ак-Куу Авиа</t>
        </is>
      </c>
      <c r="C1349" s="8" t="inlineStr">
        <is>
          <t>2476316038|2476316039|2476316042|2476316045</t>
        </is>
      </c>
      <c r="D1349" s="8" t="inlineStr">
        <is>
          <t>Строка реестра задвоена</t>
        </is>
      </c>
      <c r="E1349" s="8" t="inlineStr">
        <is>
          <t>Реестр (сотрудник)</t>
        </is>
      </c>
      <c r="F1349" s="8" t="inlineStr">
        <is>
          <t>B</t>
        </is>
      </c>
      <c r="G1349" s="14" t="n">
        <v>0</v>
      </c>
      <c r="H1349" s="14" t="n">
        <v>0</v>
      </c>
      <c r="I1349" s="14" t="n">
        <v>0</v>
      </c>
      <c r="J1349" s="14" t="n">
        <v>0</v>
      </c>
      <c r="K1349" s="21" t="n">
        <v>46116.36557870371</v>
      </c>
      <c r="L1349" s="21" t="n">
        <v>46116</v>
      </c>
      <c r="M1349" s="8" t="inlineStr"/>
      <c r="N1349" s="8" t="inlineStr">
        <is>
          <t>Сотрудник, ведущий реестр</t>
        </is>
      </c>
      <c r="O1349" s="8" t="inlineStr">
        <is>
          <t>a.toktosunova|e.satarov</t>
        </is>
      </c>
      <c r="P1349" s="12" t="inlineStr">
        <is>
          <t>Строка реестра записана 2 раза (все поля совпадают); 1С и ETM согласованы (0.00), без копии реестр тоже совпадает. Удалить лишнюю строку в реестре; на баланс это не влияет</t>
        </is>
      </c>
      <c r="Q1349" s="8" t="inlineStr">
        <is>
          <t>57189946,57189981,57189948,57189982,57215301</t>
        </is>
      </c>
    </row>
    <row r="1350">
      <c r="A1350" s="8" t="inlineStr">
        <is>
          <t>G05241</t>
        </is>
      </c>
      <c r="B1350" s="8" t="inlineStr">
        <is>
          <t>Ак-Куу Авиа</t>
        </is>
      </c>
      <c r="C1350" s="8" t="inlineStr">
        <is>
          <t>2476318789</t>
        </is>
      </c>
      <c r="D1350" s="8" t="inlineStr">
        <is>
          <t>Строка реестра задвоена</t>
        </is>
      </c>
      <c r="E1350" s="8" t="inlineStr">
        <is>
          <t>Реестр (сотрудник)</t>
        </is>
      </c>
      <c r="F1350" s="8" t="inlineStr">
        <is>
          <t>B</t>
        </is>
      </c>
      <c r="G1350" s="14" t="n">
        <v>19200.5</v>
      </c>
      <c r="H1350" s="14" t="n">
        <v>-19200.5</v>
      </c>
      <c r="I1350" s="14" t="n">
        <v>19200.5</v>
      </c>
      <c r="J1350" s="14" t="n">
        <v>0</v>
      </c>
      <c r="K1350" s="21" t="n">
        <v>46049.46398148148</v>
      </c>
      <c r="L1350" s="21" t="n">
        <v>46049</v>
      </c>
      <c r="M1350" s="8" t="inlineStr"/>
      <c r="N1350" s="8" t="inlineStr">
        <is>
          <t>Сотрудник, ведущий реестр</t>
        </is>
      </c>
      <c r="O1350" s="8" t="inlineStr">
        <is>
          <t>a.toktosunova</t>
        </is>
      </c>
      <c r="P1350" s="12" t="inlineStr">
        <is>
          <t>Строка реестра записана 2 раза (все поля совпадают); 1С и ETM согласованы (19,200.50), без копии реестр тоже совпадает. Удалить лишнюю строку в реестре; на баланс это не влияет</t>
        </is>
      </c>
      <c r="Q1350" s="8" t="inlineStr">
        <is>
          <t>57056738</t>
        </is>
      </c>
    </row>
    <row r="1351">
      <c r="A1351" s="8" t="inlineStr">
        <is>
          <t>G05728</t>
        </is>
      </c>
      <c r="B1351" s="8" t="inlineStr">
        <is>
          <t>Ала-Арча Авиакасса</t>
        </is>
      </c>
      <c r="C1351" s="8" t="inlineStr">
        <is>
          <t>2461881552</t>
        </is>
      </c>
      <c r="D1351" s="8" t="inlineStr">
        <is>
          <t>Строка реестра задвоена</t>
        </is>
      </c>
      <c r="E1351" s="8" t="inlineStr">
        <is>
          <t>Реестр (сотрудник)</t>
        </is>
      </c>
      <c r="F1351" s="8" t="inlineStr">
        <is>
          <t>B</t>
        </is>
      </c>
      <c r="G1351" s="14" t="n">
        <v>31581</v>
      </c>
      <c r="H1351" s="14" t="n">
        <v>-31581</v>
      </c>
      <c r="I1351" s="14" t="n">
        <v>31581</v>
      </c>
      <c r="J1351" s="14" t="n">
        <v>0</v>
      </c>
      <c r="K1351" s="21" t="n">
        <v>46113.80474537037</v>
      </c>
      <c r="L1351" s="21" t="n">
        <v>46113</v>
      </c>
      <c r="M1351" s="8" t="inlineStr"/>
      <c r="N1351" s="8" t="inlineStr">
        <is>
          <t>Сотрудник, ведущий реестр</t>
        </is>
      </c>
      <c r="O1351" s="8" t="inlineStr">
        <is>
          <t>e.satarov</t>
        </is>
      </c>
      <c r="P1351" s="12" t="inlineStr">
        <is>
          <t>Строка реестра записана 2 раза (все поля совпадают); 1С и ETM согласованы (31,581.00), без копии реестр тоже совпадает. Удалить лишнюю строку в реестре; на баланс это не влияет</t>
        </is>
      </c>
      <c r="Q1351" s="8" t="inlineStr">
        <is>
          <t>57184457</t>
        </is>
      </c>
    </row>
    <row r="1352">
      <c r="A1352" s="8" t="inlineStr">
        <is>
          <t>G05729</t>
        </is>
      </c>
      <c r="B1352" s="8" t="inlineStr">
        <is>
          <t>Ала-Арча Авиакасса</t>
        </is>
      </c>
      <c r="C1352" s="8" t="inlineStr">
        <is>
          <t>2461881736|2461881737|2461881740</t>
        </is>
      </c>
      <c r="D1352" s="8" t="inlineStr">
        <is>
          <t>Строка реестра задвоена</t>
        </is>
      </c>
      <c r="E1352" s="8" t="inlineStr">
        <is>
          <t>Реестр (сотрудник)</t>
        </is>
      </c>
      <c r="F1352" s="8" t="inlineStr">
        <is>
          <t>B</t>
        </is>
      </c>
      <c r="G1352" s="14" t="n">
        <v>40416</v>
      </c>
      <c r="H1352" s="14" t="n">
        <v>-40416</v>
      </c>
      <c r="I1352" s="14" t="n">
        <v>40416</v>
      </c>
      <c r="J1352" s="14" t="n">
        <v>0</v>
      </c>
      <c r="K1352" s="21" t="n">
        <v>46172.62143518519</v>
      </c>
      <c r="L1352" s="21" t="n">
        <v>46172</v>
      </c>
      <c r="M1352" s="8" t="inlineStr"/>
      <c r="N1352" s="8" t="inlineStr">
        <is>
          <t>Сотрудник, ведущий реестр</t>
        </is>
      </c>
      <c r="O1352" s="8" t="inlineStr">
        <is>
          <t>r.sydykov</t>
        </is>
      </c>
      <c r="P1352" s="12" t="inlineStr">
        <is>
          <t>Строка реестра записана 2 раза (все поля совпадают); 1С и ETM согласованы (40,416.00), без копии реестр тоже совпадает. Удалить лишнюю строку в реестре; на баланс это не влияет</t>
        </is>
      </c>
      <c r="Q1352" s="8" t="inlineStr">
        <is>
          <t>57327889</t>
        </is>
      </c>
    </row>
    <row r="1353">
      <c r="A1353" s="8" t="inlineStr">
        <is>
          <t>G06026</t>
        </is>
      </c>
      <c r="B1353" s="8" t="inlineStr">
        <is>
          <t>Байтур Трип</t>
        </is>
      </c>
      <c r="C1353" s="8" t="inlineStr">
        <is>
          <t>2420848563</t>
        </is>
      </c>
      <c r="D1353" s="8" t="inlineStr">
        <is>
          <t>Строка реестра задвоена</t>
        </is>
      </c>
      <c r="E1353" s="8" t="inlineStr">
        <is>
          <t>Реестр (сотрудник)</t>
        </is>
      </c>
      <c r="F1353" s="8" t="inlineStr">
        <is>
          <t>B</t>
        </is>
      </c>
      <c r="G1353" s="14" t="n">
        <v>25353.8</v>
      </c>
      <c r="H1353" s="14" t="n">
        <v>-25353.8</v>
      </c>
      <c r="I1353" s="14" t="n">
        <v>25353.7961</v>
      </c>
      <c r="J1353" s="14" t="n">
        <v>0</v>
      </c>
      <c r="K1353" s="21" t="n">
        <v>46208.67162037037</v>
      </c>
      <c r="L1353" s="21" t="n">
        <v>46208</v>
      </c>
      <c r="M1353" s="8" t="inlineStr"/>
      <c r="N1353" s="8" t="inlineStr">
        <is>
          <t>Сотрудник, ведущий реестр</t>
        </is>
      </c>
      <c r="O1353" s="8" t="inlineStr">
        <is>
          <t>k.dzhumaev</t>
        </is>
      </c>
      <c r="P1353" s="12" t="inlineStr">
        <is>
          <t>Строка реестра записана 2 раза (все поля совпадают); 1С и ETM согласованы (25,353.80), без копии реестр тоже совпадает. Удалить лишнюю строку в реестре; на баланс это не влияет</t>
        </is>
      </c>
      <c r="Q1353" s="8" t="inlineStr">
        <is>
          <t>57432834</t>
        </is>
      </c>
    </row>
    <row r="1354">
      <c r="A1354" s="8" t="inlineStr">
        <is>
          <t>G06219</t>
        </is>
      </c>
      <c r="B1354" s="8" t="inlineStr">
        <is>
          <t>Бейшенова Н. Ч.</t>
        </is>
      </c>
      <c r="C1354" s="8" t="inlineStr">
        <is>
          <t>2552672015</t>
        </is>
      </c>
      <c r="D1354" s="8" t="inlineStr">
        <is>
          <t>Строка реестра задвоена</t>
        </is>
      </c>
      <c r="E1354" s="8" t="inlineStr">
        <is>
          <t>Реестр (сотрудник)</t>
        </is>
      </c>
      <c r="F1354" s="8" t="inlineStr">
        <is>
          <t>B</t>
        </is>
      </c>
      <c r="G1354" s="14" t="n">
        <v>40562.77</v>
      </c>
      <c r="H1354" s="14" t="n">
        <v>-40562.77</v>
      </c>
      <c r="I1354" s="14" t="n">
        <v>40562.77</v>
      </c>
      <c r="J1354" s="14" t="n">
        <v>0</v>
      </c>
      <c r="K1354" s="21" t="n">
        <v>46033.36571759259</v>
      </c>
      <c r="L1354" s="21" t="n">
        <v>46033</v>
      </c>
      <c r="M1354" s="8" t="inlineStr"/>
      <c r="N1354" s="8" t="inlineStr">
        <is>
          <t>Сотрудник, ведущий реестр</t>
        </is>
      </c>
      <c r="O1354" s="8" t="inlineStr">
        <is>
          <t>d.mambetova</t>
        </is>
      </c>
      <c r="P1354" s="12" t="inlineStr">
        <is>
          <t>Строка реестра записана 2 раза (все поля совпадают); 1С и ETM согласованы (40,562.77), без копии реестр тоже совпадает. Удалить лишнюю строку в реестре; на баланс это не влияет</t>
        </is>
      </c>
      <c r="Q1354" s="8" t="inlineStr">
        <is>
          <t>57020989</t>
        </is>
      </c>
    </row>
    <row r="1355">
      <c r="A1355" s="8" t="inlineStr">
        <is>
          <t>G06383</t>
        </is>
      </c>
      <c r="B1355" s="8" t="inlineStr">
        <is>
          <t>Джолдош уулу Эмир</t>
        </is>
      </c>
      <c r="C1355" s="8" t="inlineStr">
        <is>
          <t>2416943320</t>
        </is>
      </c>
      <c r="D1355" s="8" t="inlineStr">
        <is>
          <t>Строка реестра задвоена</t>
        </is>
      </c>
      <c r="E1355" s="8" t="inlineStr">
        <is>
          <t>Реестр (сотрудник)</t>
        </is>
      </c>
      <c r="F1355" s="8" t="inlineStr">
        <is>
          <t>B</t>
        </is>
      </c>
      <c r="G1355" s="14" t="n">
        <v>17344.53</v>
      </c>
      <c r="H1355" s="14" t="n">
        <v>-17344.53</v>
      </c>
      <c r="I1355" s="14" t="n">
        <v>17344.53</v>
      </c>
      <c r="J1355" s="14" t="n">
        <v>0</v>
      </c>
      <c r="K1355" s="21" t="n">
        <v>46092.4828587963</v>
      </c>
      <c r="L1355" s="21" t="n">
        <v>46092</v>
      </c>
      <c r="M1355" s="8" t="inlineStr"/>
      <c r="N1355" s="8" t="inlineStr">
        <is>
          <t>Сотрудник, ведущий реестр</t>
        </is>
      </c>
      <c r="O1355" s="8" t="inlineStr">
        <is>
          <t>k.dzhumaev</t>
        </is>
      </c>
      <c r="P1355" s="12" t="inlineStr">
        <is>
          <t>Строка реестра записана 2 раза (все поля совпадают); 1С и ETM согласованы (17,344.53), без копии реестр тоже совпадает. Удалить лишнюю строку в реестре; на баланс это не влияет</t>
        </is>
      </c>
      <c r="Q1355" s="8" t="inlineStr">
        <is>
          <t>57140075</t>
        </is>
      </c>
    </row>
    <row r="1356">
      <c r="A1356" s="8" t="inlineStr">
        <is>
          <t>G06580</t>
        </is>
      </c>
      <c r="B1356" s="8" t="inlineStr">
        <is>
          <t>Джолдошова Салтанат Сатаревна</t>
        </is>
      </c>
      <c r="C1356" s="8" t="inlineStr">
        <is>
          <t>2420845793</t>
        </is>
      </c>
      <c r="D1356" s="8" t="inlineStr">
        <is>
          <t>Строка реестра задвоена</t>
        </is>
      </c>
      <c r="E1356" s="8" t="inlineStr">
        <is>
          <t>Реестр (сотрудник)</t>
        </is>
      </c>
      <c r="F1356" s="8" t="inlineStr">
        <is>
          <t>B</t>
        </is>
      </c>
      <c r="G1356" s="14" t="n">
        <v>15334.5</v>
      </c>
      <c r="H1356" s="14" t="n">
        <v>-15334.5</v>
      </c>
      <c r="I1356" s="14" t="n">
        <v>15334.5028</v>
      </c>
      <c r="J1356" s="14" t="n">
        <v>0</v>
      </c>
      <c r="K1356" s="21" t="n">
        <v>46099.52506944445</v>
      </c>
      <c r="L1356" s="21" t="n">
        <v>46099</v>
      </c>
      <c r="M1356" s="8" t="inlineStr"/>
      <c r="N1356" s="8" t="inlineStr">
        <is>
          <t>Сотрудник, ведущий реестр</t>
        </is>
      </c>
      <c r="O1356" s="8" t="inlineStr">
        <is>
          <t>e.satarov</t>
        </is>
      </c>
      <c r="P1356" s="12" t="inlineStr">
        <is>
          <t>Строка реестра записана 2 раза (все поля совпадают); 1С и ETM согласованы (15,334.50), без копии реестр тоже совпадает. Удалить лишнюю строку в реестре; на баланс это не влияет</t>
        </is>
      </c>
      <c r="Q1356" s="8" t="inlineStr">
        <is>
          <t>57155791</t>
        </is>
      </c>
    </row>
    <row r="1357">
      <c r="A1357" s="8" t="inlineStr">
        <is>
          <t>G06878</t>
        </is>
      </c>
      <c r="B1357" s="8" t="inlineStr">
        <is>
          <t>Жибек Авиакасса</t>
        </is>
      </c>
      <c r="C1357" s="8" t="inlineStr">
        <is>
          <t>2416946170</t>
        </is>
      </c>
      <c r="D1357" s="8" t="inlineStr">
        <is>
          <t>Строка реестра задвоена</t>
        </is>
      </c>
      <c r="E1357" s="8" t="inlineStr">
        <is>
          <t>Реестр (сотрудник)</t>
        </is>
      </c>
      <c r="F1357" s="8" t="inlineStr">
        <is>
          <t>B</t>
        </is>
      </c>
      <c r="G1357" s="14" t="n">
        <v>44485.25</v>
      </c>
      <c r="H1357" s="14" t="n">
        <v>-44485.25</v>
      </c>
      <c r="I1357" s="14" t="n">
        <v>44485.25</v>
      </c>
      <c r="J1357" s="14" t="n">
        <v>0</v>
      </c>
      <c r="K1357" s="21" t="n">
        <v>46129.42222222222</v>
      </c>
      <c r="L1357" s="21" t="n">
        <v>46129</v>
      </c>
      <c r="M1357" s="8" t="inlineStr"/>
      <c r="N1357" s="8" t="inlineStr">
        <is>
          <t>Сотрудник, ведущий реестр</t>
        </is>
      </c>
      <c r="O1357" s="8" t="inlineStr">
        <is>
          <t>d.mambetova</t>
        </is>
      </c>
      <c r="P1357" s="12" t="inlineStr">
        <is>
          <t>Строка реестра записана 2 раза (все поля совпадают); 1С и ETM согласованы (44,485.25), без копии реестр тоже совпадает. Удалить лишнюю строку в реестре; на баланс это не влияет</t>
        </is>
      </c>
      <c r="Q1357" s="8" t="inlineStr">
        <is>
          <t>57213348</t>
        </is>
      </c>
    </row>
    <row r="1358">
      <c r="A1358" s="8" t="inlineStr">
        <is>
          <t>G07956</t>
        </is>
      </c>
      <c r="B1358" s="8" t="inlineStr">
        <is>
          <t>ИП Бейшенова Д. О.</t>
        </is>
      </c>
      <c r="C1358" s="8" t="inlineStr">
        <is>
          <t>2460737653</t>
        </is>
      </c>
      <c r="D1358" s="8" t="inlineStr">
        <is>
          <t>Реестр отличается от ETM и 1С</t>
        </is>
      </c>
      <c r="E1358" s="8" t="inlineStr">
        <is>
          <t>Реестр (сотрудник)</t>
        </is>
      </c>
      <c r="F1358" s="8" t="inlineStr">
        <is>
          <t>B</t>
        </is>
      </c>
      <c r="G1358" s="14" t="n">
        <v>-19998</v>
      </c>
      <c r="H1358" s="14" t="n">
        <v>19998</v>
      </c>
      <c r="I1358" s="14" t="n">
        <v>0</v>
      </c>
      <c r="J1358" s="14" t="n">
        <v>0</v>
      </c>
      <c r="K1358" s="21" t="n">
        <v>46186.70612268519</v>
      </c>
      <c r="L1358" s="21" t="n">
        <v>46186</v>
      </c>
      <c r="M1358" s="8" t="inlineStr"/>
      <c r="N1358" s="8" t="inlineStr">
        <is>
          <t>Сотрудник, ведущий реестр</t>
        </is>
      </c>
      <c r="O1358" s="8" t="inlineStr">
        <is>
          <t>k.dzhumaev</t>
        </is>
      </c>
      <c r="P1358" s="12" t="inlineStr">
        <is>
          <t>1С и ETM согласованы (-19,998.00), а в реестре сумма 0.00: агент ошибся в реестре; на баланс это не влияет</t>
        </is>
      </c>
      <c r="Q1358" s="8" t="inlineStr">
        <is>
          <t>57363534</t>
        </is>
      </c>
    </row>
    <row r="1359">
      <c r="A1359" s="8" t="inlineStr">
        <is>
          <t>G08108</t>
        </is>
      </c>
      <c r="B1359" s="8" t="inlineStr">
        <is>
          <t>ИП Джолдошов Д. У.</t>
        </is>
      </c>
      <c r="C1359" s="8" t="inlineStr">
        <is>
          <t>2476317795|2476317798|2476317801</t>
        </is>
      </c>
      <c r="D1359" s="8" t="inlineStr">
        <is>
          <t>Строка реестра задвоена</t>
        </is>
      </c>
      <c r="E1359" s="8" t="inlineStr">
        <is>
          <t>Реестр (сотрудник)</t>
        </is>
      </c>
      <c r="F1359" s="8" t="inlineStr">
        <is>
          <t>B</t>
        </is>
      </c>
      <c r="G1359" s="14" t="n">
        <v>81772.38</v>
      </c>
      <c r="H1359" s="14" t="n">
        <v>-81772.38</v>
      </c>
      <c r="I1359" s="14" t="n">
        <v>81772.38</v>
      </c>
      <c r="J1359" s="14" t="n">
        <v>0</v>
      </c>
      <c r="K1359" s="21" t="n">
        <v>46155.4182175926</v>
      </c>
      <c r="L1359" s="21" t="n">
        <v>46155</v>
      </c>
      <c r="M1359" s="8" t="inlineStr"/>
      <c r="N1359" s="8" t="inlineStr">
        <is>
          <t>Сотрудник, ведущий реестр</t>
        </is>
      </c>
      <c r="O1359" s="8" t="inlineStr">
        <is>
          <t>d.mambetova</t>
        </is>
      </c>
      <c r="P1359" s="12" t="inlineStr">
        <is>
          <t>Строка реестра записана 2 раза (все поля совпадают); 1С и ETM согласованы (81,772.38), без копии реестр тоже совпадает. Удалить лишнюю строку в реестре; на баланс это не влияет</t>
        </is>
      </c>
      <c r="Q1359" s="8" t="inlineStr">
        <is>
          <t>57280407</t>
        </is>
      </c>
    </row>
    <row r="1360">
      <c r="A1360" s="8" t="inlineStr">
        <is>
          <t>G08283</t>
        </is>
      </c>
      <c r="B1360" s="8" t="inlineStr">
        <is>
          <t>ИП Мамбетова Ч. Э.</t>
        </is>
      </c>
      <c r="C1360" s="8" t="inlineStr">
        <is>
          <t>2476315356</t>
        </is>
      </c>
      <c r="D1360" s="8" t="inlineStr">
        <is>
          <t>Строка реестра задвоена</t>
        </is>
      </c>
      <c r="E1360" s="8" t="inlineStr">
        <is>
          <t>Реестр (сотрудник)</t>
        </is>
      </c>
      <c r="F1360" s="8" t="inlineStr">
        <is>
          <t>B</t>
        </is>
      </c>
      <c r="G1360" s="14" t="n">
        <v>28265</v>
      </c>
      <c r="H1360" s="14" t="n">
        <v>-28265</v>
      </c>
      <c r="I1360" s="14" t="n">
        <v>28265</v>
      </c>
      <c r="J1360" s="14" t="n">
        <v>0</v>
      </c>
      <c r="K1360" s="21" t="n">
        <v>46060.53671296296</v>
      </c>
      <c r="L1360" s="21" t="n">
        <v>46060</v>
      </c>
      <c r="M1360" s="8" t="inlineStr"/>
      <c r="N1360" s="8" t="inlineStr">
        <is>
          <t>Сотрудник, ведущий реестр</t>
        </is>
      </c>
      <c r="O1360" s="8" t="inlineStr">
        <is>
          <t>r.sydykov</t>
        </is>
      </c>
      <c r="P1360" s="12" t="inlineStr">
        <is>
          <t>Строка реестра записана 2 раза (все поля совпадают); 1С и ETM согласованы (28,265.00), без копии реестр тоже совпадает. Удалить лишнюю строку в реестре; на баланс это не влияет</t>
        </is>
      </c>
      <c r="Q1360" s="8" t="inlineStr">
        <is>
          <t>57077657</t>
        </is>
      </c>
    </row>
    <row r="1361">
      <c r="A1361" s="8" t="inlineStr">
        <is>
          <t>G08323</t>
        </is>
      </c>
      <c r="B1361" s="8" t="inlineStr">
        <is>
          <t>ИП Муратов Э. У.</t>
        </is>
      </c>
      <c r="C1361" s="8" t="inlineStr">
        <is>
          <t>2416942491</t>
        </is>
      </c>
      <c r="D1361" s="8" t="inlineStr">
        <is>
          <t>Строка реестра задвоена</t>
        </is>
      </c>
      <c r="E1361" s="8" t="inlineStr">
        <is>
          <t>Реестр (сотрудник)</t>
        </is>
      </c>
      <c r="F1361" s="8" t="inlineStr">
        <is>
          <t>B</t>
        </is>
      </c>
      <c r="G1361" s="14" t="n">
        <v>29028.95</v>
      </c>
      <c r="H1361" s="14" t="n">
        <v>-29028.95</v>
      </c>
      <c r="I1361" s="14" t="n">
        <v>29028.95</v>
      </c>
      <c r="J1361" s="14" t="n">
        <v>0</v>
      </c>
      <c r="K1361" s="21" t="n">
        <v>46159.44622685185</v>
      </c>
      <c r="L1361" s="21" t="n">
        <v>46159</v>
      </c>
      <c r="M1361" s="8" t="inlineStr"/>
      <c r="N1361" s="8" t="inlineStr">
        <is>
          <t>Сотрудник, ведущий реестр</t>
        </is>
      </c>
      <c r="O1361" s="8" t="inlineStr">
        <is>
          <t>n.abdyldaeva</t>
        </is>
      </c>
      <c r="P1361" s="12" t="inlineStr">
        <is>
          <t>Строка реестра записана 2 раза (все поля совпадают); 1С и ETM согласованы (29,028.95), без копии реестр тоже совпадает. Удалить лишнюю строку в реестре; на баланс это не влияет</t>
        </is>
      </c>
      <c r="Q1361" s="8" t="inlineStr">
        <is>
          <t>57292722</t>
        </is>
      </c>
    </row>
    <row r="1362">
      <c r="A1362" s="8" t="inlineStr">
        <is>
          <t>G08555</t>
        </is>
      </c>
      <c r="B1362" s="8" t="inlineStr">
        <is>
          <t>ИП Токтосун кызы Н.</t>
        </is>
      </c>
      <c r="C1362" s="8" t="inlineStr">
        <is>
          <t>2459529671</t>
        </is>
      </c>
      <c r="D1362" s="8" t="inlineStr">
        <is>
          <t>Строка реестра задвоена</t>
        </is>
      </c>
      <c r="E1362" s="8" t="inlineStr">
        <is>
          <t>Реестр (сотрудник)</t>
        </is>
      </c>
      <c r="F1362" s="8" t="inlineStr">
        <is>
          <t>B</t>
        </is>
      </c>
      <c r="G1362" s="14" t="n">
        <v>12452</v>
      </c>
      <c r="H1362" s="14" t="n">
        <v>-12452</v>
      </c>
      <c r="I1362" s="14" t="n">
        <v>12452</v>
      </c>
      <c r="J1362" s="14" t="n">
        <v>0</v>
      </c>
      <c r="K1362" s="21" t="n">
        <v>46193.50696759259</v>
      </c>
      <c r="L1362" s="21" t="n">
        <v>46193</v>
      </c>
      <c r="M1362" s="8" t="inlineStr"/>
      <c r="N1362" s="8" t="inlineStr">
        <is>
          <t>Сотрудник, ведущий реестр</t>
        </is>
      </c>
      <c r="O1362" s="8" t="inlineStr">
        <is>
          <t>b.isakov</t>
        </is>
      </c>
      <c r="P1362" s="12" t="inlineStr">
        <is>
          <t>Строка реестра записана 2 раза (все поля совпадают); 1С и ETM согласованы (12,452.00), без копии реестр тоже совпадает. Удалить лишнюю строку в реестре; на баланс это не влияет</t>
        </is>
      </c>
      <c r="Q1362" s="8" t="inlineStr">
        <is>
          <t>57384242</t>
        </is>
      </c>
    </row>
    <row r="1363">
      <c r="A1363" s="8" t="inlineStr">
        <is>
          <t>G08783</t>
        </is>
      </c>
      <c r="B1363" s="8" t="inlineStr">
        <is>
          <t>ИП Турсунов Т. А.</t>
        </is>
      </c>
      <c r="C1363" s="8" t="inlineStr">
        <is>
          <t>2552669313</t>
        </is>
      </c>
      <c r="D1363" s="8" t="inlineStr">
        <is>
          <t>Строка реестра задвоена</t>
        </is>
      </c>
      <c r="E1363" s="8" t="inlineStr">
        <is>
          <t>Реестр (сотрудник)</t>
        </is>
      </c>
      <c r="F1363" s="8" t="inlineStr">
        <is>
          <t>B</t>
        </is>
      </c>
      <c r="G1363" s="14" t="n">
        <v>3687.149999999998</v>
      </c>
      <c r="H1363" s="14" t="n">
        <v>-3687.149999999998</v>
      </c>
      <c r="I1363" s="14" t="n">
        <v>3687.1525</v>
      </c>
      <c r="J1363" s="14" t="n">
        <v>0</v>
      </c>
      <c r="K1363" s="21" t="n">
        <v>46173.74006944444</v>
      </c>
      <c r="L1363" s="21" t="n">
        <v>46173</v>
      </c>
      <c r="M1363" s="8" t="inlineStr"/>
      <c r="N1363" s="8" t="inlineStr">
        <is>
          <t>Сотрудник, ведущий реестр</t>
        </is>
      </c>
      <c r="O1363" s="8" t="inlineStr">
        <is>
          <t>g.omurbekova|k.dzhumaev</t>
        </is>
      </c>
      <c r="P1363" s="12" t="inlineStr">
        <is>
          <t>Строка реестра записана 2 раза (все поля совпадают); 1С и ETM согласованы (3,687.15), без копии реестр тоже совпадает. Удалить лишнюю строку в реестре; на баланс это не влияет</t>
        </is>
      </c>
      <c r="Q1363" s="8" t="inlineStr">
        <is>
          <t>57330926,57436333</t>
        </is>
      </c>
    </row>
    <row r="1364">
      <c r="A1364" s="8" t="inlineStr">
        <is>
          <t>G08842</t>
        </is>
      </c>
      <c r="B1364" s="8" t="inlineStr">
        <is>
          <t>ИП Элдиярова А. Ч.</t>
        </is>
      </c>
      <c r="C1364" s="8" t="inlineStr">
        <is>
          <t>2559099571|2559099574</t>
        </is>
      </c>
      <c r="D1364" s="8" t="inlineStr">
        <is>
          <t>Строка реестра задвоена</t>
        </is>
      </c>
      <c r="E1364" s="8" t="inlineStr">
        <is>
          <t>Реестр (сотрудник)</t>
        </is>
      </c>
      <c r="F1364" s="8" t="inlineStr">
        <is>
          <t>B</t>
        </is>
      </c>
      <c r="G1364" s="14" t="n">
        <v>117637.96</v>
      </c>
      <c r="H1364" s="14" t="n">
        <v>-117637.96</v>
      </c>
      <c r="I1364" s="14" t="n">
        <v>117637.95</v>
      </c>
      <c r="J1364" s="14" t="n">
        <v>0</v>
      </c>
      <c r="K1364" s="21" t="n">
        <v>46131.42510416666</v>
      </c>
      <c r="L1364" s="21" t="n">
        <v>46131</v>
      </c>
      <c r="M1364" s="8" t="inlineStr"/>
      <c r="N1364" s="8" t="inlineStr">
        <is>
          <t>Сотрудник, ведущий реестр</t>
        </is>
      </c>
      <c r="O1364" s="8" t="inlineStr">
        <is>
          <t>d.mambetova</t>
        </is>
      </c>
      <c r="P1364" s="12" t="inlineStr">
        <is>
          <t>Строка реестра записана 2 раза (все поля совпадают); 1С и ETM согласованы (117,637.96), без копии реестр тоже совпадает. Удалить лишнюю строку в реестре; на баланс это не влияет</t>
        </is>
      </c>
      <c r="Q1364" s="8" t="inlineStr">
        <is>
          <t>57215437,57215422</t>
        </is>
      </c>
    </row>
    <row r="1365">
      <c r="A1365" s="8" t="inlineStr">
        <is>
          <t>G08847</t>
        </is>
      </c>
      <c r="B1365" s="8" t="inlineStr">
        <is>
          <t>ИССЫК ТРИП</t>
        </is>
      </c>
      <c r="C1365" s="8" t="inlineStr">
        <is>
          <t>2416940869</t>
        </is>
      </c>
      <c r="D1365" s="8" t="inlineStr">
        <is>
          <t>ETM, акт 1С за месяц не выгружен</t>
        </is>
      </c>
      <c r="E1365" s="8" t="inlineStr">
        <is>
          <t>Выгрузка 1С</t>
        </is>
      </c>
      <c r="F1365" s="8" t="inlineStr">
        <is>
          <t>B</t>
        </is>
      </c>
      <c r="G1365" s="14" t="n">
        <v>0</v>
      </c>
      <c r="H1365" s="14" t="n">
        <v>0</v>
      </c>
      <c r="I1365" s="14" t="n"/>
      <c r="J1365" s="14" t="n">
        <v>0</v>
      </c>
      <c r="K1365" s="21" t="n">
        <v>46057.78361111111</v>
      </c>
      <c r="L1365" s="21" t="n"/>
      <c r="M1365" s="8" t="inlineStr"/>
      <c r="N1365" s="8" t="inlineStr">
        <is>
          <t>Бухгалтер: выгрузить акт</t>
        </is>
      </c>
      <c r="O1365" s="8" t="inlineStr"/>
      <c r="P1365" s="12" t="inlineStr">
        <is>
          <t>Операция есть в ETM, а акт 1С за этот (или следующий) месяц не выгружен — сначала получить акт</t>
        </is>
      </c>
      <c r="Q1365" s="8" t="inlineStr">
        <is>
          <t>57072478,57104178</t>
        </is>
      </c>
    </row>
    <row r="1366">
      <c r="A1366" s="8" t="inlineStr">
        <is>
          <t>G08974</t>
        </is>
      </c>
      <c r="B1366" s="8" t="inlineStr">
        <is>
          <t>ИССЫК ТРИП</t>
        </is>
      </c>
      <c r="C1366" s="8" t="inlineStr">
        <is>
          <t>2420848127|2420848128</t>
        </is>
      </c>
      <c r="D1366" s="8" t="inlineStr">
        <is>
          <t>Строка реестра задвоена</t>
        </is>
      </c>
      <c r="E1366" s="8" t="inlineStr">
        <is>
          <t>Реестр (сотрудник)</t>
        </is>
      </c>
      <c r="F1366" s="8" t="inlineStr">
        <is>
          <t>B</t>
        </is>
      </c>
      <c r="G1366" s="14" t="n">
        <v>45014.58</v>
      </c>
      <c r="H1366" s="14" t="n">
        <v>-45014.58</v>
      </c>
      <c r="I1366" s="14" t="n">
        <v>45014.58719999999</v>
      </c>
      <c r="J1366" s="14" t="n">
        <v>0</v>
      </c>
      <c r="K1366" s="21" t="n">
        <v>46045.49082175926</v>
      </c>
      <c r="L1366" s="21" t="n">
        <v>46045</v>
      </c>
      <c r="M1366" s="8" t="inlineStr"/>
      <c r="N1366" s="8" t="inlineStr">
        <is>
          <t>Сотрудник, ведущий реестр</t>
        </is>
      </c>
      <c r="O1366" s="8" t="inlineStr">
        <is>
          <t>d.mambetova</t>
        </is>
      </c>
      <c r="P1366" s="12" t="inlineStr">
        <is>
          <t>Строка реестра записана 2 раза (все поля совпадают); 1С и ETM согласованы (45,014.58), без копии реестр тоже совпадает. Удалить лишнюю строку в реестре; на баланс это не влияет</t>
        </is>
      </c>
      <c r="Q1366" s="8" t="inlineStr">
        <is>
          <t>57048471,57048448</t>
        </is>
      </c>
    </row>
    <row r="1367">
      <c r="A1367" s="8" t="inlineStr">
        <is>
          <t>G09054</t>
        </is>
      </c>
      <c r="B1367" s="8" t="inlineStr">
        <is>
          <t>ИССЫК ТРИП</t>
        </is>
      </c>
      <c r="C1367" s="8" t="inlineStr">
        <is>
          <t>2460732951|2460732952</t>
        </is>
      </c>
      <c r="D1367" s="8" t="inlineStr">
        <is>
          <t>Строка реестра задвоена</t>
        </is>
      </c>
      <c r="E1367" s="8" t="inlineStr">
        <is>
          <t>Реестр (сотрудник)</t>
        </is>
      </c>
      <c r="F1367" s="8" t="inlineStr">
        <is>
          <t>B</t>
        </is>
      </c>
      <c r="G1367" s="14" t="n">
        <v>40922</v>
      </c>
      <c r="H1367" s="14" t="n">
        <v>-40922</v>
      </c>
      <c r="I1367" s="14" t="n">
        <v>40922</v>
      </c>
      <c r="J1367" s="14" t="n">
        <v>0</v>
      </c>
      <c r="K1367" s="21" t="n">
        <v>46226.33375</v>
      </c>
      <c r="L1367" s="21" t="n">
        <v>46226</v>
      </c>
      <c r="M1367" s="8" t="inlineStr"/>
      <c r="N1367" s="8" t="inlineStr">
        <is>
          <t>Сотрудник, ведущий реестр</t>
        </is>
      </c>
      <c r="O1367" s="8" t="inlineStr">
        <is>
          <t>b.isakov</t>
        </is>
      </c>
      <c r="P1367" s="12" t="inlineStr">
        <is>
          <t>Строка реестра записана 2 раза (все поля совпадают); 1С и ETM согласованы (40,922.00), без копии реестр тоже совпадает. Удалить лишнюю строку в реестре; на баланс это не влияет</t>
        </is>
      </c>
      <c r="Q1367" s="8" t="inlineStr">
        <is>
          <t>57480793,57480820</t>
        </is>
      </c>
    </row>
    <row r="1368">
      <c r="A1368" s="8" t="inlineStr">
        <is>
          <t>G09418</t>
        </is>
      </c>
      <c r="B1368" s="8" t="inlineStr">
        <is>
          <t>Иссык Вояж</t>
        </is>
      </c>
      <c r="C1368" s="8" t="inlineStr">
        <is>
          <t>2476314094</t>
        </is>
      </c>
      <c r="D1368" s="8" t="inlineStr">
        <is>
          <t>Строка реестра задвоена</t>
        </is>
      </c>
      <c r="E1368" s="8" t="inlineStr">
        <is>
          <t>Реестр (сотрудник)</t>
        </is>
      </c>
      <c r="F1368" s="8" t="inlineStr">
        <is>
          <t>B</t>
        </is>
      </c>
      <c r="G1368" s="14" t="n">
        <v>27060.96</v>
      </c>
      <c r="H1368" s="14" t="n">
        <v>-27060.96</v>
      </c>
      <c r="I1368" s="14" t="n">
        <v>27060.96</v>
      </c>
      <c r="J1368" s="14" t="n">
        <v>0</v>
      </c>
      <c r="K1368" s="21" t="n">
        <v>46212.53987268519</v>
      </c>
      <c r="L1368" s="21" t="n">
        <v>46212</v>
      </c>
      <c r="M1368" s="8" t="inlineStr"/>
      <c r="N1368" s="8" t="inlineStr">
        <is>
          <t>Сотрудник, ведущий реестр</t>
        </is>
      </c>
      <c r="O1368" s="8" t="inlineStr">
        <is>
          <t>b.isakov</t>
        </is>
      </c>
      <c r="P1368" s="12" t="inlineStr">
        <is>
          <t>Строка реестра записана 2 раза (все поля совпадают); 1С и ETM согласованы (27,060.96), без копии реестр тоже совпадает. Удалить лишнюю строку в реестре; на баланс это не влияет</t>
        </is>
      </c>
      <c r="Q1368" s="8" t="inlineStr">
        <is>
          <t>57442964</t>
        </is>
      </c>
    </row>
    <row r="1369">
      <c r="A1369" s="8" t="inlineStr">
        <is>
          <t>G09490</t>
        </is>
      </c>
      <c r="B1369" s="8" t="inlineStr">
        <is>
          <t>КУТ ЭЙР</t>
        </is>
      </c>
      <c r="C1369" s="8" t="inlineStr">
        <is>
          <t>2460733333|2460733335</t>
        </is>
      </c>
      <c r="D1369" s="8" t="inlineStr">
        <is>
          <t>Строка реестра задвоена</t>
        </is>
      </c>
      <c r="E1369" s="8" t="inlineStr">
        <is>
          <t>Реестр (сотрудник)</t>
        </is>
      </c>
      <c r="F1369" s="8" t="inlineStr">
        <is>
          <t>B</t>
        </is>
      </c>
      <c r="G1369" s="14" t="n">
        <v>26540</v>
      </c>
      <c r="H1369" s="14" t="n">
        <v>-26540</v>
      </c>
      <c r="I1369" s="14" t="n">
        <v>26540</v>
      </c>
      <c r="J1369" s="14" t="n">
        <v>0</v>
      </c>
      <c r="K1369" s="21" t="n">
        <v>46195.56894675926</v>
      </c>
      <c r="L1369" s="21" t="n">
        <v>46195</v>
      </c>
      <c r="M1369" s="8" t="inlineStr"/>
      <c r="N1369" s="8" t="inlineStr">
        <is>
          <t>Сотрудник, ведущий реестр</t>
        </is>
      </c>
      <c r="O1369" s="8" t="inlineStr">
        <is>
          <t>e.satarov</t>
        </is>
      </c>
      <c r="P1369" s="12" t="inlineStr">
        <is>
          <t>Строка реестра записана 2 раза (все поля совпадают); 1С и ETM согласованы (26,540.00), без копии реестр тоже совпадает. Удалить лишнюю строку в реестре; на баланс это не влияет</t>
        </is>
      </c>
      <c r="Q1369" s="8" t="inlineStr">
        <is>
          <t>57388564</t>
        </is>
      </c>
    </row>
    <row r="1370">
      <c r="A1370" s="8" t="inlineStr">
        <is>
          <t>G09776</t>
        </is>
      </c>
      <c r="B1370" s="8" t="inlineStr">
        <is>
          <t>Кадырова Айнура Жумабекевна</t>
        </is>
      </c>
      <c r="C1370" s="8" t="inlineStr">
        <is>
          <t>2552670765</t>
        </is>
      </c>
      <c r="D1370" s="8" t="inlineStr">
        <is>
          <t>Строка реестра задвоена</t>
        </is>
      </c>
      <c r="E1370" s="8" t="inlineStr">
        <is>
          <t>Реестр (сотрудник)</t>
        </is>
      </c>
      <c r="F1370" s="8" t="inlineStr">
        <is>
          <t>B</t>
        </is>
      </c>
      <c r="G1370" s="14" t="n">
        <v>0</v>
      </c>
      <c r="H1370" s="14" t="n">
        <v>0</v>
      </c>
      <c r="I1370" s="14" t="n">
        <v>-0.004999999997380655</v>
      </c>
      <c r="J1370" s="14" t="n">
        <v>0</v>
      </c>
      <c r="K1370" s="21" t="n">
        <v>46196.51751157407</v>
      </c>
      <c r="L1370" s="21" t="n">
        <v>46196</v>
      </c>
      <c r="M1370" s="8" t="inlineStr"/>
      <c r="N1370" s="8" t="inlineStr">
        <is>
          <t>Сотрудник, ведущий реестр</t>
        </is>
      </c>
      <c r="O1370" s="8" t="inlineStr">
        <is>
          <t>a.toktosunova|g.omurbekova</t>
        </is>
      </c>
      <c r="P1370" s="12" t="inlineStr">
        <is>
          <t>Строка реестра записана 2 раза (все поля совпадают); 1С и ETM согласованы (0.00), без копии реестр тоже совпадает. Удалить лишнюю строку в реестре; на баланс это не влияет</t>
        </is>
      </c>
      <c r="Q1370" s="8" t="inlineStr">
        <is>
          <t>57393258,57419484</t>
        </is>
      </c>
    </row>
    <row r="1371">
      <c r="A1371" s="8" t="inlineStr">
        <is>
          <t>G10362</t>
        </is>
      </c>
      <c r="B1371" s="8" t="inlineStr">
        <is>
          <t>Манас Тревел</t>
        </is>
      </c>
      <c r="C1371" s="8" t="inlineStr">
        <is>
          <t>2461884095</t>
        </is>
      </c>
      <c r="D1371" s="8" t="inlineStr">
        <is>
          <t>Строка реестра задвоена</t>
        </is>
      </c>
      <c r="E1371" s="8" t="inlineStr">
        <is>
          <t>Реестр (сотрудник)</t>
        </is>
      </c>
      <c r="F1371" s="8" t="inlineStr">
        <is>
          <t>B</t>
        </is>
      </c>
      <c r="G1371" s="14" t="n">
        <v>32222</v>
      </c>
      <c r="H1371" s="14" t="n">
        <v>-32222</v>
      </c>
      <c r="I1371" s="14" t="n">
        <v>32222</v>
      </c>
      <c r="J1371" s="14" t="n">
        <v>0</v>
      </c>
      <c r="K1371" s="21" t="n">
        <v>46122.42065972222</v>
      </c>
      <c r="L1371" s="21" t="n">
        <v>46122</v>
      </c>
      <c r="M1371" s="8" t="inlineStr"/>
      <c r="N1371" s="8" t="inlineStr">
        <is>
          <t>Сотрудник, ведущий реестр</t>
        </is>
      </c>
      <c r="O1371" s="8" t="inlineStr">
        <is>
          <t>b.isakov</t>
        </is>
      </c>
      <c r="P1371" s="12" t="inlineStr">
        <is>
          <t>Строка реестра записана 2 раза (все поля совпадают); 1С и ETM согласованы (32,222.00), без копии реестр тоже совпадает. Удалить лишнюю строку в реестре; на баланс это не влияет</t>
        </is>
      </c>
      <c r="Q1371" s="8" t="inlineStr">
        <is>
          <t>57200535</t>
        </is>
      </c>
    </row>
    <row r="1372">
      <c r="A1372" s="8" t="inlineStr">
        <is>
          <t>G10728</t>
        </is>
      </c>
      <c r="B1372" s="8" t="inlineStr">
        <is>
          <t>Небо Авиа</t>
        </is>
      </c>
      <c r="C1372" s="8" t="inlineStr">
        <is>
          <t>2416946423|2416946424|2416946425</t>
        </is>
      </c>
      <c r="D1372" s="8" t="inlineStr">
        <is>
          <t>Строка реестра задвоена</t>
        </is>
      </c>
      <c r="E1372" s="8" t="inlineStr">
        <is>
          <t>Реестр (сотрудник)</t>
        </is>
      </c>
      <c r="F1372" s="8" t="inlineStr">
        <is>
          <t>B</t>
        </is>
      </c>
      <c r="G1372" s="14" t="n">
        <v>158248.74</v>
      </c>
      <c r="H1372" s="14" t="n">
        <v>-158248.74</v>
      </c>
      <c r="I1372" s="14" t="n">
        <v>158248.74</v>
      </c>
      <c r="J1372" s="14" t="n">
        <v>0</v>
      </c>
      <c r="K1372" s="21" t="n">
        <v>46158.38202546296</v>
      </c>
      <c r="L1372" s="21" t="n">
        <v>46158</v>
      </c>
      <c r="M1372" s="8" t="inlineStr"/>
      <c r="N1372" s="8" t="inlineStr">
        <is>
          <t>Сотрудник, ведущий реестр</t>
        </is>
      </c>
      <c r="O1372" s="8" t="inlineStr">
        <is>
          <t>g.omurbekova</t>
        </is>
      </c>
      <c r="P1372" s="12" t="inlineStr">
        <is>
          <t>Строка реестра записана 2 раза (все поля совпадают); 1С и ETM согласованы (158,248.74), без копии реестр тоже совпадает. Удалить лишнюю строку в реестре; на баланс это не влияет</t>
        </is>
      </c>
      <c r="Q1372" s="8" t="inlineStr">
        <is>
          <t>57291417,57291370,57291401</t>
        </is>
      </c>
    </row>
    <row r="1373">
      <c r="A1373" s="8" t="inlineStr">
        <is>
          <t>G11824</t>
        </is>
      </c>
      <c r="B1373" s="8" t="inlineStr">
        <is>
          <t>ОсОО Кок-Жайык Лайн</t>
        </is>
      </c>
      <c r="C1373" s="8" t="inlineStr">
        <is>
          <t>2461884474|2461884476</t>
        </is>
      </c>
      <c r="D1373" s="8" t="inlineStr">
        <is>
          <t>Строка реестра задвоена</t>
        </is>
      </c>
      <c r="E1373" s="8" t="inlineStr">
        <is>
          <t>Реестр (сотрудник)</t>
        </is>
      </c>
      <c r="F1373" s="8" t="inlineStr">
        <is>
          <t>B</t>
        </is>
      </c>
      <c r="G1373" s="14" t="n">
        <v>49094</v>
      </c>
      <c r="H1373" s="14" t="n">
        <v>-49094</v>
      </c>
      <c r="I1373" s="14" t="n">
        <v>49094</v>
      </c>
      <c r="J1373" s="14" t="n">
        <v>0</v>
      </c>
      <c r="K1373" s="21" t="n">
        <v>46159.36675925926</v>
      </c>
      <c r="L1373" s="21" t="n">
        <v>46159</v>
      </c>
      <c r="M1373" s="8" t="inlineStr"/>
      <c r="N1373" s="8" t="inlineStr">
        <is>
          <t>Сотрудник, ведущий реестр</t>
        </is>
      </c>
      <c r="O1373" s="8" t="inlineStr">
        <is>
          <t>r.sydykov</t>
        </is>
      </c>
      <c r="P1373" s="12" t="inlineStr">
        <is>
          <t>Строка реестра записана 2 раза (все поля совпадают); 1С и ETM согласованы (49,094.00), без копии реестр тоже совпадает. Удалить лишнюю строку в реестре; на баланс это не влияет</t>
        </is>
      </c>
      <c r="Q1373" s="8" t="inlineStr">
        <is>
          <t>57293544,57293579</t>
        </is>
      </c>
    </row>
    <row r="1374">
      <c r="A1374" s="8" t="inlineStr">
        <is>
          <t>G12337</t>
        </is>
      </c>
      <c r="B1374" s="8" t="inlineStr">
        <is>
          <t>САЛАМ ЭЙР</t>
        </is>
      </c>
      <c r="C1374" s="8" t="inlineStr">
        <is>
          <t>2460733258|2460733260</t>
        </is>
      </c>
      <c r="D1374" s="8" t="inlineStr">
        <is>
          <t>Строка реестра задвоена</t>
        </is>
      </c>
      <c r="E1374" s="8" t="inlineStr">
        <is>
          <t>Реестр (сотрудник)</t>
        </is>
      </c>
      <c r="F1374" s="8" t="inlineStr">
        <is>
          <t>B</t>
        </is>
      </c>
      <c r="G1374" s="14" t="n">
        <v>63544</v>
      </c>
      <c r="H1374" s="14" t="n">
        <v>-63544</v>
      </c>
      <c r="I1374" s="14" t="n">
        <v>63544</v>
      </c>
      <c r="J1374" s="14" t="n">
        <v>0</v>
      </c>
      <c r="K1374" s="21" t="n">
        <v>46045.4056712963</v>
      </c>
      <c r="L1374" s="21" t="n">
        <v>46045</v>
      </c>
      <c r="M1374" s="8" t="inlineStr"/>
      <c r="N1374" s="8" t="inlineStr">
        <is>
          <t>Сотрудник, ведущий реестр</t>
        </is>
      </c>
      <c r="O1374" s="8" t="inlineStr">
        <is>
          <t>k.dzhumaev</t>
        </is>
      </c>
      <c r="P1374" s="12" t="inlineStr">
        <is>
          <t>Строка реестра записана 2 раза (все поля совпадают); 1С и ETM согласованы (63,544.00), без копии реестр тоже совпадает. Удалить лишнюю строку в реестре; на баланс это не влияет</t>
        </is>
      </c>
      <c r="Q1374" s="8" t="inlineStr">
        <is>
          <t>57046589</t>
        </is>
      </c>
    </row>
    <row r="1375">
      <c r="A1375" s="8" t="inlineStr">
        <is>
          <t>G12413</t>
        </is>
      </c>
      <c r="B1375" s="8" t="inlineStr">
        <is>
          <t>САЛАМ ЭЙР</t>
        </is>
      </c>
      <c r="C1375" s="8" t="inlineStr">
        <is>
          <t>2559101438</t>
        </is>
      </c>
      <c r="D1375" s="8" t="inlineStr">
        <is>
          <t>Строка реестра задвоена</t>
        </is>
      </c>
      <c r="E1375" s="8" t="inlineStr">
        <is>
          <t>Реестр (сотрудник)</t>
        </is>
      </c>
      <c r="F1375" s="8" t="inlineStr">
        <is>
          <t>B</t>
        </is>
      </c>
      <c r="G1375" s="14" t="n">
        <v>4390.669999999998</v>
      </c>
      <c r="H1375" s="14" t="n">
        <v>-4390.669999999998</v>
      </c>
      <c r="I1375" s="14" t="n">
        <v>4390.665000000001</v>
      </c>
      <c r="J1375" s="14" t="n">
        <v>0</v>
      </c>
      <c r="K1375" s="21" t="n">
        <v>46137.52581018519</v>
      </c>
      <c r="L1375" s="21" t="n">
        <v>46137</v>
      </c>
      <c r="M1375" s="8" t="inlineStr"/>
      <c r="N1375" s="8" t="inlineStr">
        <is>
          <t>Сотрудник, ведущий реестр</t>
        </is>
      </c>
      <c r="O1375" s="8" t="inlineStr">
        <is>
          <t>b.isakov|n.abdyldaeva</t>
        </is>
      </c>
      <c r="P1375" s="12" t="inlineStr">
        <is>
          <t>Строка реестра записана 2 раза (все поля совпадают); 1С и ETM согласованы (4,390.67), без копии реестр тоже совпадает. Удалить лишнюю строку в реестре; на баланс это не влияет</t>
        </is>
      </c>
      <c r="Q1375" s="8" t="inlineStr">
        <is>
          <t>57228734,57325215</t>
        </is>
      </c>
    </row>
    <row r="1376">
      <c r="A1376" s="8" t="inlineStr">
        <is>
          <t>G12688</t>
        </is>
      </c>
      <c r="B1376" s="8" t="inlineStr">
        <is>
          <t>Салам Авиакасса</t>
        </is>
      </c>
      <c r="C1376" s="8" t="inlineStr">
        <is>
          <t>2552668347</t>
        </is>
      </c>
      <c r="D1376" s="8" t="inlineStr">
        <is>
          <t>Строка реестра задвоена</t>
        </is>
      </c>
      <c r="E1376" s="8" t="inlineStr">
        <is>
          <t>Реестр (сотрудник)</t>
        </is>
      </c>
      <c r="F1376" s="8" t="inlineStr">
        <is>
          <t>B</t>
        </is>
      </c>
      <c r="G1376" s="14" t="n">
        <v>22804.05</v>
      </c>
      <c r="H1376" s="14" t="n">
        <v>-22804.05</v>
      </c>
      <c r="I1376" s="14" t="n">
        <v>22804.0525</v>
      </c>
      <c r="J1376" s="14" t="n">
        <v>0</v>
      </c>
      <c r="K1376" s="21" t="n">
        <v>46064.67320601852</v>
      </c>
      <c r="L1376" s="21" t="n">
        <v>46064</v>
      </c>
      <c r="M1376" s="8" t="inlineStr"/>
      <c r="N1376" s="8" t="inlineStr">
        <is>
          <t>Сотрудник, ведущий реестр</t>
        </is>
      </c>
      <c r="O1376" s="8" t="inlineStr">
        <is>
          <t>a.toktosunova</t>
        </is>
      </c>
      <c r="P1376" s="12" t="inlineStr">
        <is>
          <t>Строка реестра записана 2 раза (все поля совпадают); 1С и ETM согласованы (22,804.05), без копии реестр тоже совпадает. Удалить лишнюю строку в реестре; на баланс это не влияет</t>
        </is>
      </c>
      <c r="Q1376" s="8" t="inlineStr">
        <is>
          <t>57084628</t>
        </is>
      </c>
    </row>
    <row r="1377">
      <c r="A1377" s="8" t="inlineStr">
        <is>
          <t>G13344</t>
        </is>
      </c>
      <c r="B1377" s="8" t="inlineStr">
        <is>
          <t>Сатар уулу Санжар</t>
        </is>
      </c>
      <c r="C1377" s="8" t="inlineStr">
        <is>
          <t>2559100678|2559100679|2559100680|2559100682</t>
        </is>
      </c>
      <c r="D1377" s="8" t="inlineStr">
        <is>
          <t>Реестр отличается от ETM и 1С</t>
        </is>
      </c>
      <c r="E1377" s="8" t="inlineStr">
        <is>
          <t>Реестр (сотрудник)</t>
        </is>
      </c>
      <c r="F1377" s="8" t="inlineStr">
        <is>
          <t>B</t>
        </is>
      </c>
      <c r="G1377" s="14" t="n">
        <v>-91092.57000000001</v>
      </c>
      <c r="H1377" s="14" t="n">
        <v>91092.57000000001</v>
      </c>
      <c r="I1377" s="14" t="n">
        <v>30364.18999999999</v>
      </c>
      <c r="J1377" s="14" t="n">
        <v>0</v>
      </c>
      <c r="K1377" s="21" t="n">
        <v>46234.49381944445</v>
      </c>
      <c r="L1377" s="21" t="n">
        <v>46234</v>
      </c>
      <c r="M1377" s="8" t="inlineStr"/>
      <c r="N1377" s="8" t="inlineStr">
        <is>
          <t>Сотрудник, ведущий реестр</t>
        </is>
      </c>
      <c r="O1377" s="8" t="inlineStr">
        <is>
          <t>b.isakov|k.dzhumaev</t>
        </is>
      </c>
      <c r="P1377" s="12" t="inlineStr">
        <is>
          <t>1С и ETM согласованы (-91,092.57), а в реестре сумма 30,364.19: агент ошибся в реестре; на баланс это не влияет</t>
        </is>
      </c>
      <c r="Q1377" s="8" t="inlineStr">
        <is>
          <t>57501168</t>
        </is>
      </c>
    </row>
    <row r="1378">
      <c r="A1378" s="8" t="inlineStr">
        <is>
          <t>G13349</t>
        </is>
      </c>
      <c r="B1378" s="8" t="inlineStr">
        <is>
          <t>Сатар уулу Санжар</t>
        </is>
      </c>
      <c r="C1378" s="8" t="inlineStr">
        <is>
          <t>2559101400</t>
        </is>
      </c>
      <c r="D1378" s="8" t="inlineStr">
        <is>
          <t>ETM, акт 1С за месяц не выгружен</t>
        </is>
      </c>
      <c r="E1378" s="8" t="inlineStr">
        <is>
          <t>Выгрузка 1С</t>
        </is>
      </c>
      <c r="F1378" s="8" t="inlineStr">
        <is>
          <t>B</t>
        </is>
      </c>
      <c r="G1378" s="14" t="n">
        <v>0</v>
      </c>
      <c r="H1378" s="14" t="n">
        <v>0</v>
      </c>
      <c r="I1378" s="14" t="n">
        <v>-7.275957614183426e-12</v>
      </c>
      <c r="J1378" s="14" t="n">
        <v>0</v>
      </c>
      <c r="K1378" s="21" t="n">
        <v>46191.60518518519</v>
      </c>
      <c r="L1378" s="21" t="n"/>
      <c r="M1378" s="8" t="inlineStr"/>
      <c r="N1378" s="8" t="inlineStr">
        <is>
          <t>Бухгалтер: выгрузить акт</t>
        </is>
      </c>
      <c r="O1378" s="8" t="inlineStr">
        <is>
          <t>b.isakov|r.sydykov</t>
        </is>
      </c>
      <c r="P1378" s="12" t="inlineStr">
        <is>
          <t>Операция есть в ETM, а акт 1С за этот (или следующий) месяц не выгружен — сначала получить акт</t>
        </is>
      </c>
      <c r="Q1378" s="8" t="inlineStr">
        <is>
          <t>57378664,57398056</t>
        </is>
      </c>
    </row>
    <row r="1379">
      <c r="A1379" s="8" t="inlineStr">
        <is>
          <t>G13384</t>
        </is>
      </c>
      <c r="B1379" s="8" t="inlineStr">
        <is>
          <t>Сатарова А. О.</t>
        </is>
      </c>
      <c r="C1379" s="8" t="inlineStr">
        <is>
          <t>2416945701</t>
        </is>
      </c>
      <c r="D1379" s="8" t="inlineStr">
        <is>
          <t>Строка реестра задвоена</t>
        </is>
      </c>
      <c r="E1379" s="8" t="inlineStr">
        <is>
          <t>Реестр (сотрудник)</t>
        </is>
      </c>
      <c r="F1379" s="8" t="inlineStr">
        <is>
          <t>B</t>
        </is>
      </c>
      <c r="G1379" s="14" t="n">
        <v>59620</v>
      </c>
      <c r="H1379" s="14" t="n">
        <v>-59620</v>
      </c>
      <c r="I1379" s="14" t="n">
        <v>59620</v>
      </c>
      <c r="J1379" s="14" t="n">
        <v>0</v>
      </c>
      <c r="K1379" s="21" t="n">
        <v>46094.58938657407</v>
      </c>
      <c r="L1379" s="21" t="n">
        <v>46094</v>
      </c>
      <c r="M1379" s="8" t="inlineStr"/>
      <c r="N1379" s="8" t="inlineStr">
        <is>
          <t>Сотрудник, ведущий реестр</t>
        </is>
      </c>
      <c r="O1379" s="8" t="inlineStr">
        <is>
          <t>r.sydykov</t>
        </is>
      </c>
      <c r="P1379" s="12" t="inlineStr">
        <is>
          <t>Строка реестра записана 2 раза (все поля совпадают); 1С и ETM согласованы (59,620.00), без копии реестр тоже совпадает. Удалить лишнюю строку в реестре; на баланс это не влияет</t>
        </is>
      </c>
      <c r="Q1379" s="8" t="inlineStr">
        <is>
          <t>57146035</t>
        </is>
      </c>
    </row>
    <row r="1380">
      <c r="A1380" s="8" t="inlineStr">
        <is>
          <t>G13481</t>
        </is>
      </c>
      <c r="B1380" s="8" t="inlineStr">
        <is>
          <t>Сатарова Жылдыз Жумабековна</t>
        </is>
      </c>
      <c r="C1380" s="8" t="inlineStr">
        <is>
          <t>2459531570</t>
        </is>
      </c>
      <c r="D1380" s="8" t="inlineStr">
        <is>
          <t>Строка реестра задвоена</t>
        </is>
      </c>
      <c r="E1380" s="8" t="inlineStr">
        <is>
          <t>Реестр (сотрудник)</t>
        </is>
      </c>
      <c r="F1380" s="8" t="inlineStr">
        <is>
          <t>B</t>
        </is>
      </c>
      <c r="G1380" s="14" t="n">
        <v>12403</v>
      </c>
      <c r="H1380" s="14" t="n">
        <v>-12403</v>
      </c>
      <c r="I1380" s="14" t="n">
        <v>12403</v>
      </c>
      <c r="J1380" s="14" t="n">
        <v>0</v>
      </c>
      <c r="K1380" s="21" t="n">
        <v>46085.36832175926</v>
      </c>
      <c r="L1380" s="21" t="n">
        <v>46085</v>
      </c>
      <c r="M1380" s="8" t="inlineStr"/>
      <c r="N1380" s="8" t="inlineStr">
        <is>
          <t>Сотрудник, ведущий реестр</t>
        </is>
      </c>
      <c r="O1380" s="8" t="inlineStr">
        <is>
          <t>r.sydykov</t>
        </is>
      </c>
      <c r="P1380" s="12" t="inlineStr">
        <is>
          <t>Строка реестра записана 2 раза (все поля совпадают); 1С и ETM согласованы (12,403.00), без копии реестр тоже совпадает. Удалить лишнюю строку в реестре; на баланс это не влияет</t>
        </is>
      </c>
      <c r="Q1380" s="8" t="inlineStr">
        <is>
          <t>57123664</t>
        </is>
      </c>
    </row>
    <row r="1381">
      <c r="A1381" s="8" t="inlineStr">
        <is>
          <t>G13560</t>
        </is>
      </c>
      <c r="B1381" s="8" t="inlineStr">
        <is>
          <t>Сыдыков С. У.</t>
        </is>
      </c>
      <c r="C1381" s="8" t="inlineStr">
        <is>
          <t>2461883591|2461883593</t>
        </is>
      </c>
      <c r="D1381" s="8" t="inlineStr">
        <is>
          <t>ETM, акт 1С за месяц не выгружен</t>
        </is>
      </c>
      <c r="E1381" s="8" t="inlineStr">
        <is>
          <t>Выгрузка 1С</t>
        </is>
      </c>
      <c r="F1381" s="8" t="inlineStr">
        <is>
          <t>B</t>
        </is>
      </c>
      <c r="G1381" s="14" t="n">
        <v>0</v>
      </c>
      <c r="H1381" s="14" t="n">
        <v>0</v>
      </c>
      <c r="I1381" s="14" t="n"/>
      <c r="J1381" s="14" t="n">
        <v>0</v>
      </c>
      <c r="K1381" s="21" t="n">
        <v>46152.43938657407</v>
      </c>
      <c r="L1381" s="21" t="n"/>
      <c r="M1381" s="8" t="inlineStr"/>
      <c r="N1381" s="8" t="inlineStr">
        <is>
          <t>Бухгалтер: выгрузить акт</t>
        </is>
      </c>
      <c r="O1381" s="8" t="inlineStr"/>
      <c r="P1381" s="12" t="inlineStr">
        <is>
          <t>Операция есть в ETM, а акт 1С за этот (или следующий) месяц не выгружен — сначала получить акт</t>
        </is>
      </c>
      <c r="Q1381" s="8" t="inlineStr">
        <is>
          <t>57269860,57291816</t>
        </is>
      </c>
    </row>
    <row r="1382">
      <c r="A1382" s="8" t="inlineStr">
        <is>
          <t>G13911</t>
        </is>
      </c>
      <c r="B1382" s="8" t="inlineStr">
        <is>
          <t>ТЯНЬ-ШАНЬ ЭКСПРЕСС</t>
        </is>
      </c>
      <c r="C1382" s="8" t="inlineStr">
        <is>
          <t>2420848613</t>
        </is>
      </c>
      <c r="D1382" s="8" t="inlineStr">
        <is>
          <t>Строка реестра задвоена</t>
        </is>
      </c>
      <c r="E1382" s="8" t="inlineStr">
        <is>
          <t>Реестр (сотрудник)</t>
        </is>
      </c>
      <c r="F1382" s="8" t="inlineStr">
        <is>
          <t>B</t>
        </is>
      </c>
      <c r="G1382" s="14" t="n">
        <v>18723.86</v>
      </c>
      <c r="H1382" s="14" t="n">
        <v>-18723.86</v>
      </c>
      <c r="I1382" s="14" t="n">
        <v>18723.8575</v>
      </c>
      <c r="J1382" s="14" t="n">
        <v>0</v>
      </c>
      <c r="K1382" s="21" t="n">
        <v>46033.4999537037</v>
      </c>
      <c r="L1382" s="21" t="n">
        <v>46033</v>
      </c>
      <c r="M1382" s="8" t="inlineStr"/>
      <c r="N1382" s="8" t="inlineStr">
        <is>
          <t>Сотрудник, ведущий реестр</t>
        </is>
      </c>
      <c r="O1382" s="8" t="inlineStr">
        <is>
          <t>n.abdyldaeva</t>
        </is>
      </c>
      <c r="P1382" s="12" t="inlineStr">
        <is>
          <t>Строка реестра записана 2 раза (все поля совпадают); 1С и ETM согласованы (18,723.86), без копии реестр тоже совпадает. Удалить лишнюю строку в реестре; на баланс это не влияет</t>
        </is>
      </c>
      <c r="Q1382" s="8" t="inlineStr">
        <is>
          <t>57021274</t>
        </is>
      </c>
    </row>
    <row r="1383">
      <c r="A1383" s="8" t="inlineStr">
        <is>
          <t>G14268</t>
        </is>
      </c>
      <c r="B1383" s="8" t="inlineStr">
        <is>
          <t>ЧОЛПОН ТУР</t>
        </is>
      </c>
      <c r="C1383" s="8" t="inlineStr">
        <is>
          <t>2420845834</t>
        </is>
      </c>
      <c r="D1383" s="8" t="inlineStr">
        <is>
          <t>Строка реестра задвоена</t>
        </is>
      </c>
      <c r="E1383" s="8" t="inlineStr">
        <is>
          <t>Реестр (сотрудник)</t>
        </is>
      </c>
      <c r="F1383" s="8" t="inlineStr">
        <is>
          <t>B</t>
        </is>
      </c>
      <c r="G1383" s="14" t="n">
        <v>18781.82</v>
      </c>
      <c r="H1383" s="14" t="n">
        <v>-18781.82</v>
      </c>
      <c r="I1383" s="14" t="n">
        <v>18781.824</v>
      </c>
      <c r="J1383" s="14" t="n">
        <v>0</v>
      </c>
      <c r="K1383" s="21" t="n">
        <v>46150.36513888889</v>
      </c>
      <c r="L1383" s="21" t="n">
        <v>46150</v>
      </c>
      <c r="M1383" s="8" t="inlineStr"/>
      <c r="N1383" s="8" t="inlineStr">
        <is>
          <t>Сотрудник, ведущий реестр</t>
        </is>
      </c>
      <c r="O1383" s="8" t="inlineStr">
        <is>
          <t>d.mambetova</t>
        </is>
      </c>
      <c r="P1383" s="12" t="inlineStr">
        <is>
          <t>Строка реестра записана 2 раза (все поля совпадают); 1С и ETM согласованы (18,781.82), без копии реестр тоже совпадает. Удалить лишнюю строку в реестре; на баланс это не влияет</t>
        </is>
      </c>
      <c r="Q1383" s="8" t="inlineStr">
        <is>
          <t>57264998</t>
        </is>
      </c>
    </row>
    <row r="1384">
      <c r="A1384" s="8" t="inlineStr">
        <is>
          <t>G14899</t>
        </is>
      </c>
      <c r="B1384" s="8" t="inlineStr">
        <is>
          <t>Ыйык Авиакасса</t>
        </is>
      </c>
      <c r="C1384" s="8" t="inlineStr">
        <is>
          <t>2559104129</t>
        </is>
      </c>
      <c r="D1384" s="8" t="inlineStr">
        <is>
          <t>Строка реестра задвоена</t>
        </is>
      </c>
      <c r="E1384" s="8" t="inlineStr">
        <is>
          <t>Реестр (сотрудник)</t>
        </is>
      </c>
      <c r="F1384" s="8" t="inlineStr">
        <is>
          <t>B</t>
        </is>
      </c>
      <c r="G1384" s="14" t="n">
        <v>61036.09</v>
      </c>
      <c r="H1384" s="14" t="n">
        <v>-61036.09</v>
      </c>
      <c r="I1384" s="14" t="n">
        <v>61036.09</v>
      </c>
      <c r="J1384" s="14" t="n">
        <v>0</v>
      </c>
      <c r="K1384" s="21" t="n">
        <v>46057.74738425926</v>
      </c>
      <c r="L1384" s="21" t="n">
        <v>46057</v>
      </c>
      <c r="M1384" s="8" t="inlineStr"/>
      <c r="N1384" s="8" t="inlineStr">
        <is>
          <t>Сотрудник, ведущий реестр</t>
        </is>
      </c>
      <c r="O1384" s="8" t="inlineStr">
        <is>
          <t>b.isakov</t>
        </is>
      </c>
      <c r="P1384" s="12" t="inlineStr">
        <is>
          <t>Строка реестра записана 2 раза (все поля совпадают); 1С и ETM согласованы (61,036.09), без копии реестр тоже совпадает. Удалить лишнюю строку в реестре; на баланс это не влияет</t>
        </is>
      </c>
      <c r="Q1384" s="8" t="inlineStr">
        <is>
          <t>57073864</t>
        </is>
      </c>
    </row>
    <row r="1385">
      <c r="A1385" s="8" t="inlineStr">
        <is>
          <t>G14902</t>
        </is>
      </c>
      <c r="B1385" s="8" t="inlineStr">
        <is>
          <t>Ыйык Тур</t>
        </is>
      </c>
      <c r="C1385" s="8" t="inlineStr">
        <is>
          <t>2416941004</t>
        </is>
      </c>
      <c r="D1385" s="8" t="inlineStr">
        <is>
          <t>Строка реестра задвоена</t>
        </is>
      </c>
      <c r="E1385" s="8" t="inlineStr">
        <is>
          <t>Реестр (сотрудник)</t>
        </is>
      </c>
      <c r="F1385" s="8" t="inlineStr">
        <is>
          <t>B</t>
        </is>
      </c>
      <c r="G1385" s="14" t="n">
        <v>48870.45</v>
      </c>
      <c r="H1385" s="14" t="n">
        <v>-48870.45</v>
      </c>
      <c r="I1385" s="14" t="n">
        <v>48870.45</v>
      </c>
      <c r="J1385" s="14" t="n">
        <v>0</v>
      </c>
      <c r="K1385" s="21" t="n">
        <v>46143.77594907407</v>
      </c>
      <c r="L1385" s="21" t="n">
        <v>46143</v>
      </c>
      <c r="M1385" s="8" t="inlineStr"/>
      <c r="N1385" s="8" t="inlineStr">
        <is>
          <t>Сотрудник, ведущий реестр</t>
        </is>
      </c>
      <c r="O1385" s="8" t="inlineStr">
        <is>
          <t>n.abdyldaeva</t>
        </is>
      </c>
      <c r="P1385" s="12" t="inlineStr">
        <is>
          <t>Строка реестра записана 2 раза (все поля совпадают); 1С и ETM согласованы (48,870.45), без копии реестр тоже совпадает. Удалить лишнюю строку в реестре; на баланс это не влияет</t>
        </is>
      </c>
      <c r="Q1385" s="8" t="inlineStr">
        <is>
          <t>57241144</t>
        </is>
      </c>
    </row>
    <row r="1386">
      <c r="A1386" s="8" t="inlineStr">
        <is>
          <t>G15387</t>
        </is>
      </c>
      <c r="B1386" s="8" t="inlineStr">
        <is>
          <t>Эсенбеков Кубат Элдияревич</t>
        </is>
      </c>
      <c r="C1386" s="8" t="inlineStr">
        <is>
          <t>2460737229</t>
        </is>
      </c>
      <c r="D1386" s="8" t="inlineStr">
        <is>
          <t>Строка реестра задвоена</t>
        </is>
      </c>
      <c r="E1386" s="8" t="inlineStr">
        <is>
          <t>Реестр (сотрудник)</t>
        </is>
      </c>
      <c r="F1386" s="8" t="inlineStr">
        <is>
          <t>B</t>
        </is>
      </c>
      <c r="G1386" s="14" t="n">
        <v>31967</v>
      </c>
      <c r="H1386" s="14" t="n">
        <v>-31967</v>
      </c>
      <c r="I1386" s="14" t="n">
        <v>31967</v>
      </c>
      <c r="J1386" s="14" t="n">
        <v>0</v>
      </c>
      <c r="K1386" s="21" t="n">
        <v>46149.81482638889</v>
      </c>
      <c r="L1386" s="21" t="n">
        <v>46149</v>
      </c>
      <c r="M1386" s="8" t="inlineStr"/>
      <c r="N1386" s="8" t="inlineStr">
        <is>
          <t>Сотрудник, ведущий реестр</t>
        </is>
      </c>
      <c r="O1386" s="8" t="inlineStr">
        <is>
          <t>n.abdyldaeva</t>
        </is>
      </c>
      <c r="P1386" s="12" t="inlineStr">
        <is>
          <t>Строка реестра записана 2 раза (все поля совпадают); 1С и ETM согласованы (31,967.00), без копии реестр тоже совпадает. Удалить лишнюю строку в реестре; на баланс это не влияет</t>
        </is>
      </c>
      <c r="Q1386" s="8" t="inlineStr">
        <is>
          <t>57262593</t>
        </is>
      </c>
    </row>
    <row r="1387">
      <c r="A1387" s="8" t="inlineStr">
        <is>
          <t>G07894</t>
        </is>
      </c>
      <c r="B1387" s="8" t="inlineStr">
        <is>
          <t>ИП Асанов К. Б.</t>
        </is>
      </c>
      <c r="C1387" s="8" t="inlineStr">
        <is>
          <t>2559103658|2559103661|2559103662|2559103664</t>
        </is>
      </c>
      <c r="D1387" s="8" t="inlineStr">
        <is>
          <t>Сумма не сходится</t>
        </is>
      </c>
      <c r="E1387" s="8" t="inlineStr">
        <is>
          <t>Нужна проверка</t>
        </is>
      </c>
      <c r="F1387" s="8" t="inlineStr">
        <is>
          <t>C</t>
        </is>
      </c>
      <c r="G1387" s="14" t="n">
        <v>-91147.44</v>
      </c>
      <c r="H1387" s="14" t="n">
        <v>-16084.84</v>
      </c>
      <c r="I1387" s="14" t="n"/>
      <c r="J1387" s="14" t="n">
        <v>-107232.28</v>
      </c>
      <c r="K1387" s="21" t="n">
        <v>46076.37048611111</v>
      </c>
      <c r="L1387" s="21" t="n">
        <v>46098</v>
      </c>
      <c r="M1387" s="8" t="inlineStr"/>
      <c r="N1387" s="8" t="inlineStr">
        <is>
          <t>Бухгалтер + менеджер субагента</t>
        </is>
      </c>
      <c r="O1387" s="8" t="inlineStr"/>
      <c r="P1387" s="12" t="inlineStr">
        <is>
          <t>Нет записи реестра (билет выписан субагентом сам) — определить виновного по данным нельзя</t>
        </is>
      </c>
      <c r="Q1387" s="8" t="inlineStr">
        <is>
          <t>57105530,57105539,57105501,57105526,57152823</t>
        </is>
      </c>
    </row>
    <row r="1388">
      <c r="A1388" s="8" t="inlineStr">
        <is>
          <t>G00056</t>
        </is>
      </c>
      <c r="B1388" s="8" t="inlineStr">
        <is>
          <t>Ak-Bulak Voyage</t>
        </is>
      </c>
      <c r="C1388" s="8" t="inlineStr">
        <is>
          <t>2552667777|2552667779|2552667780|2552667781</t>
        </is>
      </c>
      <c r="D1388" s="8" t="inlineStr">
        <is>
          <t>Сумма не сходится</t>
        </is>
      </c>
      <c r="E1388" s="8" t="inlineStr">
        <is>
          <t>Нужна проверка</t>
        </is>
      </c>
      <c r="F1388" s="8" t="inlineStr">
        <is>
          <t>C</t>
        </is>
      </c>
      <c r="G1388" s="14" t="n">
        <v>-48964.58</v>
      </c>
      <c r="H1388" s="14" t="n">
        <v>-48964.58</v>
      </c>
      <c r="I1388" s="14" t="n"/>
      <c r="J1388" s="14" t="n">
        <v>-97929.16</v>
      </c>
      <c r="K1388" s="21" t="n">
        <v>46061.39592592593</v>
      </c>
      <c r="L1388" s="21" t="n">
        <v>46112</v>
      </c>
      <c r="M1388" s="8" t="inlineStr"/>
      <c r="N1388" s="8" t="inlineStr">
        <is>
          <t>Бухгалтер + менеджер субагента</t>
        </is>
      </c>
      <c r="O1388" s="8" t="inlineStr"/>
      <c r="P1388" s="12" t="inlineStr">
        <is>
          <t>Нет записи реестра (билет выписан субагентом сам) — определить виновного по данным нельзя</t>
        </is>
      </c>
      <c r="Q1388" s="8" t="inlineStr">
        <is>
          <t>57078897,57078822,57078887,57078850,57181957</t>
        </is>
      </c>
    </row>
    <row r="1389">
      <c r="A1389" s="8" t="inlineStr">
        <is>
          <t>G06015</t>
        </is>
      </c>
      <c r="B1389" s="8" t="inlineStr">
        <is>
          <t>Байтур Трип</t>
        </is>
      </c>
      <c r="C1389" s="8" t="inlineStr">
        <is>
          <t>2420845941|2420845944|2420845946|2420845948</t>
        </is>
      </c>
      <c r="D1389" s="8" t="inlineStr">
        <is>
          <t>Сумма не сходится</t>
        </is>
      </c>
      <c r="E1389" s="8" t="inlineStr">
        <is>
          <t>Нужна проверка</t>
        </is>
      </c>
      <c r="F1389" s="8" t="inlineStr">
        <is>
          <t>C</t>
        </is>
      </c>
      <c r="G1389" s="14" t="n">
        <v>120233.16</v>
      </c>
      <c r="H1389" s="14" t="n">
        <v>-210233.16</v>
      </c>
      <c r="I1389" s="14" t="n"/>
      <c r="J1389" s="14" t="n">
        <v>-90000</v>
      </c>
      <c r="K1389" s="21" t="n">
        <v>46230.35748842593</v>
      </c>
      <c r="L1389" s="21" t="n">
        <v>46230</v>
      </c>
      <c r="M1389" s="8" t="inlineStr">
        <is>
          <t>TRANSPOSITION</t>
        </is>
      </c>
      <c r="N1389" s="8" t="inlineStr">
        <is>
          <t>Бухгалтер + менеджер субагента</t>
        </is>
      </c>
      <c r="O1389" s="8" t="inlineStr">
        <is>
          <t>g.omurbekova</t>
        </is>
      </c>
      <c r="P1389" s="12" t="inlineStr">
        <is>
          <t>Сумма реестра не разобрана/отсутствует — нужна проверка</t>
        </is>
      </c>
      <c r="Q1389" s="8" t="inlineStr">
        <is>
          <t>57492338,57492372,57492313,57492323</t>
        </is>
      </c>
    </row>
    <row r="1390">
      <c r="A1390" s="8" t="inlineStr">
        <is>
          <t>G13293</t>
        </is>
      </c>
      <c r="B1390" s="8" t="inlineStr">
        <is>
          <t>Сатар уулу Санжар</t>
        </is>
      </c>
      <c r="C1390" s="8" t="inlineStr">
        <is>
          <t>2552670517|2552670520|2552670521</t>
        </is>
      </c>
      <c r="D1390" s="8" t="inlineStr">
        <is>
          <t>Сумма не сходится</t>
        </is>
      </c>
      <c r="E1390" s="8" t="inlineStr">
        <is>
          <t>Нужна проверка</t>
        </is>
      </c>
      <c r="F1390" s="8" t="inlineStr">
        <is>
          <t>C</t>
        </is>
      </c>
      <c r="G1390" s="14" t="n">
        <v>96632.10000000001</v>
      </c>
      <c r="H1390" s="14" t="n">
        <v>-24158.02</v>
      </c>
      <c r="I1390" s="14" t="n"/>
      <c r="J1390" s="14" t="n">
        <v>72474.08</v>
      </c>
      <c r="K1390" s="21" t="n">
        <v>46084.44276620371</v>
      </c>
      <c r="L1390" s="21" t="n">
        <v>46084</v>
      </c>
      <c r="M1390" s="8" t="inlineStr"/>
      <c r="N1390" s="8" t="inlineStr">
        <is>
          <t>Бухгалтер + менеджер субагента</t>
        </is>
      </c>
      <c r="O1390" s="8" t="inlineStr"/>
      <c r="P1390" s="12" t="inlineStr">
        <is>
          <t>Нет записи реестра (билет выписан субагентом сам) — определить виновного по данным нельзя</t>
        </is>
      </c>
      <c r="Q1390" s="8" t="inlineStr">
        <is>
          <t>57120821,57120781,57120784,57235919</t>
        </is>
      </c>
    </row>
    <row r="1391">
      <c r="A1391" s="8" t="inlineStr">
        <is>
          <t>G14036</t>
        </is>
      </c>
      <c r="B1391" s="8" t="inlineStr">
        <is>
          <t>Тянь-Шань Тур</t>
        </is>
      </c>
      <c r="C1391" s="8" t="inlineStr">
        <is>
          <t>2552667639|2552667640|2552667641</t>
        </is>
      </c>
      <c r="D1391" s="8" t="inlineStr">
        <is>
          <t>Сумма не сходится</t>
        </is>
      </c>
      <c r="E1391" s="8" t="inlineStr">
        <is>
          <t>Нужна проверка</t>
        </is>
      </c>
      <c r="F1391" s="8" t="inlineStr">
        <is>
          <t>C</t>
        </is>
      </c>
      <c r="G1391" s="14" t="n">
        <v>68394.78</v>
      </c>
      <c r="H1391" s="14" t="n">
        <v>-6839.480000000003</v>
      </c>
      <c r="I1391" s="14" t="n">
        <v>10259.22</v>
      </c>
      <c r="J1391" s="14" t="n">
        <v>61555.3</v>
      </c>
      <c r="K1391" s="21" t="n">
        <v>46093.37877314815</v>
      </c>
      <c r="L1391" s="21" t="n">
        <v>46093</v>
      </c>
      <c r="M1391" s="8" t="inlineStr"/>
      <c r="N1391" s="8" t="inlineStr">
        <is>
          <t>Бухгалтер + менеджер субагента</t>
        </is>
      </c>
      <c r="O1391" s="8" t="inlineStr">
        <is>
          <t>b.isakov|e.satarov</t>
        </is>
      </c>
      <c r="P1391" s="12" t="inlineStr">
        <is>
          <t>Реестр не подтверждает ни 1С, ни ETM (либо состав группы неоднозначен) — нужна проверка</t>
        </is>
      </c>
      <c r="Q1391" s="8" t="inlineStr">
        <is>
          <t>57141573,57227896</t>
        </is>
      </c>
    </row>
    <row r="1392">
      <c r="A1392" s="8" t="inlineStr">
        <is>
          <t>G07585</t>
        </is>
      </c>
      <c r="B1392" s="8" t="inlineStr">
        <is>
          <t>Жолчу кызы А.</t>
        </is>
      </c>
      <c r="C1392" s="8" t="inlineStr">
        <is>
          <t>2559103479</t>
        </is>
      </c>
      <c r="D1392" s="8" t="inlineStr">
        <is>
          <t>Сумма не сходится</t>
        </is>
      </c>
      <c r="E1392" s="8" t="inlineStr">
        <is>
          <t>Нужна проверка</t>
        </is>
      </c>
      <c r="F1392" s="8" t="inlineStr">
        <is>
          <t>C</t>
        </is>
      </c>
      <c r="G1392" s="14" t="n">
        <v>-29916.38</v>
      </c>
      <c r="H1392" s="14" t="n">
        <v>-29916.38</v>
      </c>
      <c r="I1392" s="14" t="n"/>
      <c r="J1392" s="14" t="n">
        <v>-59832.76</v>
      </c>
      <c r="K1392" s="21" t="n">
        <v>46197.80361111111</v>
      </c>
      <c r="L1392" s="21" t="n">
        <v>46212</v>
      </c>
      <c r="M1392" s="8" t="inlineStr"/>
      <c r="N1392" s="8" t="inlineStr">
        <is>
          <t>Бухгалтер + менеджер субагента</t>
        </is>
      </c>
      <c r="O1392" s="8" t="inlineStr"/>
      <c r="P1392" s="12" t="inlineStr">
        <is>
          <t>Нет записи реестра (билет выписан субагентом сам) — определить виновного по данным нельзя</t>
        </is>
      </c>
      <c r="Q1392" s="8" t="inlineStr">
        <is>
          <t>57397384,57442833</t>
        </is>
      </c>
    </row>
    <row r="1393">
      <c r="A1393" s="8" t="inlineStr">
        <is>
          <t>G07443</t>
        </is>
      </c>
      <c r="B1393" s="8" t="inlineStr">
        <is>
          <t>Жибек Эйр</t>
        </is>
      </c>
      <c r="C1393" s="8" t="inlineStr">
        <is>
          <t>2559103092</t>
        </is>
      </c>
      <c r="D1393" s="8" t="inlineStr">
        <is>
          <t>Сумма не сходится</t>
        </is>
      </c>
      <c r="E1393" s="8" t="inlineStr">
        <is>
          <t>Нужна проверка</t>
        </is>
      </c>
      <c r="F1393" s="8" t="inlineStr">
        <is>
          <t>C</t>
        </is>
      </c>
      <c r="G1393" s="14" t="n">
        <v>-47783.71</v>
      </c>
      <c r="H1393" s="14" t="n">
        <v>-5309.300000000003</v>
      </c>
      <c r="I1393" s="14" t="n"/>
      <c r="J1393" s="14" t="n">
        <v>-53093.01</v>
      </c>
      <c r="K1393" s="21" t="n">
        <v>46146.50876157408</v>
      </c>
      <c r="L1393" s="21" t="n">
        <v>46192</v>
      </c>
      <c r="M1393" s="8" t="inlineStr"/>
      <c r="N1393" s="8" t="inlineStr">
        <is>
          <t>Бухгалтер + менеджер субагента</t>
        </is>
      </c>
      <c r="O1393" s="8" t="inlineStr"/>
      <c r="P1393" s="12" t="inlineStr">
        <is>
          <t>Нет записи реестра (билет выписан субагентом сам) — определить виновного по данным нельзя</t>
        </is>
      </c>
      <c r="Q1393" s="8" t="inlineStr">
        <is>
          <t>57252090,57380004</t>
        </is>
      </c>
    </row>
    <row r="1394">
      <c r="A1394" s="8" t="inlineStr">
        <is>
          <t>G13788</t>
        </is>
      </c>
      <c r="B1394" s="8" t="inlineStr">
        <is>
          <t>ТАЛАС ЛАЙН</t>
        </is>
      </c>
      <c r="C1394" s="8" t="inlineStr">
        <is>
          <t>2559100802|2559100805|2559100808</t>
        </is>
      </c>
      <c r="D1394" s="8" t="inlineStr">
        <is>
          <t>Сумма не сходится</t>
        </is>
      </c>
      <c r="E1394" s="8" t="inlineStr">
        <is>
          <t>Нужна проверка</t>
        </is>
      </c>
      <c r="F1394" s="8" t="inlineStr">
        <is>
          <t>C</t>
        </is>
      </c>
      <c r="G1394" s="14" t="n">
        <v>5502.36</v>
      </c>
      <c r="H1394" s="14" t="n">
        <v>-50502.36</v>
      </c>
      <c r="I1394" s="14" t="n"/>
      <c r="J1394" s="14" t="n">
        <v>-45000</v>
      </c>
      <c r="K1394" s="21" t="n">
        <v>46214.43506944444</v>
      </c>
      <c r="L1394" s="21" t="n">
        <v>46214</v>
      </c>
      <c r="M1394" s="8" t="inlineStr"/>
      <c r="N1394" s="8" t="inlineStr">
        <is>
          <t>Бухгалтер + менеджер субагента</t>
        </is>
      </c>
      <c r="O1394" s="8" t="inlineStr"/>
      <c r="P1394" s="12" t="inlineStr">
        <is>
          <t>Нет записи реестра (билет выписан субагентом сам) — определить виновного по данным нельзя</t>
        </is>
      </c>
      <c r="Q1394" s="8" t="inlineStr">
        <is>
          <t>57450479</t>
        </is>
      </c>
    </row>
    <row r="1395">
      <c r="A1395" s="8" t="inlineStr">
        <is>
          <t>G15312</t>
        </is>
      </c>
      <c r="B1395" s="8" t="inlineStr">
        <is>
          <t>Эсенбек уулу Азамат</t>
        </is>
      </c>
      <c r="C1395" s="8" t="inlineStr">
        <is>
          <t>2461884063</t>
        </is>
      </c>
      <c r="D1395" s="8" t="inlineStr">
        <is>
          <t>Сумма не сходится</t>
        </is>
      </c>
      <c r="E1395" s="8" t="inlineStr">
        <is>
          <t>Нужна проверка</t>
        </is>
      </c>
      <c r="F1395" s="8" t="inlineStr">
        <is>
          <t>C</t>
        </is>
      </c>
      <c r="G1395" s="14" t="n">
        <v>-21580.5</v>
      </c>
      <c r="H1395" s="14" t="n">
        <v>-21580.5</v>
      </c>
      <c r="I1395" s="14" t="n"/>
      <c r="J1395" s="14" t="n">
        <v>-43161</v>
      </c>
      <c r="K1395" s="21" t="n">
        <v>46115.79464120371</v>
      </c>
      <c r="L1395" s="21" t="n">
        <v>46160</v>
      </c>
      <c r="M1395" s="8" t="inlineStr"/>
      <c r="N1395" s="8" t="inlineStr">
        <is>
          <t>Бухгалтер + менеджер субагента</t>
        </is>
      </c>
      <c r="O1395" s="8" t="inlineStr"/>
      <c r="P1395" s="12" t="inlineStr">
        <is>
          <t>Нет записи реестра (билет выписан субагентом сам) — определить виновного по данным нельзя</t>
        </is>
      </c>
      <c r="Q1395" s="8" t="inlineStr">
        <is>
          <t>57188299,57294414</t>
        </is>
      </c>
    </row>
    <row r="1396">
      <c r="A1396" s="8" t="inlineStr">
        <is>
          <t>G14511</t>
        </is>
      </c>
      <c r="B1396" s="8" t="inlineStr">
        <is>
          <t>Чынар уулу Эмир</t>
        </is>
      </c>
      <c r="C1396" s="8" t="inlineStr">
        <is>
          <t>2416942242</t>
        </is>
      </c>
      <c r="D1396" s="8" t="inlineStr">
        <is>
          <t>Сумма не сходится</t>
        </is>
      </c>
      <c r="E1396" s="8" t="inlineStr">
        <is>
          <t>Нужна проверка</t>
        </is>
      </c>
      <c r="F1396" s="8" t="inlineStr">
        <is>
          <t>C</t>
        </is>
      </c>
      <c r="G1396" s="14" t="n">
        <v>45751.64</v>
      </c>
      <c r="H1396" s="14" t="n">
        <v>-4575.159999999996</v>
      </c>
      <c r="I1396" s="14" t="n"/>
      <c r="J1396" s="14" t="n">
        <v>41176.48</v>
      </c>
      <c r="K1396" s="21" t="n">
        <v>46023.76724537037</v>
      </c>
      <c r="L1396" s="21" t="n">
        <v>46023</v>
      </c>
      <c r="M1396" s="8" t="inlineStr"/>
      <c r="N1396" s="8" t="inlineStr">
        <is>
          <t>Бухгалтер + менеджер субагента</t>
        </is>
      </c>
      <c r="O1396" s="8" t="inlineStr"/>
      <c r="P1396" s="12" t="inlineStr">
        <is>
          <t>Нет записи реестра (билет выписан субагентом сам) — определить виновного по данным нельзя</t>
        </is>
      </c>
      <c r="Q1396" s="8" t="inlineStr">
        <is>
          <t>57001075,57091227</t>
        </is>
      </c>
    </row>
    <row r="1397">
      <c r="A1397" s="8" t="inlineStr">
        <is>
          <t>G13329</t>
        </is>
      </c>
      <c r="B1397" s="8" t="inlineStr">
        <is>
          <t>Сатар уулу Санжар</t>
        </is>
      </c>
      <c r="C1397" s="8" t="inlineStr">
        <is>
          <t>2559099416</t>
        </is>
      </c>
      <c r="D1397" s="8" t="inlineStr">
        <is>
          <t>Сумма не сходится</t>
        </is>
      </c>
      <c r="E1397" s="8" t="inlineStr">
        <is>
          <t>Нужна проверка</t>
        </is>
      </c>
      <c r="F1397" s="8" t="inlineStr">
        <is>
          <t>C</t>
        </is>
      </c>
      <c r="G1397" s="14" t="n">
        <v>-33445.5</v>
      </c>
      <c r="H1397" s="14" t="n">
        <v>-3716.169999999998</v>
      </c>
      <c r="I1397" s="14" t="n"/>
      <c r="J1397" s="14" t="n">
        <v>-37161.67</v>
      </c>
      <c r="K1397" s="21" t="n">
        <v>46178.35074074074</v>
      </c>
      <c r="L1397" s="21" t="n">
        <v>46210</v>
      </c>
      <c r="M1397" s="8" t="inlineStr"/>
      <c r="N1397" s="8" t="inlineStr">
        <is>
          <t>Бухгалтер + менеджер субагента</t>
        </is>
      </c>
      <c r="O1397" s="8" t="inlineStr"/>
      <c r="P1397" s="12" t="inlineStr">
        <is>
          <t>Нет записи реестра (билет выписан субагентом сам) — определить виновного по данным нельзя</t>
        </is>
      </c>
      <c r="Q1397" s="8" t="inlineStr">
        <is>
          <t>57342811,57436370</t>
        </is>
      </c>
    </row>
    <row r="1398">
      <c r="A1398" s="8" t="inlineStr">
        <is>
          <t>G13164</t>
        </is>
      </c>
      <c r="B1398" s="8" t="inlineStr">
        <is>
          <t>Сатар уулу Санжар</t>
        </is>
      </c>
      <c r="C1398" s="8" t="inlineStr">
        <is>
          <t>2461884536|2461884537</t>
        </is>
      </c>
      <c r="D1398" s="8" t="inlineStr">
        <is>
          <t>Сумма не сходится</t>
        </is>
      </c>
      <c r="E1398" s="8" t="inlineStr">
        <is>
          <t>Нужна проверка</t>
        </is>
      </c>
      <c r="F1398" s="8" t="inlineStr">
        <is>
          <t>C</t>
        </is>
      </c>
      <c r="G1398" s="14" t="n">
        <v>86536</v>
      </c>
      <c r="H1398" s="14" t="n">
        <v>-49758.2</v>
      </c>
      <c r="I1398" s="14" t="n"/>
      <c r="J1398" s="14" t="n">
        <v>36777.8</v>
      </c>
      <c r="K1398" s="21" t="n">
        <v>46083.49743055556</v>
      </c>
      <c r="L1398" s="21" t="n">
        <v>46083</v>
      </c>
      <c r="M1398" s="8" t="inlineStr"/>
      <c r="N1398" s="8" t="inlineStr">
        <is>
          <t>Бухгалтер + менеджер субагента</t>
        </is>
      </c>
      <c r="O1398" s="8" t="inlineStr"/>
      <c r="P1398" s="12" t="inlineStr">
        <is>
          <t>Нет записи реестра (билет выписан субагентом сам) — определить виновного по данным нельзя</t>
        </is>
      </c>
      <c r="Q1398" s="8" t="inlineStr">
        <is>
          <t>57118336,57195918</t>
        </is>
      </c>
    </row>
    <row r="1399">
      <c r="A1399" s="8" t="inlineStr">
        <is>
          <t>G13074</t>
        </is>
      </c>
      <c r="B1399" s="8" t="inlineStr">
        <is>
          <t>Сатар уулу Санжар</t>
        </is>
      </c>
      <c r="C1399" s="8" t="inlineStr">
        <is>
          <t>2460733372</t>
        </is>
      </c>
      <c r="D1399" s="8" t="inlineStr">
        <is>
          <t>Сумма не сходится</t>
        </is>
      </c>
      <c r="E1399" s="8" t="inlineStr">
        <is>
          <t>Нужна проверка</t>
        </is>
      </c>
      <c r="F1399" s="8" t="inlineStr">
        <is>
          <t>C</t>
        </is>
      </c>
      <c r="G1399" s="14" t="n">
        <v>19214</v>
      </c>
      <c r="H1399" s="14" t="n">
        <v>17292.6</v>
      </c>
      <c r="I1399" s="14" t="n">
        <v>1921.400000000001</v>
      </c>
      <c r="J1399" s="14" t="n">
        <v>36506.6</v>
      </c>
      <c r="K1399" s="21" t="n">
        <v>46187.82594907407</v>
      </c>
      <c r="L1399" s="21" t="n">
        <v>46144</v>
      </c>
      <c r="M1399" s="8" t="inlineStr"/>
      <c r="N1399" s="8" t="inlineStr">
        <is>
          <t>Бухгалтер + менеджер субагента</t>
        </is>
      </c>
      <c r="O1399" s="8" t="inlineStr">
        <is>
          <t>e.satarov|r.sydykov</t>
        </is>
      </c>
      <c r="P1399" s="12" t="inlineStr">
        <is>
          <t>Реестр не подтверждает ни 1С, ни ETM (либо состав группы неоднозначен) — нужна проверка</t>
        </is>
      </c>
      <c r="Q1399" s="8" t="inlineStr">
        <is>
          <t>57365979</t>
        </is>
      </c>
    </row>
    <row r="1400">
      <c r="A1400" s="8" t="inlineStr">
        <is>
          <t>G14319</t>
        </is>
      </c>
      <c r="B1400" s="8" t="inlineStr">
        <is>
          <t>ЧОЛПОН ТУР</t>
        </is>
      </c>
      <c r="C1400" s="8" t="inlineStr">
        <is>
          <t>2476317483</t>
        </is>
      </c>
      <c r="D1400" s="8" t="inlineStr">
        <is>
          <t>Сумма не сходится</t>
        </is>
      </c>
      <c r="E1400" s="8" t="inlineStr">
        <is>
          <t>Нужна проверка</t>
        </is>
      </c>
      <c r="F1400" s="8" t="inlineStr">
        <is>
          <t>C</t>
        </is>
      </c>
      <c r="G1400" s="14" t="n">
        <v>38684.4</v>
      </c>
      <c r="H1400" s="14" t="n">
        <v>-2684.400000000001</v>
      </c>
      <c r="I1400" s="14" t="n"/>
      <c r="J1400" s="14" t="n">
        <v>36000</v>
      </c>
      <c r="K1400" s="21" t="n">
        <v>46056.36997685185</v>
      </c>
      <c r="L1400" s="21" t="n">
        <v>46056</v>
      </c>
      <c r="M1400" s="8" t="inlineStr"/>
      <c r="N1400" s="8" t="inlineStr">
        <is>
          <t>Бухгалтер + менеджер субагента</t>
        </is>
      </c>
      <c r="O1400" s="8" t="inlineStr"/>
      <c r="P1400" s="12" t="inlineStr">
        <is>
          <t>Нет записи реестра (билет выписан субагентом сам) — определить виновного по данным нельзя</t>
        </is>
      </c>
      <c r="Q1400" s="8" t="inlineStr">
        <is>
          <t>57071480,57102851</t>
        </is>
      </c>
    </row>
    <row r="1401">
      <c r="A1401" s="8" t="inlineStr">
        <is>
          <t>G07576</t>
        </is>
      </c>
      <c r="B1401" s="8" t="inlineStr">
        <is>
          <t>Жолчу кызы А.</t>
        </is>
      </c>
      <c r="C1401" s="8" t="inlineStr">
        <is>
          <t>2559099360</t>
        </is>
      </c>
      <c r="D1401" s="8" t="inlineStr">
        <is>
          <t>Сумма не сходится</t>
        </is>
      </c>
      <c r="E1401" s="8" t="inlineStr">
        <is>
          <t>Нужна проверка</t>
        </is>
      </c>
      <c r="F1401" s="8" t="inlineStr">
        <is>
          <t>C</t>
        </is>
      </c>
      <c r="G1401" s="14" t="n">
        <v>42049.96</v>
      </c>
      <c r="H1401" s="14" t="n">
        <v>-6307.489999999998</v>
      </c>
      <c r="I1401" s="14" t="n"/>
      <c r="J1401" s="14" t="n">
        <v>35742.47</v>
      </c>
      <c r="K1401" s="21" t="n">
        <v>46166.78806712963</v>
      </c>
      <c r="L1401" s="21" t="n">
        <v>46166</v>
      </c>
      <c r="M1401" s="8" t="inlineStr"/>
      <c r="N1401" s="8" t="inlineStr">
        <is>
          <t>Бухгалтер + менеджер субагента</t>
        </is>
      </c>
      <c r="O1401" s="8" t="inlineStr"/>
      <c r="P1401" s="12" t="inlineStr">
        <is>
          <t>Нет записи реестра (билет выписан субагентом сам) — определить виновного по данным нельзя</t>
        </is>
      </c>
      <c r="Q1401" s="8" t="inlineStr">
        <is>
          <t>57312528,57345550</t>
        </is>
      </c>
    </row>
    <row r="1402">
      <c r="A1402" s="8" t="inlineStr">
        <is>
          <t>G08456</t>
        </is>
      </c>
      <c r="B1402" s="8" t="inlineStr">
        <is>
          <t>ИП Муратов Э. У.</t>
        </is>
      </c>
      <c r="C1402" s="8" t="inlineStr">
        <is>
          <t>2552670769|2552670771</t>
        </is>
      </c>
      <c r="D1402" s="8" t="inlineStr">
        <is>
          <t>Сумма не сходится</t>
        </is>
      </c>
      <c r="E1402" s="8" t="inlineStr">
        <is>
          <t>Нужна проверка</t>
        </is>
      </c>
      <c r="F1402" s="8" t="inlineStr">
        <is>
          <t>C</t>
        </is>
      </c>
      <c r="G1402" s="14" t="n">
        <v>56544.06</v>
      </c>
      <c r="H1402" s="14" t="n">
        <v>-28272.03</v>
      </c>
      <c r="I1402" s="14" t="n"/>
      <c r="J1402" s="14" t="n">
        <v>28272.03</v>
      </c>
      <c r="K1402" s="21" t="n">
        <v>46040.82329861111</v>
      </c>
      <c r="L1402" s="21" t="n">
        <v>46040</v>
      </c>
      <c r="M1402" s="8" t="inlineStr"/>
      <c r="N1402" s="8" t="inlineStr">
        <is>
          <t>Бухгалтер + менеджер субагента</t>
        </is>
      </c>
      <c r="O1402" s="8" t="inlineStr"/>
      <c r="P1402" s="12" t="inlineStr">
        <is>
          <t>Нет записи реестра (билет выписан субагентом сам) — определить виновного по данным нельзя</t>
        </is>
      </c>
      <c r="Q1402" s="8" t="inlineStr">
        <is>
          <t>57037013,57131335</t>
        </is>
      </c>
    </row>
    <row r="1403">
      <c r="A1403" s="8" t="inlineStr">
        <is>
          <t>G02325</t>
        </is>
      </c>
      <c r="B1403" s="8" t="inlineStr">
        <is>
          <t>SkyWay Travel</t>
        </is>
      </c>
      <c r="C1403" s="8" t="inlineStr">
        <is>
          <t>2416943970</t>
        </is>
      </c>
      <c r="D1403" s="8" t="inlineStr">
        <is>
          <t>Сумма не сходится</t>
        </is>
      </c>
      <c r="E1403" s="8" t="inlineStr">
        <is>
          <t>Нужна проверка</t>
        </is>
      </c>
      <c r="F1403" s="8" t="inlineStr">
        <is>
          <t>C</t>
        </is>
      </c>
      <c r="G1403" s="14" t="n">
        <v>-12725.89</v>
      </c>
      <c r="H1403" s="14" t="n">
        <v>-12725.89</v>
      </c>
      <c r="I1403" s="14" t="n"/>
      <c r="J1403" s="14" t="n">
        <v>-25451.78</v>
      </c>
      <c r="K1403" s="21" t="n">
        <v>46092.64175925926</v>
      </c>
      <c r="L1403" s="21" t="n">
        <v>46150</v>
      </c>
      <c r="M1403" s="8" t="inlineStr"/>
      <c r="N1403" s="8" t="inlineStr">
        <is>
          <t>Бухгалтер + менеджер субагента</t>
        </is>
      </c>
      <c r="O1403" s="8" t="inlineStr"/>
      <c r="P1403" s="12" t="inlineStr">
        <is>
          <t>Нет записи реестра (билет выписан субагентом сам) — определить виновного по данным нельзя</t>
        </is>
      </c>
      <c r="Q1403" s="8" t="inlineStr">
        <is>
          <t>57140479,57263470</t>
        </is>
      </c>
    </row>
    <row r="1404">
      <c r="A1404" s="8" t="inlineStr">
        <is>
          <t>G14393</t>
        </is>
      </c>
      <c r="B1404" s="8" t="inlineStr">
        <is>
          <t>ЧОЛПОН ЭЙР</t>
        </is>
      </c>
      <c r="C1404" s="8" t="inlineStr">
        <is>
          <t>2460734562</t>
        </is>
      </c>
      <c r="D1404" s="8" t="inlineStr">
        <is>
          <t>Сумма не сходится</t>
        </is>
      </c>
      <c r="E1404" s="8" t="inlineStr">
        <is>
          <t>Нужна проверка</t>
        </is>
      </c>
      <c r="F1404" s="8" t="inlineStr">
        <is>
          <t>C</t>
        </is>
      </c>
      <c r="G1404" s="14" t="n">
        <v>-13068</v>
      </c>
      <c r="H1404" s="14" t="n">
        <v>-4356</v>
      </c>
      <c r="I1404" s="14" t="n"/>
      <c r="J1404" s="14" t="n">
        <v>-17424</v>
      </c>
      <c r="K1404" s="21" t="n">
        <v>46175.68920138889</v>
      </c>
      <c r="L1404" s="21" t="n">
        <v>46180</v>
      </c>
      <c r="M1404" s="8" t="inlineStr"/>
      <c r="N1404" s="8" t="inlineStr">
        <is>
          <t>Бухгалтер + менеджер субагента</t>
        </is>
      </c>
      <c r="O1404" s="8" t="inlineStr"/>
      <c r="P1404" s="12" t="inlineStr">
        <is>
          <t>Нет записи реестра (билет выписан субагентом сам) — определить виновного по данным нельзя</t>
        </is>
      </c>
      <c r="Q1404" s="8" t="inlineStr">
        <is>
          <t>57336031,57348290</t>
        </is>
      </c>
    </row>
    <row r="1405">
      <c r="A1405" s="8" t="inlineStr">
        <is>
          <t>G12085</t>
        </is>
      </c>
      <c r="B1405" s="8" t="inlineStr">
        <is>
          <t>ОсОО Чолпон Авиакасса</t>
        </is>
      </c>
      <c r="C1405" s="8" t="inlineStr">
        <is>
          <t>2552671090|2552671091|2552671092</t>
        </is>
      </c>
      <c r="D1405" s="8" t="inlineStr">
        <is>
          <t>Сумма не сходится</t>
        </is>
      </c>
      <c r="E1405" s="8" t="inlineStr">
        <is>
          <t>Нужна проверка</t>
        </is>
      </c>
      <c r="F1405" s="8" t="inlineStr">
        <is>
          <t>C</t>
        </is>
      </c>
      <c r="G1405" s="14" t="n">
        <v>148060.58</v>
      </c>
      <c r="H1405" s="14" t="n">
        <v>-164511.75</v>
      </c>
      <c r="I1405" s="14" t="n"/>
      <c r="J1405" s="14" t="n">
        <v>-16451.17000000001</v>
      </c>
      <c r="K1405" s="21" t="n">
        <v>46201.5075462963</v>
      </c>
      <c r="L1405" s="21" t="n">
        <v>46201</v>
      </c>
      <c r="M1405" s="8" t="inlineStr"/>
      <c r="N1405" s="8" t="inlineStr">
        <is>
          <t>Бухгалтер + менеджер субагента</t>
        </is>
      </c>
      <c r="O1405" s="8" t="inlineStr"/>
      <c r="P1405" s="12" t="inlineStr">
        <is>
          <t>Нет записи реестра (билет выписан субагентом сам) — определить виновного по данным нельзя</t>
        </is>
      </c>
      <c r="Q1405" s="8" t="inlineStr">
        <is>
          <t>57409142,57409097,57409130</t>
        </is>
      </c>
    </row>
    <row r="1406">
      <c r="A1406" s="8" t="inlineStr">
        <is>
          <t>G05131</t>
        </is>
      </c>
      <c r="B1406" s="8" t="inlineStr">
        <is>
          <t>Ак-Куу Авиа</t>
        </is>
      </c>
      <c r="C1406" s="8" t="inlineStr">
        <is>
          <t>2461883917</t>
        </is>
      </c>
      <c r="D1406" s="8" t="inlineStr">
        <is>
          <t>Сумма не сходится</t>
        </is>
      </c>
      <c r="E1406" s="8" t="inlineStr">
        <is>
          <t>Нужна проверка</t>
        </is>
      </c>
      <c r="F1406" s="8" t="inlineStr">
        <is>
          <t>C</t>
        </is>
      </c>
      <c r="G1406" s="14" t="n">
        <v>-8171.5</v>
      </c>
      <c r="H1406" s="14" t="n">
        <v>-8171.5</v>
      </c>
      <c r="I1406" s="14" t="n"/>
      <c r="J1406" s="14" t="n">
        <v>-16343</v>
      </c>
      <c r="K1406" s="21" t="n">
        <v>46182.38046296296</v>
      </c>
      <c r="L1406" s="21" t="n">
        <v>46187</v>
      </c>
      <c r="M1406" s="8" t="inlineStr"/>
      <c r="N1406" s="8" t="inlineStr">
        <is>
          <t>Бухгалтер + менеджер субагента</t>
        </is>
      </c>
      <c r="O1406" s="8" t="inlineStr"/>
      <c r="P1406" s="12" t="inlineStr">
        <is>
          <t>Нет записи реестра (билет выписан субагентом сам) — определить виновного по данным нельзя</t>
        </is>
      </c>
      <c r="Q1406" s="8" t="inlineStr">
        <is>
          <t>57354641,57366125</t>
        </is>
      </c>
    </row>
    <row r="1407">
      <c r="A1407" s="8" t="inlineStr">
        <is>
          <t>G10676</t>
        </is>
      </c>
      <c r="B1407" s="8" t="inlineStr">
        <is>
          <t>Манас Туризм</t>
        </is>
      </c>
      <c r="C1407" s="8" t="inlineStr">
        <is>
          <t>2461885747</t>
        </is>
      </c>
      <c r="D1407" s="8" t="inlineStr">
        <is>
          <t>Сумма не сходится</t>
        </is>
      </c>
      <c r="E1407" s="8" t="inlineStr">
        <is>
          <t>Нужна проверка</t>
        </is>
      </c>
      <c r="F1407" s="8" t="inlineStr">
        <is>
          <t>C</t>
        </is>
      </c>
      <c r="G1407" s="14" t="n">
        <v>17382</v>
      </c>
      <c r="H1407" s="14" t="n">
        <v>-1738.200000000001</v>
      </c>
      <c r="I1407" s="14" t="n"/>
      <c r="J1407" s="14" t="n">
        <v>15643.8</v>
      </c>
      <c r="K1407" s="21" t="n">
        <v>46158.37996527777</v>
      </c>
      <c r="L1407" s="21" t="n">
        <v>46158</v>
      </c>
      <c r="M1407" s="8" t="inlineStr"/>
      <c r="N1407" s="8" t="inlineStr">
        <is>
          <t>Бухгалтер + менеджер субагента</t>
        </is>
      </c>
      <c r="O1407" s="8" t="inlineStr"/>
      <c r="P1407" s="12" t="inlineStr">
        <is>
          <t>Нет записи реестра (билет выписан субагентом сам) — определить виновного по данным нельзя</t>
        </is>
      </c>
      <c r="Q1407" s="8" t="inlineStr">
        <is>
          <t>57290911,57366050</t>
        </is>
      </c>
    </row>
    <row r="1408">
      <c r="A1408" s="8" t="inlineStr">
        <is>
          <t>G13004</t>
        </is>
      </c>
      <c r="B1408" s="8" t="inlineStr">
        <is>
          <t>Сатар уулу Санжар</t>
        </is>
      </c>
      <c r="C1408" s="8" t="inlineStr">
        <is>
          <t>2459528221</t>
        </is>
      </c>
      <c r="D1408" s="8" t="inlineStr">
        <is>
          <t>Сумма не сходится</t>
        </is>
      </c>
      <c r="E1408" s="8" t="inlineStr">
        <is>
          <t>Нужна проверка</t>
        </is>
      </c>
      <c r="F1408" s="8" t="inlineStr">
        <is>
          <t>C</t>
        </is>
      </c>
      <c r="G1408" s="14" t="n">
        <v>16104</v>
      </c>
      <c r="H1408" s="14" t="n">
        <v>-2415.6</v>
      </c>
      <c r="I1408" s="14" t="n"/>
      <c r="J1408" s="14" t="n">
        <v>13688.4</v>
      </c>
      <c r="K1408" s="21" t="n">
        <v>46149.64828703704</v>
      </c>
      <c r="L1408" s="21" t="n">
        <v>46149</v>
      </c>
      <c r="M1408" s="8" t="inlineStr"/>
      <c r="N1408" s="8" t="inlineStr">
        <is>
          <t>Бухгалтер + менеджер субагента</t>
        </is>
      </c>
      <c r="O1408" s="8" t="inlineStr"/>
      <c r="P1408" s="12" t="inlineStr">
        <is>
          <t>Нет записи реестра (билет выписан субагентом сам) — определить виновного по данным нельзя</t>
        </is>
      </c>
      <c r="Q1408" s="8" t="inlineStr">
        <is>
          <t>57261427,57345527</t>
        </is>
      </c>
    </row>
    <row r="1409">
      <c r="A1409" s="8" t="inlineStr">
        <is>
          <t>G04661</t>
        </is>
      </c>
      <c r="B1409" s="8" t="inlineStr">
        <is>
          <t>Абдыраманова Д. А.</t>
        </is>
      </c>
      <c r="C1409" s="8" t="inlineStr">
        <is>
          <t>2416941314|2416941316</t>
        </is>
      </c>
      <c r="D1409" s="8" t="inlineStr">
        <is>
          <t>Сумма не сходится</t>
        </is>
      </c>
      <c r="E1409" s="8" t="inlineStr">
        <is>
          <t>Нужна проверка</t>
        </is>
      </c>
      <c r="F1409" s="8" t="inlineStr">
        <is>
          <t>C</t>
        </is>
      </c>
      <c r="G1409" s="14" t="n">
        <v>112616.35</v>
      </c>
      <c r="H1409" s="14" t="n">
        <v>-125129.28</v>
      </c>
      <c r="I1409" s="14" t="n"/>
      <c r="J1409" s="14" t="n">
        <v>-12512.92999999999</v>
      </c>
      <c r="K1409" s="21" t="n">
        <v>46197.41928240741</v>
      </c>
      <c r="L1409" s="21" t="n">
        <v>46197</v>
      </c>
      <c r="M1409" s="8" t="inlineStr"/>
      <c r="N1409" s="8" t="inlineStr">
        <is>
          <t>Бухгалтер + менеджер субагента</t>
        </is>
      </c>
      <c r="O1409" s="8" t="inlineStr"/>
      <c r="P1409" s="12" t="inlineStr">
        <is>
          <t>Нет записи реестра (билет выписан субагентом сам) — определить виновного по данным нельзя</t>
        </is>
      </c>
      <c r="Q1409" s="8" t="inlineStr">
        <is>
          <t>57394987,57395025</t>
        </is>
      </c>
    </row>
    <row r="1410">
      <c r="A1410" s="8" t="inlineStr">
        <is>
          <t>G14449</t>
        </is>
      </c>
      <c r="B1410" s="8" t="inlineStr">
        <is>
          <t>ЧОЛПОН ЭЙР</t>
        </is>
      </c>
      <c r="C1410" s="8" t="inlineStr">
        <is>
          <t>2559102072|2559102075|2559102076</t>
        </is>
      </c>
      <c r="D1410" s="8" t="inlineStr">
        <is>
          <t>Сумма не сходится</t>
        </is>
      </c>
      <c r="E1410" s="8" t="inlineStr">
        <is>
          <t>Нужна проверка</t>
        </is>
      </c>
      <c r="F1410" s="8" t="inlineStr">
        <is>
          <t>C</t>
        </is>
      </c>
      <c r="G1410" s="14" t="n">
        <v>110250.72</v>
      </c>
      <c r="H1410" s="14" t="n">
        <v>-122500.8</v>
      </c>
      <c r="I1410" s="14" t="n"/>
      <c r="J1410" s="14" t="n">
        <v>-12250.07999999999</v>
      </c>
      <c r="K1410" s="21" t="n">
        <v>46090.38009259259</v>
      </c>
      <c r="L1410" s="21" t="n">
        <v>46090</v>
      </c>
      <c r="M1410" s="8" t="inlineStr"/>
      <c r="N1410" s="8" t="inlineStr">
        <is>
          <t>Бухгалтер + менеджер субагента</t>
        </is>
      </c>
      <c r="O1410" s="8" t="inlineStr"/>
      <c r="P1410" s="12" t="inlineStr">
        <is>
          <t>Нет записи реестра (билет выписан субагентом сам) — определить виновного по данным нельзя</t>
        </is>
      </c>
      <c r="Q1410" s="8" t="inlineStr">
        <is>
          <t>57135127,57135163,57135106</t>
        </is>
      </c>
    </row>
    <row r="1411">
      <c r="A1411" s="8" t="inlineStr">
        <is>
          <t>G06814</t>
        </is>
      </c>
      <c r="B1411" s="8" t="inlineStr">
        <is>
          <t>Джолдошова Салтанат Сатаревна</t>
        </is>
      </c>
      <c r="C1411" s="8" t="inlineStr">
        <is>
          <t>2559099368|2559099370</t>
        </is>
      </c>
      <c r="D1411" s="8" t="inlineStr">
        <is>
          <t>Сумма не сходится</t>
        </is>
      </c>
      <c r="E1411" s="8" t="inlineStr">
        <is>
          <t>Нужна проверка</t>
        </is>
      </c>
      <c r="F1411" s="8" t="inlineStr">
        <is>
          <t>C</t>
        </is>
      </c>
      <c r="G1411" s="14" t="n">
        <v>128150.26</v>
      </c>
      <c r="H1411" s="14" t="n">
        <v>-116500.24</v>
      </c>
      <c r="I1411" s="14" t="n"/>
      <c r="J1411" s="14" t="n">
        <v>11650.01999999999</v>
      </c>
      <c r="K1411" s="21" t="n">
        <v>46078.58082175926</v>
      </c>
      <c r="L1411" s="21" t="n">
        <v>46078</v>
      </c>
      <c r="M1411" s="8" t="inlineStr"/>
      <c r="N1411" s="8" t="inlineStr">
        <is>
          <t>Бухгалтер + менеджер субагента</t>
        </is>
      </c>
      <c r="O1411" s="8" t="inlineStr"/>
      <c r="P1411" s="12" t="inlineStr">
        <is>
          <t>Нет записи реестра (билет выписан субагентом сам) — определить виновного по данным нельзя</t>
        </is>
      </c>
      <c r="Q1411" s="8" t="inlineStr">
        <is>
          <t>57108247,57108261</t>
        </is>
      </c>
    </row>
    <row r="1412">
      <c r="A1412" s="8" t="inlineStr">
        <is>
          <t>G07494</t>
        </is>
      </c>
      <c r="B1412" s="8" t="inlineStr">
        <is>
          <t>Жолчу кызы А.</t>
        </is>
      </c>
      <c r="C1412" s="8" t="inlineStr">
        <is>
          <t>2459531451</t>
        </is>
      </c>
      <c r="D1412" s="8" t="inlineStr">
        <is>
          <t>Сумма не сходится</t>
        </is>
      </c>
      <c r="E1412" s="8" t="inlineStr">
        <is>
          <t>Нужна проверка</t>
        </is>
      </c>
      <c r="F1412" s="8" t="inlineStr">
        <is>
          <t>C</t>
        </is>
      </c>
      <c r="G1412" s="14" t="n">
        <v>13579</v>
      </c>
      <c r="H1412" s="14" t="n">
        <v>-2036.85</v>
      </c>
      <c r="I1412" s="14" t="n"/>
      <c r="J1412" s="14" t="n">
        <v>11542.15</v>
      </c>
      <c r="K1412" s="21" t="n">
        <v>46115.35924768518</v>
      </c>
      <c r="L1412" s="21" t="n">
        <v>46115</v>
      </c>
      <c r="M1412" s="8" t="inlineStr"/>
      <c r="N1412" s="8" t="inlineStr">
        <is>
          <t>Бухгалтер + менеджер субагента</t>
        </is>
      </c>
      <c r="O1412" s="8" t="inlineStr"/>
      <c r="P1412" s="12" t="inlineStr">
        <is>
          <t>Нет записи реестра (билет выписан субагентом сам) — определить виновного по данным нельзя</t>
        </is>
      </c>
      <c r="Q1412" s="8" t="inlineStr">
        <is>
          <t>57189032,57332472</t>
        </is>
      </c>
    </row>
    <row r="1413">
      <c r="A1413" s="8" t="inlineStr">
        <is>
          <t>G09952</t>
        </is>
      </c>
      <c r="B1413" s="8" t="inlineStr">
        <is>
          <t>МУРАС ТРИП</t>
        </is>
      </c>
      <c r="C1413" s="8" t="inlineStr">
        <is>
          <t>2460735693</t>
        </is>
      </c>
      <c r="D1413" s="8" t="inlineStr">
        <is>
          <t>Сумма не сходится</t>
        </is>
      </c>
      <c r="E1413" s="8" t="inlineStr">
        <is>
          <t>Нужна проверка</t>
        </is>
      </c>
      <c r="F1413" s="8" t="inlineStr">
        <is>
          <t>C</t>
        </is>
      </c>
      <c r="G1413" s="14" t="n">
        <v>13388</v>
      </c>
      <c r="H1413" s="14" t="n">
        <v>-2008.200000000001</v>
      </c>
      <c r="I1413" s="14" t="n"/>
      <c r="J1413" s="14" t="n">
        <v>11379.8</v>
      </c>
      <c r="K1413" s="21" t="n">
        <v>46158.39498842593</v>
      </c>
      <c r="L1413" s="21" t="n">
        <v>46158</v>
      </c>
      <c r="M1413" s="8" t="inlineStr"/>
      <c r="N1413" s="8" t="inlineStr">
        <is>
          <t>Бухгалтер + менеджер субагента</t>
        </is>
      </c>
      <c r="O1413" s="8" t="inlineStr"/>
      <c r="P1413" s="12" t="inlineStr">
        <is>
          <t>Нет записи реестра (билет выписан субагентом сам) — определить виновного по данным нельзя</t>
        </is>
      </c>
      <c r="Q1413" s="8" t="inlineStr">
        <is>
          <t>57289699,57404782</t>
        </is>
      </c>
    </row>
    <row r="1414">
      <c r="A1414" s="8" t="inlineStr">
        <is>
          <t>G13114</t>
        </is>
      </c>
      <c r="B1414" s="8" t="inlineStr">
        <is>
          <t>Сатар уулу Санжар</t>
        </is>
      </c>
      <c r="C1414" s="8" t="inlineStr">
        <is>
          <t>2460737785</t>
        </is>
      </c>
      <c r="D1414" s="8" t="inlineStr">
        <is>
          <t>Сумма не сходится</t>
        </is>
      </c>
      <c r="E1414" s="8" t="inlineStr">
        <is>
          <t>Нужна проверка</t>
        </is>
      </c>
      <c r="F1414" s="8" t="inlineStr">
        <is>
          <t>C</t>
        </is>
      </c>
      <c r="G1414" s="14" t="n">
        <v>-10239.3</v>
      </c>
      <c r="H1414" s="14" t="n">
        <v>-1137.700000000001</v>
      </c>
      <c r="I1414" s="14" t="n"/>
      <c r="J1414" s="14" t="n">
        <v>-11377</v>
      </c>
      <c r="K1414" s="21" t="n">
        <v>46141.60275462963</v>
      </c>
      <c r="L1414" s="21" t="n">
        <v>46159</v>
      </c>
      <c r="M1414" s="8" t="inlineStr"/>
      <c r="N1414" s="8" t="inlineStr">
        <is>
          <t>Бухгалтер + менеджер субагента</t>
        </is>
      </c>
      <c r="O1414" s="8" t="inlineStr"/>
      <c r="P1414" s="12" t="inlineStr">
        <is>
          <t>Нет записи реестра (билет выписан субагентом сам) — определить виновного по данным нельзя</t>
        </is>
      </c>
      <c r="Q1414" s="8" t="inlineStr">
        <is>
          <t>57238104,57291781</t>
        </is>
      </c>
    </row>
    <row r="1415">
      <c r="A1415" s="8" t="inlineStr">
        <is>
          <t>G01899</t>
        </is>
      </c>
      <c r="B1415" s="8" t="inlineStr">
        <is>
          <t>Karakol Express</t>
        </is>
      </c>
      <c r="C1415" s="8" t="inlineStr">
        <is>
          <t>2559099970|2559099973|2559099976|2559099978</t>
        </is>
      </c>
      <c r="D1415" s="8" t="inlineStr">
        <is>
          <t>Сумма не сходится</t>
        </is>
      </c>
      <c r="E1415" s="8" t="inlineStr">
        <is>
          <t>Нужна проверка</t>
        </is>
      </c>
      <c r="F1415" s="8" t="inlineStr">
        <is>
          <t>C</t>
        </is>
      </c>
      <c r="G1415" s="14" t="n">
        <v>63238.89999999999</v>
      </c>
      <c r="H1415" s="14" t="n">
        <v>-52699.08</v>
      </c>
      <c r="I1415" s="14" t="n"/>
      <c r="J1415" s="14" t="n">
        <v>10539.81999999999</v>
      </c>
      <c r="K1415" s="21" t="n">
        <v>46037.54706018518</v>
      </c>
      <c r="L1415" s="21" t="n">
        <v>46037</v>
      </c>
      <c r="M1415" s="8" t="inlineStr"/>
      <c r="N1415" s="8" t="inlineStr">
        <is>
          <t>Бухгалтер + менеджер субагента</t>
        </is>
      </c>
      <c r="O1415" s="8" t="inlineStr"/>
      <c r="P1415" s="12" t="inlineStr">
        <is>
          <t>Нет записи реестра (билет выписан субагентом сам) — определить виновного по данным нельзя</t>
        </is>
      </c>
      <c r="Q1415" s="8" t="inlineStr">
        <is>
          <t>57029258,57099377</t>
        </is>
      </c>
    </row>
    <row r="1416">
      <c r="A1416" s="8" t="inlineStr">
        <is>
          <t>G05662</t>
        </is>
      </c>
      <c r="B1416" s="8" t="inlineStr">
        <is>
          <t>Ак-Куу Тур</t>
        </is>
      </c>
      <c r="C1416" s="8" t="inlineStr">
        <is>
          <t>2552672935</t>
        </is>
      </c>
      <c r="D1416" s="8" t="inlineStr">
        <is>
          <t>Сумма не сходится</t>
        </is>
      </c>
      <c r="E1416" s="8" t="inlineStr">
        <is>
          <t>Нужна проверка</t>
        </is>
      </c>
      <c r="F1416" s="8" t="inlineStr">
        <is>
          <t>C</t>
        </is>
      </c>
      <c r="G1416" s="14" t="n">
        <v>-10000</v>
      </c>
      <c r="H1416" s="14" t="n">
        <v>0</v>
      </c>
      <c r="I1416" s="14" t="n"/>
      <c r="J1416" s="14" t="n">
        <v>-10000</v>
      </c>
      <c r="K1416" s="21" t="n">
        <v>46116.60878472222</v>
      </c>
      <c r="L1416" s="21" t="n">
        <v>46116</v>
      </c>
      <c r="M1416" s="8" t="inlineStr"/>
      <c r="N1416" s="8" t="inlineStr">
        <is>
          <t>Бухгалтер + менеджер субагента</t>
        </is>
      </c>
      <c r="O1416" s="8" t="inlineStr"/>
      <c r="P1416" s="12" t="inlineStr">
        <is>
          <t>Нет записи реестра (билет выписан субагентом сам) — определить виновного по данным нельзя</t>
        </is>
      </c>
      <c r="Q1416" s="8" t="inlineStr">
        <is>
          <t>57190909,57269145</t>
        </is>
      </c>
    </row>
    <row r="1417">
      <c r="A1417" s="8" t="inlineStr">
        <is>
          <t>G11783</t>
        </is>
      </c>
      <c r="B1417" s="8" t="inlineStr">
        <is>
          <t>ОсОО Кок-Жайык Лайн</t>
        </is>
      </c>
      <c r="C1417" s="8" t="inlineStr">
        <is>
          <t>2420847099|2420847101|2420847102|2420847105</t>
        </is>
      </c>
      <c r="D1417" s="8" t="inlineStr">
        <is>
          <t>Сумма не сходится</t>
        </is>
      </c>
      <c r="E1417" s="8" t="inlineStr">
        <is>
          <t>Нужна проверка</t>
        </is>
      </c>
      <c r="F1417" s="8" t="inlineStr">
        <is>
          <t>C</t>
        </is>
      </c>
      <c r="G1417" s="14" t="n">
        <v>10000</v>
      </c>
      <c r="H1417" s="14" t="n">
        <v>0</v>
      </c>
      <c r="I1417" s="14" t="n"/>
      <c r="J1417" s="14" t="n">
        <v>10000</v>
      </c>
      <c r="K1417" s="21" t="n">
        <v>46135.43559027778</v>
      </c>
      <c r="L1417" s="21" t="n">
        <v>46135</v>
      </c>
      <c r="M1417" s="8" t="inlineStr"/>
      <c r="N1417" s="8" t="inlineStr">
        <is>
          <t>Бухгалтер + менеджер субагента</t>
        </is>
      </c>
      <c r="O1417" s="8" t="inlineStr"/>
      <c r="P1417" s="12" t="inlineStr">
        <is>
          <t>Нет записи реестра (билет выписан субагентом сам) — определить виновного по данным нельзя</t>
        </is>
      </c>
      <c r="Q1417" s="8" t="inlineStr">
        <is>
          <t>57225058,57225017,57225068,57225035,57256794</t>
        </is>
      </c>
    </row>
    <row r="1418">
      <c r="A1418" s="8" t="inlineStr">
        <is>
          <t>G13282</t>
        </is>
      </c>
      <c r="B1418" s="8" t="inlineStr">
        <is>
          <t>Сатар уулу Санжар</t>
        </is>
      </c>
      <c r="C1418" s="8" t="inlineStr">
        <is>
          <t>2552669334</t>
        </is>
      </c>
      <c r="D1418" s="8" t="inlineStr">
        <is>
          <t>Сумма не сходится</t>
        </is>
      </c>
      <c r="E1418" s="8" t="inlineStr">
        <is>
          <t>Нужна проверка</t>
        </is>
      </c>
      <c r="F1418" s="8" t="inlineStr">
        <is>
          <t>C</t>
        </is>
      </c>
      <c r="G1418" s="14" t="n">
        <v>33193.76</v>
      </c>
      <c r="H1418" s="14" t="n">
        <v>-41492.2</v>
      </c>
      <c r="I1418" s="14" t="n">
        <v>8298.439999999995</v>
      </c>
      <c r="J1418" s="14" t="n">
        <v>-8298.440000000002</v>
      </c>
      <c r="K1418" s="21" t="n">
        <v>46102.45366898148</v>
      </c>
      <c r="L1418" s="21" t="n">
        <v>46102</v>
      </c>
      <c r="M1418" s="8" t="inlineStr"/>
      <c r="N1418" s="8" t="inlineStr">
        <is>
          <t>Бухгалтер + менеджер субагента</t>
        </is>
      </c>
      <c r="O1418" s="8" t="inlineStr">
        <is>
          <t>a.toktosunova|r.sydykov</t>
        </is>
      </c>
      <c r="P1418" s="12" t="inlineStr">
        <is>
          <t>Реестр не подтверждает ни 1С, ни ETM (либо состав группы неоднозначен) — нужна проверка</t>
        </is>
      </c>
      <c r="Q1418" s="8" t="inlineStr">
        <is>
          <t>57162344,57162348,57191246</t>
        </is>
      </c>
    </row>
    <row r="1419">
      <c r="A1419" s="8" t="inlineStr">
        <is>
          <t>G13325</t>
        </is>
      </c>
      <c r="B1419" s="8" t="inlineStr">
        <is>
          <t>Сатар уулу Санжар</t>
        </is>
      </c>
      <c r="C1419" s="8" t="inlineStr">
        <is>
          <t>2559099349|2559099351</t>
        </is>
      </c>
      <c r="D1419" s="8" t="inlineStr">
        <is>
          <t>Сумма не сходится</t>
        </is>
      </c>
      <c r="E1419" s="8" t="inlineStr">
        <is>
          <t>Нужна проверка</t>
        </is>
      </c>
      <c r="F1419" s="8" t="inlineStr">
        <is>
          <t>C</t>
        </is>
      </c>
      <c r="G1419" s="14" t="n">
        <v>84866.5</v>
      </c>
      <c r="H1419" s="14" t="n">
        <v>-77151.36</v>
      </c>
      <c r="I1419" s="14" t="n"/>
      <c r="J1419" s="14" t="n">
        <v>7715.139999999999</v>
      </c>
      <c r="K1419" s="21" t="n">
        <v>46206.38534722223</v>
      </c>
      <c r="L1419" s="21" t="n">
        <v>46206</v>
      </c>
      <c r="M1419" s="8" t="inlineStr"/>
      <c r="N1419" s="8" t="inlineStr">
        <is>
          <t>Бухгалтер + менеджер субагента</t>
        </is>
      </c>
      <c r="O1419" s="8" t="inlineStr"/>
      <c r="P1419" s="12" t="inlineStr">
        <is>
          <t>Нет записи реестра (билет выписан субагентом сам) — определить виновного по данным нельзя</t>
        </is>
      </c>
      <c r="Q1419" s="8" t="inlineStr">
        <is>
          <t>57423797,57423830</t>
        </is>
      </c>
    </row>
    <row r="1420">
      <c r="A1420" s="8" t="inlineStr">
        <is>
          <t>G01982</t>
        </is>
      </c>
      <c r="B1420" s="8" t="inlineStr">
        <is>
          <t>Karakol Express</t>
        </is>
      </c>
      <c r="C1420" s="8" t="inlineStr">
        <is>
          <t>2559103942</t>
        </is>
      </c>
      <c r="D1420" s="8" t="inlineStr">
        <is>
          <t>Сумма не сходится</t>
        </is>
      </c>
      <c r="E1420" s="8" t="inlineStr">
        <is>
          <t>Нужна проверка</t>
        </is>
      </c>
      <c r="F1420" s="8" t="inlineStr">
        <is>
          <t>C</t>
        </is>
      </c>
      <c r="G1420" s="14" t="n">
        <v>16072.85000000001</v>
      </c>
      <c r="H1420" s="14" t="n">
        <v>-9643.709999999999</v>
      </c>
      <c r="I1420" s="14" t="n"/>
      <c r="J1420" s="14" t="n">
        <v>6429.140000000007</v>
      </c>
      <c r="K1420" s="21" t="n">
        <v>46152.65428240741</v>
      </c>
      <c r="L1420" s="21" t="n">
        <v>46152</v>
      </c>
      <c r="M1420" s="8" t="inlineStr"/>
      <c r="N1420" s="8" t="inlineStr">
        <is>
          <t>Бухгалтер + менеджер субагента</t>
        </is>
      </c>
      <c r="O1420" s="8" t="inlineStr"/>
      <c r="P1420" s="12" t="inlineStr">
        <is>
          <t>Нет записи реестра (билет выписан субагентом сам) — определить виновного по данным нельзя</t>
        </is>
      </c>
      <c r="Q1420" s="8" t="inlineStr">
        <is>
          <t>57270803,57371688</t>
        </is>
      </c>
    </row>
    <row r="1421">
      <c r="A1421" s="8" t="inlineStr">
        <is>
          <t>G10851</t>
        </is>
      </c>
      <c r="B1421" s="8" t="inlineStr">
        <is>
          <t>Ниязбекова Асель Сатаровна</t>
        </is>
      </c>
      <c r="C1421" s="8" t="inlineStr">
        <is>
          <t>2416942502|2416942503</t>
        </is>
      </c>
      <c r="D1421" s="8" t="inlineStr">
        <is>
          <t>Сумма не сходится</t>
        </is>
      </c>
      <c r="E1421" s="8" t="inlineStr">
        <is>
          <t>Нужна проверка</t>
        </is>
      </c>
      <c r="F1421" s="8" t="inlineStr">
        <is>
          <t>C</t>
        </is>
      </c>
      <c r="G1421" s="14" t="n">
        <v>68371.86</v>
      </c>
      <c r="H1421" s="14" t="n">
        <v>-62156.24</v>
      </c>
      <c r="I1421" s="14" t="n"/>
      <c r="J1421" s="14" t="n">
        <v>6215.620000000003</v>
      </c>
      <c r="K1421" s="21" t="n">
        <v>46154.63385416667</v>
      </c>
      <c r="L1421" s="21" t="n">
        <v>46154</v>
      </c>
      <c r="M1421" s="8" t="inlineStr"/>
      <c r="N1421" s="8" t="inlineStr">
        <is>
          <t>Бухгалтер + менеджер субагента</t>
        </is>
      </c>
      <c r="O1421" s="8" t="inlineStr"/>
      <c r="P1421" s="12" t="inlineStr">
        <is>
          <t>Нет записи реестра (билет выписан субагентом сам) — определить виновного по данным нельзя</t>
        </is>
      </c>
      <c r="Q1421" s="8" t="inlineStr">
        <is>
          <t>57275672,57275701</t>
        </is>
      </c>
    </row>
    <row r="1422">
      <c r="A1422" s="8" t="inlineStr">
        <is>
          <t>G07373</t>
        </is>
      </c>
      <c r="B1422" s="8" t="inlineStr">
        <is>
          <t>Жибек Эйр</t>
        </is>
      </c>
      <c r="C1422" s="8" t="inlineStr">
        <is>
          <t>2476319469|2476319472</t>
        </is>
      </c>
      <c r="D1422" s="8" t="inlineStr">
        <is>
          <t>Сумма не сходится</t>
        </is>
      </c>
      <c r="E1422" s="8" t="inlineStr">
        <is>
          <t>Нужна проверка</t>
        </is>
      </c>
      <c r="F1422" s="8" t="inlineStr">
        <is>
          <t>C</t>
        </is>
      </c>
      <c r="G1422" s="14" t="n">
        <v>25469.5</v>
      </c>
      <c r="H1422" s="14" t="n">
        <v>-30831.5</v>
      </c>
      <c r="I1422" s="14" t="n"/>
      <c r="J1422" s="14" t="n">
        <v>-5362</v>
      </c>
      <c r="K1422" s="21" t="n">
        <v>46049.45497685186</v>
      </c>
      <c r="L1422" s="21" t="n">
        <v>46049</v>
      </c>
      <c r="M1422" s="8" t="inlineStr"/>
      <c r="N1422" s="8" t="inlineStr">
        <is>
          <t>Бухгалтер + менеджер субагента</t>
        </is>
      </c>
      <c r="O1422" s="8" t="inlineStr"/>
      <c r="P1422" s="12" t="inlineStr">
        <is>
          <t>Нет записи реестра (билет выписан субагентом сам) — определить виновного по данным нельзя</t>
        </is>
      </c>
      <c r="Q1422" s="8" t="inlineStr">
        <is>
          <t>57056956,57056947,57133422</t>
        </is>
      </c>
    </row>
    <row r="1423">
      <c r="A1423" s="8" t="inlineStr">
        <is>
          <t>G01431</t>
        </is>
      </c>
      <c r="B1423" s="8" t="inlineStr">
        <is>
          <t>Karakol Express</t>
        </is>
      </c>
      <c r="C1423" s="8" t="inlineStr">
        <is>
          <t>2460734107|2460734108|2460734110|2460734112</t>
        </is>
      </c>
      <c r="D1423" s="8" t="inlineStr">
        <is>
          <t>Сумма не сходится</t>
        </is>
      </c>
      <c r="E1423" s="8" t="inlineStr">
        <is>
          <t>Нужна проверка</t>
        </is>
      </c>
      <c r="F1423" s="8" t="inlineStr">
        <is>
          <t>C</t>
        </is>
      </c>
      <c r="G1423" s="14" t="n">
        <v>102841.2</v>
      </c>
      <c r="H1423" s="14" t="n">
        <v>-97944</v>
      </c>
      <c r="I1423" s="14" t="n"/>
      <c r="J1423" s="14" t="n">
        <v>4897.199999999997</v>
      </c>
      <c r="K1423" s="21" t="n">
        <v>46169.35487268519</v>
      </c>
      <c r="L1423" s="21" t="n">
        <v>46169</v>
      </c>
      <c r="M1423" s="8" t="inlineStr"/>
      <c r="N1423" s="8" t="inlineStr">
        <is>
          <t>Бухгалтер + менеджер субагента</t>
        </is>
      </c>
      <c r="O1423" s="8" t="inlineStr"/>
      <c r="P1423" s="12" t="inlineStr">
        <is>
          <t>Нет записи реестра (билет выписан субагентом сам) — определить виновного по данным нельзя</t>
        </is>
      </c>
      <c r="Q1423" s="8" t="inlineStr">
        <is>
          <t>57320499,57320475,57320502,57320491</t>
        </is>
      </c>
    </row>
    <row r="1424">
      <c r="A1424" s="8" t="inlineStr">
        <is>
          <t>G07717</t>
        </is>
      </c>
      <c r="B1424" s="8" t="inlineStr">
        <is>
          <t>ИП Абдылдаова У. О.</t>
        </is>
      </c>
      <c r="C1424" s="8" t="inlineStr">
        <is>
          <t>2461884509</t>
        </is>
      </c>
      <c r="D1424" s="8" t="inlineStr">
        <is>
          <t>Сумма не сходится</t>
        </is>
      </c>
      <c r="E1424" s="8" t="inlineStr">
        <is>
          <t>Нужна проверка</t>
        </is>
      </c>
      <c r="F1424" s="8" t="inlineStr">
        <is>
          <t>C</t>
        </is>
      </c>
      <c r="G1424" s="14" t="n">
        <v>38951.1</v>
      </c>
      <c r="H1424" s="14" t="n">
        <v>-43279</v>
      </c>
      <c r="I1424" s="14" t="n"/>
      <c r="J1424" s="14" t="n">
        <v>-4327.900000000001</v>
      </c>
      <c r="K1424" s="21" t="n">
        <v>46202.45951388889</v>
      </c>
      <c r="L1424" s="21" t="n">
        <v>46202</v>
      </c>
      <c r="M1424" s="8" t="inlineStr"/>
      <c r="N1424" s="8" t="inlineStr">
        <is>
          <t>Бухгалтер + менеджер субагента</t>
        </is>
      </c>
      <c r="O1424" s="8" t="inlineStr"/>
      <c r="P1424" s="12" t="inlineStr">
        <is>
          <t>Нет записи реестра (билет выписан субагентом сам) — определить виновного по данным нельзя</t>
        </is>
      </c>
      <c r="Q1424" s="8" t="inlineStr">
        <is>
          <t>57412121</t>
        </is>
      </c>
    </row>
    <row r="1425">
      <c r="A1425" s="8" t="inlineStr">
        <is>
          <t>G05532</t>
        </is>
      </c>
      <c r="B1425" s="8" t="inlineStr">
        <is>
          <t>Ак-Куу Тур</t>
        </is>
      </c>
      <c r="C1425" s="8" t="inlineStr">
        <is>
          <t>2459531854</t>
        </is>
      </c>
      <c r="D1425" s="8" t="inlineStr">
        <is>
          <t>Сумма не сходится</t>
        </is>
      </c>
      <c r="E1425" s="8" t="inlineStr">
        <is>
          <t>Нужна проверка</t>
        </is>
      </c>
      <c r="F1425" s="8" t="inlineStr">
        <is>
          <t>C</t>
        </is>
      </c>
      <c r="G1425" s="14" t="n">
        <v>47533.2</v>
      </c>
      <c r="H1425" s="14" t="n">
        <v>-43212</v>
      </c>
      <c r="I1425" s="14" t="n"/>
      <c r="J1425" s="14" t="n">
        <v>4321.199999999997</v>
      </c>
      <c r="K1425" s="21" t="n">
        <v>46114.67950231482</v>
      </c>
      <c r="L1425" s="21" t="n">
        <v>46114</v>
      </c>
      <c r="M1425" s="8" t="inlineStr"/>
      <c r="N1425" s="8" t="inlineStr">
        <is>
          <t>Бухгалтер + менеджер субагента</t>
        </is>
      </c>
      <c r="O1425" s="8" t="inlineStr"/>
      <c r="P1425" s="12" t="inlineStr">
        <is>
          <t>Нет записи реестра (билет выписан субагентом сам) — определить виновного по данным нельзя</t>
        </is>
      </c>
      <c r="Q1425" s="8" t="inlineStr">
        <is>
          <t>57187077</t>
        </is>
      </c>
    </row>
    <row r="1426">
      <c r="A1426" s="8" t="inlineStr">
        <is>
          <t>G12314</t>
        </is>
      </c>
      <c r="B1426" s="8" t="inlineStr">
        <is>
          <t>САЛАМ ЭЙР</t>
        </is>
      </c>
      <c r="C1426" s="8" t="inlineStr">
        <is>
          <t>2459528364|2459528367</t>
        </is>
      </c>
      <c r="D1426" s="8" t="inlineStr">
        <is>
          <t>Сумма не сходится</t>
        </is>
      </c>
      <c r="E1426" s="8" t="inlineStr">
        <is>
          <t>Нужна проверка</t>
        </is>
      </c>
      <c r="F1426" s="8" t="inlineStr">
        <is>
          <t>C</t>
        </is>
      </c>
      <c r="G1426" s="14" t="n">
        <v>35672.4</v>
      </c>
      <c r="H1426" s="14" t="n">
        <v>-39636</v>
      </c>
      <c r="I1426" s="14" t="n"/>
      <c r="J1426" s="14" t="n">
        <v>-3963.599999999999</v>
      </c>
      <c r="K1426" s="21" t="n">
        <v>46085.36802083333</v>
      </c>
      <c r="L1426" s="21" t="n">
        <v>46085</v>
      </c>
      <c r="M1426" s="8" t="inlineStr"/>
      <c r="N1426" s="8" t="inlineStr">
        <is>
          <t>Бухгалтер + менеджер субагента</t>
        </is>
      </c>
      <c r="O1426" s="8" t="inlineStr"/>
      <c r="P1426" s="12" t="inlineStr">
        <is>
          <t>Нет записи реестра (билет выписан субагентом сам) — определить виновного по данным нельзя</t>
        </is>
      </c>
      <c r="Q1426" s="8" t="inlineStr">
        <is>
          <t>57122522,57122498</t>
        </is>
      </c>
    </row>
    <row r="1427">
      <c r="A1427" s="8" t="inlineStr">
        <is>
          <t>G09550</t>
        </is>
      </c>
      <c r="B1427" s="8" t="inlineStr">
        <is>
          <t>КУТ ЭЙР</t>
        </is>
      </c>
      <c r="C1427" s="8" t="inlineStr">
        <is>
          <t>2559098431</t>
        </is>
      </c>
      <c r="D1427" s="8" t="inlineStr">
        <is>
          <t>Сумма не сходится</t>
        </is>
      </c>
      <c r="E1427" s="8" t="inlineStr">
        <is>
          <t>Нужна проверка</t>
        </is>
      </c>
      <c r="F1427" s="8" t="inlineStr">
        <is>
          <t>C</t>
        </is>
      </c>
      <c r="G1427" s="14" t="n">
        <v>43582.96</v>
      </c>
      <c r="H1427" s="14" t="n">
        <v>-39620.87</v>
      </c>
      <c r="I1427" s="14" t="n"/>
      <c r="J1427" s="14" t="n">
        <v>3962.089999999997</v>
      </c>
      <c r="K1427" s="21" t="n">
        <v>46102.65207175926</v>
      </c>
      <c r="L1427" s="21" t="n">
        <v>46102</v>
      </c>
      <c r="M1427" s="8" t="inlineStr"/>
      <c r="N1427" s="8" t="inlineStr">
        <is>
          <t>Бухгалтер + менеджер субагента</t>
        </is>
      </c>
      <c r="O1427" s="8" t="inlineStr"/>
      <c r="P1427" s="12" t="inlineStr">
        <is>
          <t>Нет записи реестра (билет выписан субагентом сам) — определить виновного по данным нельзя</t>
        </is>
      </c>
      <c r="Q1427" s="8" t="inlineStr">
        <is>
          <t>57161881</t>
        </is>
      </c>
    </row>
    <row r="1428">
      <c r="A1428" s="8" t="inlineStr">
        <is>
          <t>G00370</t>
        </is>
      </c>
      <c r="B1428" s="8" t="inlineStr">
        <is>
          <t>Blue Bird Travel</t>
        </is>
      </c>
      <c r="C1428" s="8" t="inlineStr">
        <is>
          <t>2459530726|2459530729|2459530732|2459530733</t>
        </is>
      </c>
      <c r="D1428" s="8" t="inlineStr">
        <is>
          <t>Сумма не сходится</t>
        </is>
      </c>
      <c r="E1428" s="8" t="inlineStr">
        <is>
          <t>Нужна проверка</t>
        </is>
      </c>
      <c r="F1428" s="8" t="inlineStr">
        <is>
          <t>C</t>
        </is>
      </c>
      <c r="G1428" s="14" t="n">
        <v>73575.60000000001</v>
      </c>
      <c r="H1428" s="14" t="n">
        <v>-77448</v>
      </c>
      <c r="I1428" s="14" t="n"/>
      <c r="J1428" s="14" t="n">
        <v>-3872.399999999994</v>
      </c>
      <c r="K1428" s="21" t="n">
        <v>46104.46006944445</v>
      </c>
      <c r="L1428" s="21" t="n">
        <v>46104</v>
      </c>
      <c r="M1428" s="8" t="inlineStr"/>
      <c r="N1428" s="8" t="inlineStr">
        <is>
          <t>Бухгалтер + менеджер субагента</t>
        </is>
      </c>
      <c r="O1428" s="8" t="inlineStr"/>
      <c r="P1428" s="12" t="inlineStr">
        <is>
          <t>Нет записи реестра (билет выписан субагентом сам) — определить виновного по данным нельзя</t>
        </is>
      </c>
      <c r="Q1428" s="8" t="inlineStr">
        <is>
          <t>57166388,57166330,57166368,57166355</t>
        </is>
      </c>
    </row>
    <row r="1429">
      <c r="A1429" s="8" t="inlineStr">
        <is>
          <t>G01578</t>
        </is>
      </c>
      <c r="B1429" s="8" t="inlineStr">
        <is>
          <t>Karakol Express</t>
        </is>
      </c>
      <c r="C1429" s="8" t="inlineStr">
        <is>
          <t>2461883235</t>
        </is>
      </c>
      <c r="D1429" s="8" t="inlineStr">
        <is>
          <t>Сумма не сходится</t>
        </is>
      </c>
      <c r="E1429" s="8" t="inlineStr">
        <is>
          <t>Нужна проверка</t>
        </is>
      </c>
      <c r="F1429" s="8" t="inlineStr">
        <is>
          <t>C</t>
        </is>
      </c>
      <c r="G1429" s="14" t="n">
        <v>34915.1</v>
      </c>
      <c r="H1429" s="14" t="n">
        <v>-31741</v>
      </c>
      <c r="I1429" s="14" t="n"/>
      <c r="J1429" s="14" t="n">
        <v>3174.099999999999</v>
      </c>
      <c r="K1429" s="21" t="n">
        <v>46232.79982638889</v>
      </c>
      <c r="L1429" s="21" t="n">
        <v>46232</v>
      </c>
      <c r="M1429" s="8" t="inlineStr"/>
      <c r="N1429" s="8" t="inlineStr">
        <is>
          <t>Бухгалтер + менеджер субагента</t>
        </is>
      </c>
      <c r="O1429" s="8" t="inlineStr"/>
      <c r="P1429" s="12" t="inlineStr">
        <is>
          <t>Нет записи реестра (билет выписан субагентом сам) — определить виновного по данным нельзя</t>
        </is>
      </c>
      <c r="Q1429" s="8" t="inlineStr">
        <is>
          <t>57497061</t>
        </is>
      </c>
    </row>
    <row r="1430">
      <c r="A1430" s="8" t="inlineStr">
        <is>
          <t>G11575</t>
        </is>
      </c>
      <c r="B1430" s="8" t="inlineStr">
        <is>
          <t>ОсОО Кара-Кол Трип</t>
        </is>
      </c>
      <c r="C1430" s="8" t="inlineStr">
        <is>
          <t>2552667577</t>
        </is>
      </c>
      <c r="D1430" s="8" t="inlineStr">
        <is>
          <t>Сумма не сходится</t>
        </is>
      </c>
      <c r="E1430" s="8" t="inlineStr">
        <is>
          <t>Нужна проверка</t>
        </is>
      </c>
      <c r="F1430" s="8" t="inlineStr">
        <is>
          <t>C</t>
        </is>
      </c>
      <c r="G1430" s="14" t="n">
        <v>32315.43</v>
      </c>
      <c r="H1430" s="14" t="n">
        <v>-29377.66</v>
      </c>
      <c r="I1430" s="14" t="n"/>
      <c r="J1430" s="14" t="n">
        <v>2937.77</v>
      </c>
      <c r="K1430" s="21" t="n">
        <v>46028.6050462963</v>
      </c>
      <c r="L1430" s="21" t="n">
        <v>46028</v>
      </c>
      <c r="M1430" s="8" t="inlineStr"/>
      <c r="N1430" s="8" t="inlineStr">
        <is>
          <t>Бухгалтер + менеджер субагента</t>
        </is>
      </c>
      <c r="O1430" s="8" t="inlineStr"/>
      <c r="P1430" s="12" t="inlineStr">
        <is>
          <t>Нет записи реестра (билет выписан субагентом сам) — определить виновного по данным нельзя</t>
        </is>
      </c>
      <c r="Q1430" s="8" t="inlineStr">
        <is>
          <t>57009273</t>
        </is>
      </c>
    </row>
    <row r="1431">
      <c r="A1431" s="8" t="inlineStr">
        <is>
          <t>G04074</t>
        </is>
      </c>
      <c r="B1431" s="8" t="inlineStr">
        <is>
          <t>Tengri Trip</t>
        </is>
      </c>
      <c r="C1431" s="8" t="inlineStr">
        <is>
          <t>2476315753|2476315754</t>
        </is>
      </c>
      <c r="D1431" s="8" t="inlineStr">
        <is>
          <t>Сумма не сходится</t>
        </is>
      </c>
      <c r="E1431" s="8" t="inlineStr">
        <is>
          <t>Нужна проверка</t>
        </is>
      </c>
      <c r="F1431" s="8" t="inlineStr">
        <is>
          <t>C</t>
        </is>
      </c>
      <c r="G1431" s="14" t="n">
        <v>31864.14</v>
      </c>
      <c r="H1431" s="14" t="n">
        <v>-28967.4</v>
      </c>
      <c r="I1431" s="14" t="n"/>
      <c r="J1431" s="14" t="n">
        <v>2896.739999999998</v>
      </c>
      <c r="K1431" s="21" t="n">
        <v>46120.42454861111</v>
      </c>
      <c r="L1431" s="21" t="n">
        <v>46120</v>
      </c>
      <c r="M1431" s="8" t="inlineStr"/>
      <c r="N1431" s="8" t="inlineStr">
        <is>
          <t>Бухгалтер + менеджер субагента</t>
        </is>
      </c>
      <c r="O1431" s="8" t="inlineStr"/>
      <c r="P1431" s="12" t="inlineStr">
        <is>
          <t>Нет записи реестра (билет выписан субагентом сам) — определить виновного по данным нельзя</t>
        </is>
      </c>
      <c r="Q1431" s="8" t="inlineStr">
        <is>
          <t>57196479,57196481</t>
        </is>
      </c>
    </row>
    <row r="1432">
      <c r="A1432" s="8" t="inlineStr">
        <is>
          <t>G12031</t>
        </is>
      </c>
      <c r="B1432" s="8" t="inlineStr">
        <is>
          <t>ОсОО Чолпон Авиакасса</t>
        </is>
      </c>
      <c r="C1432" s="8" t="inlineStr">
        <is>
          <t>2460737655|2460737658|2460737660</t>
        </is>
      </c>
      <c r="D1432" s="8" t="inlineStr">
        <is>
          <t>Сумма не сходится</t>
        </is>
      </c>
      <c r="E1432" s="8" t="inlineStr">
        <is>
          <t>Нужна проверка</t>
        </is>
      </c>
      <c r="F1432" s="8" t="inlineStr">
        <is>
          <t>C</t>
        </is>
      </c>
      <c r="G1432" s="14" t="n">
        <v>54477.75</v>
      </c>
      <c r="H1432" s="14" t="n">
        <v>-57345</v>
      </c>
      <c r="I1432" s="14" t="n"/>
      <c r="J1432" s="14" t="n">
        <v>-2867.25</v>
      </c>
      <c r="K1432" s="21" t="n">
        <v>46170.43760416667</v>
      </c>
      <c r="L1432" s="21" t="n">
        <v>46170</v>
      </c>
      <c r="M1432" s="8" t="inlineStr"/>
      <c r="N1432" s="8" t="inlineStr">
        <is>
          <t>Бухгалтер + менеджер субагента</t>
        </is>
      </c>
      <c r="O1432" s="8" t="inlineStr"/>
      <c r="P1432" s="12" t="inlineStr">
        <is>
          <t>Нет записи реестра (билет выписан субагентом сам) — определить виновного по данным нельзя</t>
        </is>
      </c>
      <c r="Q1432" s="8" t="inlineStr">
        <is>
          <t>57324778,57324792,57324738</t>
        </is>
      </c>
    </row>
    <row r="1433">
      <c r="A1433" s="8" t="inlineStr">
        <is>
          <t>G10161</t>
        </is>
      </c>
      <c r="B1433" s="8" t="inlineStr">
        <is>
          <t>Манас Вояж</t>
        </is>
      </c>
      <c r="C1433" s="8" t="inlineStr">
        <is>
          <t>2552672644|2552672645</t>
        </is>
      </c>
      <c r="D1433" s="8" t="inlineStr">
        <is>
          <t>Сумма не сходится</t>
        </is>
      </c>
      <c r="E1433" s="8" t="inlineStr">
        <is>
          <t>Нужна проверка</t>
        </is>
      </c>
      <c r="F1433" s="8" t="inlineStr">
        <is>
          <t>C</t>
        </is>
      </c>
      <c r="G1433" s="14" t="n">
        <v>56138.08</v>
      </c>
      <c r="H1433" s="14" t="n">
        <v>-53464.84</v>
      </c>
      <c r="I1433" s="14" t="n"/>
      <c r="J1433" s="14" t="n">
        <v>2673.240000000005</v>
      </c>
      <c r="K1433" s="21" t="n">
        <v>46096.5175</v>
      </c>
      <c r="L1433" s="21" t="n">
        <v>46096</v>
      </c>
      <c r="M1433" s="8" t="inlineStr"/>
      <c r="N1433" s="8" t="inlineStr">
        <is>
          <t>Бухгалтер + менеджер субагента</t>
        </is>
      </c>
      <c r="O1433" s="8" t="inlineStr"/>
      <c r="P1433" s="12" t="inlineStr">
        <is>
          <t>Нет записи реестра (билет выписан субагентом сам) — определить виновного по данным нельзя</t>
        </is>
      </c>
      <c r="Q1433" s="8" t="inlineStr">
        <is>
          <t>57149923,57149960</t>
        </is>
      </c>
    </row>
    <row r="1434">
      <c r="A1434" s="8" t="inlineStr">
        <is>
          <t>G11217</t>
        </is>
      </c>
      <c r="B1434" s="8" t="inlineStr">
        <is>
          <t>ОсОО Алтын Эйр</t>
        </is>
      </c>
      <c r="C1434" s="8" t="inlineStr">
        <is>
          <t>2460734279</t>
        </is>
      </c>
      <c r="D1434" s="8" t="inlineStr">
        <is>
          <t>Сумма не сходится</t>
        </is>
      </c>
      <c r="E1434" s="8" t="inlineStr">
        <is>
          <t>Нужна проверка</t>
        </is>
      </c>
      <c r="F1434" s="8" t="inlineStr">
        <is>
          <t>C</t>
        </is>
      </c>
      <c r="G1434" s="14" t="n">
        <v>22070.7</v>
      </c>
      <c r="H1434" s="14" t="n">
        <v>-24523</v>
      </c>
      <c r="I1434" s="14" t="n"/>
      <c r="J1434" s="14" t="n">
        <v>-2452.299999999999</v>
      </c>
      <c r="K1434" s="21" t="n">
        <v>46147.444375</v>
      </c>
      <c r="L1434" s="21" t="n">
        <v>46147</v>
      </c>
      <c r="M1434" s="8" t="inlineStr"/>
      <c r="N1434" s="8" t="inlineStr">
        <is>
          <t>Бухгалтер + менеджер субагента</t>
        </is>
      </c>
      <c r="O1434" s="8" t="inlineStr"/>
      <c r="P1434" s="12" t="inlineStr">
        <is>
          <t>Нет записи реестра (билет выписан субагентом сам) — определить виновного по данным нельзя</t>
        </is>
      </c>
      <c r="Q1434" s="8" t="inlineStr">
        <is>
          <t>57254094</t>
        </is>
      </c>
    </row>
    <row r="1435">
      <c r="A1435" s="8" t="inlineStr">
        <is>
          <t>G11378</t>
        </is>
      </c>
      <c r="B1435" s="8" t="inlineStr">
        <is>
          <t>ОсОО Иссык Тур</t>
        </is>
      </c>
      <c r="C1435" s="8" t="inlineStr">
        <is>
          <t>2460734078</t>
        </is>
      </c>
      <c r="D1435" s="8" t="inlineStr">
        <is>
          <t>Сумма не сходится</t>
        </is>
      </c>
      <c r="E1435" s="8" t="inlineStr">
        <is>
          <t>Нужна проверка</t>
        </is>
      </c>
      <c r="F1435" s="8" t="inlineStr">
        <is>
          <t>C</t>
        </is>
      </c>
      <c r="G1435" s="14" t="n">
        <v>41401</v>
      </c>
      <c r="H1435" s="14" t="n">
        <v>-43580</v>
      </c>
      <c r="I1435" s="14" t="n"/>
      <c r="J1435" s="14" t="n">
        <v>-2179</v>
      </c>
      <c r="K1435" s="21" t="n">
        <v>46211.53969907408</v>
      </c>
      <c r="L1435" s="21" t="n">
        <v>46211</v>
      </c>
      <c r="M1435" s="8" t="inlineStr"/>
      <c r="N1435" s="8" t="inlineStr">
        <is>
          <t>Бухгалтер + менеджер субагента</t>
        </is>
      </c>
      <c r="O1435" s="8" t="inlineStr"/>
      <c r="P1435" s="12" t="inlineStr">
        <is>
          <t>Нет записи реестра (билет выписан субагентом сам) — определить виновного по данным нельзя</t>
        </is>
      </c>
      <c r="Q1435" s="8" t="inlineStr">
        <is>
          <t>57439679</t>
        </is>
      </c>
    </row>
    <row r="1436">
      <c r="A1436" s="8" t="inlineStr">
        <is>
          <t>G05452</t>
        </is>
      </c>
      <c r="B1436" s="8" t="inlineStr">
        <is>
          <t>Ак-Куу Авиа</t>
        </is>
      </c>
      <c r="C1436" s="8" t="inlineStr">
        <is>
          <t>2559104219</t>
        </is>
      </c>
      <c r="D1436" s="8" t="inlineStr">
        <is>
          <t>Сумма не сходится</t>
        </is>
      </c>
      <c r="E1436" s="8" t="inlineStr">
        <is>
          <t>Нужна проверка</t>
        </is>
      </c>
      <c r="F1436" s="8" t="inlineStr">
        <is>
          <t>C</t>
        </is>
      </c>
      <c r="G1436" s="14" t="n">
        <v>23568.24</v>
      </c>
      <c r="H1436" s="14" t="n">
        <v>-21425.67</v>
      </c>
      <c r="I1436" s="14" t="n"/>
      <c r="J1436" s="14" t="n">
        <v>2142.570000000003</v>
      </c>
      <c r="K1436" s="21" t="n">
        <v>46202.80740740741</v>
      </c>
      <c r="L1436" s="21" t="n">
        <v>46202</v>
      </c>
      <c r="M1436" s="8" t="inlineStr"/>
      <c r="N1436" s="8" t="inlineStr">
        <is>
          <t>Бухгалтер + менеджер субагента</t>
        </is>
      </c>
      <c r="O1436" s="8" t="inlineStr"/>
      <c r="P1436" s="12" t="inlineStr">
        <is>
          <t>Нет записи реестра (билет выписан субагентом сам) — определить виновного по данным нельзя</t>
        </is>
      </c>
      <c r="Q1436" s="8" t="inlineStr">
        <is>
          <t>57413016</t>
        </is>
      </c>
    </row>
    <row r="1437">
      <c r="A1437" s="8" t="inlineStr">
        <is>
          <t>G10098</t>
        </is>
      </c>
      <c r="B1437" s="8" t="inlineStr">
        <is>
          <t>Манас Вояж</t>
        </is>
      </c>
      <c r="C1437" s="8" t="inlineStr">
        <is>
          <t>2416944261|2416944264|2416944265</t>
        </is>
      </c>
      <c r="D1437" s="8" t="inlineStr">
        <is>
          <t>Сумма не сходится</t>
        </is>
      </c>
      <c r="E1437" s="8" t="inlineStr">
        <is>
          <t>Нужна проверка</t>
        </is>
      </c>
      <c r="F1437" s="8" t="inlineStr">
        <is>
          <t>C</t>
        </is>
      </c>
      <c r="G1437" s="14" t="n">
        <v>168270.75</v>
      </c>
      <c r="H1437" s="14" t="n">
        <v>-166516.71</v>
      </c>
      <c r="I1437" s="14" t="n"/>
      <c r="J1437" s="14" t="n">
        <v>1754.040000000008</v>
      </c>
      <c r="K1437" s="21" t="n">
        <v>46040.36231481482</v>
      </c>
      <c r="L1437" s="21" t="n">
        <v>46038</v>
      </c>
      <c r="M1437" s="8" t="inlineStr"/>
      <c r="N1437" s="8" t="inlineStr">
        <is>
          <t>Бухгалтер + менеджер субагента</t>
        </is>
      </c>
      <c r="O1437" s="8" t="inlineStr"/>
      <c r="P1437" s="12" t="inlineStr">
        <is>
          <t>Нет записи реестра (билет выписан субагентом сам) — определить виновного по данным нельзя</t>
        </is>
      </c>
      <c r="Q1437" s="8" t="inlineStr">
        <is>
          <t>57032471</t>
        </is>
      </c>
    </row>
    <row r="1438">
      <c r="A1438" s="8" t="inlineStr">
        <is>
          <t>G07081</t>
        </is>
      </c>
      <c r="B1438" s="8" t="inlineStr">
        <is>
          <t>Жибек Вояж</t>
        </is>
      </c>
      <c r="C1438" s="8" t="inlineStr">
        <is>
          <t>2459527244</t>
        </is>
      </c>
      <c r="D1438" s="8" t="inlineStr">
        <is>
          <t>Сумма не сходится</t>
        </is>
      </c>
      <c r="E1438" s="8" t="inlineStr">
        <is>
          <t>Нужна проверка</t>
        </is>
      </c>
      <c r="F1438" s="8" t="inlineStr">
        <is>
          <t>C</t>
        </is>
      </c>
      <c r="G1438" s="14" t="n">
        <v>18117</v>
      </c>
      <c r="H1438" s="14" t="n">
        <v>-16470</v>
      </c>
      <c r="I1438" s="14" t="n"/>
      <c r="J1438" s="14" t="n">
        <v>1647</v>
      </c>
      <c r="K1438" s="21" t="n">
        <v>46202.58086805556</v>
      </c>
      <c r="L1438" s="21" t="n">
        <v>46202</v>
      </c>
      <c r="M1438" s="8" t="inlineStr"/>
      <c r="N1438" s="8" t="inlineStr">
        <is>
          <t>Бухгалтер + менеджер субагента</t>
        </is>
      </c>
      <c r="O1438" s="8" t="inlineStr"/>
      <c r="P1438" s="12" t="inlineStr">
        <is>
          <t>Нет записи реестра (билет выписан субагентом сам) — определить виновного по данным нельзя</t>
        </is>
      </c>
      <c r="Q1438" s="8" t="inlineStr">
        <is>
          <t>57410820</t>
        </is>
      </c>
    </row>
    <row r="1439">
      <c r="A1439" s="8" t="inlineStr">
        <is>
          <t>G10368</t>
        </is>
      </c>
      <c r="B1439" s="8" t="inlineStr">
        <is>
          <t>Манас Тревел</t>
        </is>
      </c>
      <c r="C1439" s="8" t="inlineStr">
        <is>
          <t>2461884868</t>
        </is>
      </c>
      <c r="D1439" s="8" t="inlineStr">
        <is>
          <t>Сумма не сходится</t>
        </is>
      </c>
      <c r="E1439" s="8" t="inlineStr">
        <is>
          <t>Нужна проверка</t>
        </is>
      </c>
      <c r="F1439" s="8" t="inlineStr">
        <is>
          <t>C</t>
        </is>
      </c>
      <c r="G1439" s="14" t="n">
        <v>17348.1</v>
      </c>
      <c r="H1439" s="14" t="n">
        <v>-15771</v>
      </c>
      <c r="I1439" s="14" t="n"/>
      <c r="J1439" s="14" t="n">
        <v>1577.099999999999</v>
      </c>
      <c r="K1439" s="21" t="n">
        <v>46198.64430555556</v>
      </c>
      <c r="L1439" s="21" t="n">
        <v>46198</v>
      </c>
      <c r="M1439" s="8" t="inlineStr"/>
      <c r="N1439" s="8" t="inlineStr">
        <is>
          <t>Бухгалтер + менеджер субагента</t>
        </is>
      </c>
      <c r="O1439" s="8" t="inlineStr"/>
      <c r="P1439" s="12" t="inlineStr">
        <is>
          <t>Нет записи реестра (билет выписан субагентом сам) — определить виновного по данным нельзя</t>
        </is>
      </c>
      <c r="Q1439" s="8" t="inlineStr">
        <is>
          <t>57400297</t>
        </is>
      </c>
    </row>
    <row r="1440">
      <c r="A1440" s="8" t="inlineStr">
        <is>
          <t>G12944</t>
        </is>
      </c>
      <c r="B1440" s="8" t="inlineStr">
        <is>
          <t>Сатар уулу Санжар</t>
        </is>
      </c>
      <c r="C1440" s="8" t="inlineStr">
        <is>
          <t>2420845224</t>
        </is>
      </c>
      <c r="D1440" s="8" t="inlineStr">
        <is>
          <t>Сумма не сходится</t>
        </is>
      </c>
      <c r="E1440" s="8" t="inlineStr">
        <is>
          <t>Нужна проверка</t>
        </is>
      </c>
      <c r="F1440" s="8" t="inlineStr">
        <is>
          <t>C</t>
        </is>
      </c>
      <c r="G1440" s="14" t="n">
        <v>14174.09</v>
      </c>
      <c r="H1440" s="14" t="n">
        <v>-15748.99</v>
      </c>
      <c r="I1440" s="14" t="n"/>
      <c r="J1440" s="14" t="n">
        <v>-1574.9</v>
      </c>
      <c r="K1440" s="21" t="n">
        <v>46047.66907407407</v>
      </c>
      <c r="L1440" s="21" t="n">
        <v>46047</v>
      </c>
      <c r="M1440" s="8" t="inlineStr"/>
      <c r="N1440" s="8" t="inlineStr">
        <is>
          <t>Бухгалтер + менеджер субагента</t>
        </is>
      </c>
      <c r="O1440" s="8" t="inlineStr"/>
      <c r="P1440" s="12" t="inlineStr">
        <is>
          <t>Нет записи реестра (билет выписан субагентом сам) — определить виновного по данным нельзя</t>
        </is>
      </c>
      <c r="Q1440" s="8" t="inlineStr">
        <is>
          <t>57052162</t>
        </is>
      </c>
    </row>
    <row r="1441">
      <c r="A1441" s="8" t="inlineStr">
        <is>
          <t>G15415</t>
        </is>
      </c>
      <c r="B1441" s="8" t="inlineStr">
        <is>
          <t>Эсенбеков Кубат Элдияревич</t>
        </is>
      </c>
      <c r="C1441" s="8" t="inlineStr">
        <is>
          <t>2476318660</t>
        </is>
      </c>
      <c r="D1441" s="8" t="inlineStr">
        <is>
          <t>Сумма не сходится</t>
        </is>
      </c>
      <c r="E1441" s="8" t="inlineStr">
        <is>
          <t>Нужна проверка</t>
        </is>
      </c>
      <c r="F1441" s="8" t="inlineStr">
        <is>
          <t>C</t>
        </is>
      </c>
      <c r="G1441" s="14" t="n">
        <v>27644.79</v>
      </c>
      <c r="H1441" s="14" t="n">
        <v>-29027.03</v>
      </c>
      <c r="I1441" s="14" t="n"/>
      <c r="J1441" s="14" t="n">
        <v>-1382.239999999998</v>
      </c>
      <c r="K1441" s="21" t="n">
        <v>46170.52028935185</v>
      </c>
      <c r="L1441" s="21" t="n">
        <v>46170</v>
      </c>
      <c r="M1441" s="8" t="inlineStr"/>
      <c r="N1441" s="8" t="inlineStr">
        <is>
          <t>Бухгалтер + менеджер субагента</t>
        </is>
      </c>
      <c r="O1441" s="8" t="inlineStr">
        <is>
          <t>a.toktosunova</t>
        </is>
      </c>
      <c r="P1441" s="12" t="inlineStr">
        <is>
          <t>Сумма реестра не разобрана/отсутствует — нужна проверка</t>
        </is>
      </c>
      <c r="Q1441" s="8" t="inlineStr">
        <is>
          <t>57324625</t>
        </is>
      </c>
    </row>
    <row r="1442">
      <c r="A1442" s="8" t="inlineStr">
        <is>
          <t>G10947</t>
        </is>
      </c>
      <c r="B1442" s="8" t="inlineStr">
        <is>
          <t>ОсОО Ала-Арча Авиа</t>
        </is>
      </c>
      <c r="C1442" s="8" t="inlineStr">
        <is>
          <t>2460738128</t>
        </is>
      </c>
      <c r="D1442" s="8" t="inlineStr">
        <is>
          <t>Сумма не сходится</t>
        </is>
      </c>
      <c r="E1442" s="8" t="inlineStr">
        <is>
          <t>Нужна проверка</t>
        </is>
      </c>
      <c r="F1442" s="8" t="inlineStr">
        <is>
          <t>C</t>
        </is>
      </c>
      <c r="G1442" s="14" t="n">
        <v>26544</v>
      </c>
      <c r="H1442" s="14" t="n">
        <v>-25280</v>
      </c>
      <c r="I1442" s="14" t="n"/>
      <c r="J1442" s="14" t="n">
        <v>1264</v>
      </c>
      <c r="K1442" s="21" t="n">
        <v>46087.65003472222</v>
      </c>
      <c r="L1442" s="21" t="n">
        <v>46087</v>
      </c>
      <c r="M1442" s="8" t="inlineStr"/>
      <c r="N1442" s="8" t="inlineStr">
        <is>
          <t>Бухгалтер + менеджер субагента</t>
        </is>
      </c>
      <c r="O1442" s="8" t="inlineStr"/>
      <c r="P1442" s="12" t="inlineStr">
        <is>
          <t>Нет записи реестра (билет выписан субагентом сам) — определить виновного по данным нельзя</t>
        </is>
      </c>
      <c r="Q1442" s="8" t="inlineStr">
        <is>
          <t>57128760</t>
        </is>
      </c>
    </row>
    <row r="1443">
      <c r="A1443" s="8" t="inlineStr">
        <is>
          <t>G15246</t>
        </is>
      </c>
      <c r="B1443" s="8" t="inlineStr">
        <is>
          <t>Ыйык Тур</t>
        </is>
      </c>
      <c r="C1443" s="8" t="inlineStr">
        <is>
          <t>2559101614</t>
        </is>
      </c>
      <c r="D1443" s="8" t="inlineStr">
        <is>
          <t>Сумма не сходится</t>
        </is>
      </c>
      <c r="E1443" s="8" t="inlineStr">
        <is>
          <t>Нужна проверка</t>
        </is>
      </c>
      <c r="F1443" s="8" t="inlineStr">
        <is>
          <t>C</t>
        </is>
      </c>
      <c r="G1443" s="14" t="n">
        <v>7002.73</v>
      </c>
      <c r="H1443" s="14" t="n">
        <v>-5835.610000000001</v>
      </c>
      <c r="I1443" s="14" t="n"/>
      <c r="J1443" s="14" t="n">
        <v>1167.119999999999</v>
      </c>
      <c r="K1443" s="21" t="n">
        <v>46179.76649305555</v>
      </c>
      <c r="L1443" s="21" t="n">
        <v>46179</v>
      </c>
      <c r="M1443" s="8" t="inlineStr"/>
      <c r="N1443" s="8" t="inlineStr">
        <is>
          <t>Бухгалтер + менеджер субагента</t>
        </is>
      </c>
      <c r="O1443" s="8" t="inlineStr"/>
      <c r="P1443" s="12" t="inlineStr">
        <is>
          <t>Нет записи реестра (билет выписан субагентом сам) — определить виновного по данным нельзя</t>
        </is>
      </c>
      <c r="Q1443" s="8" t="inlineStr">
        <is>
          <t>57346809,57371826</t>
        </is>
      </c>
    </row>
    <row r="1444">
      <c r="A1444" s="8" t="inlineStr">
        <is>
          <t>G07378</t>
        </is>
      </c>
      <c r="B1444" s="8" t="inlineStr">
        <is>
          <t>Жибек Эйр</t>
        </is>
      </c>
      <c r="C1444" s="8" t="inlineStr">
        <is>
          <t>2552667325</t>
        </is>
      </c>
      <c r="D1444" s="8" t="inlineStr">
        <is>
          <t>Сумма не сходится</t>
        </is>
      </c>
      <c r="E1444" s="8" t="inlineStr">
        <is>
          <t>Нужна проверка</t>
        </is>
      </c>
      <c r="F1444" s="8" t="inlineStr">
        <is>
          <t>C</t>
        </is>
      </c>
      <c r="G1444" s="14" t="n">
        <v>24092.87</v>
      </c>
      <c r="H1444" s="14" t="n">
        <v>-22945.59</v>
      </c>
      <c r="I1444" s="14" t="n"/>
      <c r="J1444" s="14" t="n">
        <v>1147.279999999999</v>
      </c>
      <c r="K1444" s="21" t="n">
        <v>46043.67395833333</v>
      </c>
      <c r="L1444" s="21" t="n">
        <v>46043</v>
      </c>
      <c r="M1444" s="8" t="inlineStr"/>
      <c r="N1444" s="8" t="inlineStr">
        <is>
          <t>Бухгалтер + менеджер субагента</t>
        </is>
      </c>
      <c r="O1444" s="8" t="inlineStr"/>
      <c r="P1444" s="12" t="inlineStr">
        <is>
          <t>Нет записи реестра (билет выписан субагентом сам) — определить виновного по данным нельзя</t>
        </is>
      </c>
      <c r="Q1444" s="8" t="inlineStr">
        <is>
          <t>57042203</t>
        </is>
      </c>
    </row>
    <row r="1445">
      <c r="A1445" s="8" t="inlineStr">
        <is>
          <t>G08812</t>
        </is>
      </c>
      <c r="B1445" s="8" t="inlineStr">
        <is>
          <t>ИП Элдиярова А. Ч.</t>
        </is>
      </c>
      <c r="C1445" s="8" t="inlineStr">
        <is>
          <t>2459527853</t>
        </is>
      </c>
      <c r="D1445" s="8" t="inlineStr">
        <is>
          <t>Сумма не сходится</t>
        </is>
      </c>
      <c r="E1445" s="8" t="inlineStr">
        <is>
          <t>Нужна проверка</t>
        </is>
      </c>
      <c r="F1445" s="8" t="inlineStr">
        <is>
          <t>C</t>
        </is>
      </c>
      <c r="G1445" s="14" t="n">
        <v>12197.9</v>
      </c>
      <c r="H1445" s="14" t="n">
        <v>-11089</v>
      </c>
      <c r="I1445" s="14" t="n"/>
      <c r="J1445" s="14" t="n">
        <v>1108.9</v>
      </c>
      <c r="K1445" s="21" t="n">
        <v>46199.62700231482</v>
      </c>
      <c r="L1445" s="21" t="n">
        <v>46199</v>
      </c>
      <c r="M1445" s="8" t="inlineStr"/>
      <c r="N1445" s="8" t="inlineStr">
        <is>
          <t>Бухгалтер + менеджер субагента</t>
        </is>
      </c>
      <c r="O1445" s="8" t="inlineStr"/>
      <c r="P1445" s="12" t="inlineStr">
        <is>
          <t>Нет записи реестра (билет выписан субагентом сам) — определить виновного по данным нельзя</t>
        </is>
      </c>
      <c r="Q1445" s="8" t="inlineStr">
        <is>
          <t>57402179</t>
        </is>
      </c>
    </row>
    <row r="1446">
      <c r="A1446" s="8" t="inlineStr">
        <is>
          <t>G14371</t>
        </is>
      </c>
      <c r="B1446" s="8" t="inlineStr">
        <is>
          <t>ЧОЛПОН ЭЙР</t>
        </is>
      </c>
      <c r="C1446" s="8" t="inlineStr">
        <is>
          <t>2420845726</t>
        </is>
      </c>
      <c r="D1446" s="8" t="inlineStr">
        <is>
          <t>Сумма не сходится</t>
        </is>
      </c>
      <c r="E1446" s="8" t="inlineStr">
        <is>
          <t>Нужна проверка</t>
        </is>
      </c>
      <c r="F1446" s="8" t="inlineStr">
        <is>
          <t>C</t>
        </is>
      </c>
      <c r="G1446" s="14" t="n">
        <v>1000</v>
      </c>
      <c r="H1446" s="14" t="n">
        <v>0</v>
      </c>
      <c r="I1446" s="14" t="n"/>
      <c r="J1446" s="14" t="n">
        <v>1000</v>
      </c>
      <c r="K1446" s="21" t="n">
        <v>46187.51474537037</v>
      </c>
      <c r="L1446" s="21" t="n">
        <v>46187</v>
      </c>
      <c r="M1446" s="8" t="inlineStr"/>
      <c r="N1446" s="8" t="inlineStr">
        <is>
          <t>Бухгалтер + менеджер субагента</t>
        </is>
      </c>
      <c r="O1446" s="8" t="inlineStr"/>
      <c r="P1446" s="12" t="inlineStr">
        <is>
          <t>Нет записи реестра (билет выписан субагентом сам) — определить виновного по данным нельзя</t>
        </is>
      </c>
      <c r="Q1446" s="8" t="inlineStr">
        <is>
          <t>57367228,57462955</t>
        </is>
      </c>
    </row>
    <row r="1447">
      <c r="A1447" s="8" t="inlineStr">
        <is>
          <t>G13491</t>
        </is>
      </c>
      <c r="B1447" s="8" t="inlineStr">
        <is>
          <t>Сатарова Жылдыз Жумабековна</t>
        </is>
      </c>
      <c r="C1447" s="8" t="inlineStr">
        <is>
          <t>2461883372</t>
        </is>
      </c>
      <c r="D1447" s="8" t="inlineStr">
        <is>
          <t>Сумма не сходится</t>
        </is>
      </c>
      <c r="E1447" s="8" t="inlineStr">
        <is>
          <t>Нужна проверка</t>
        </is>
      </c>
      <c r="F1447" s="8" t="inlineStr">
        <is>
          <t>C</t>
        </is>
      </c>
      <c r="G1447" s="14" t="n">
        <v>8890.200000000001</v>
      </c>
      <c r="H1447" s="14" t="n">
        <v>-9878</v>
      </c>
      <c r="I1447" s="14" t="n"/>
      <c r="J1447" s="14" t="n">
        <v>-987.7999999999993</v>
      </c>
      <c r="K1447" s="21" t="n">
        <v>46148.49068287037</v>
      </c>
      <c r="L1447" s="21" t="n">
        <v>46148</v>
      </c>
      <c r="M1447" s="8" t="inlineStr"/>
      <c r="N1447" s="8" t="inlineStr">
        <is>
          <t>Бухгалтер + менеджер субагента</t>
        </is>
      </c>
      <c r="O1447" s="8" t="inlineStr"/>
      <c r="P1447" s="12" t="inlineStr">
        <is>
          <t>Нет записи реестра (билет выписан субагентом сам) — определить виновного по данным нельзя</t>
        </is>
      </c>
      <c r="Q1447" s="8" t="inlineStr">
        <is>
          <t>57258168</t>
        </is>
      </c>
    </row>
    <row r="1448">
      <c r="A1448" s="8" t="inlineStr">
        <is>
          <t>G01900</t>
        </is>
      </c>
      <c r="B1448" s="8" t="inlineStr">
        <is>
          <t>Karakol Express</t>
        </is>
      </c>
      <c r="C1448" s="8" t="inlineStr">
        <is>
          <t>2559099985|2559099987|2559099988</t>
        </is>
      </c>
      <c r="D1448" s="8" t="inlineStr">
        <is>
          <t>Сумма не сходится</t>
        </is>
      </c>
      <c r="E1448" s="8" t="inlineStr">
        <is>
          <t>Нужна проверка</t>
        </is>
      </c>
      <c r="F1448" s="8" t="inlineStr">
        <is>
          <t>C</t>
        </is>
      </c>
      <c r="G1448" s="14" t="n">
        <v>186889.32</v>
      </c>
      <c r="H1448" s="14" t="n">
        <v>-185953.44</v>
      </c>
      <c r="I1448" s="14" t="n"/>
      <c r="J1448" s="14" t="n">
        <v>935.8800000000047</v>
      </c>
      <c r="K1448" s="21" t="n">
        <v>46112.69540509259</v>
      </c>
      <c r="L1448" s="21" t="n">
        <v>46111</v>
      </c>
      <c r="M1448" s="8" t="inlineStr"/>
      <c r="N1448" s="8" t="inlineStr">
        <is>
          <t>Бухгалтер + менеджер субагента</t>
        </is>
      </c>
      <c r="O1448" s="8" t="inlineStr"/>
      <c r="P1448" s="12" t="inlineStr">
        <is>
          <t>Нет записи реестра (билет выписан субагентом сам) — определить виновного по данным нельзя</t>
        </is>
      </c>
      <c r="Q1448" s="8" t="inlineStr">
        <is>
          <t>57180317,57180255,57180281</t>
        </is>
      </c>
    </row>
    <row r="1449">
      <c r="A1449" s="8" t="inlineStr">
        <is>
          <t>G14313</t>
        </is>
      </c>
      <c r="B1449" s="8" t="inlineStr">
        <is>
          <t>ЧОЛПОН ТУР</t>
        </is>
      </c>
      <c r="C1449" s="8" t="inlineStr">
        <is>
          <t>2461886768</t>
        </is>
      </c>
      <c r="D1449" s="8" t="inlineStr">
        <is>
          <t>Сумма не сходится</t>
        </is>
      </c>
      <c r="E1449" s="8" t="inlineStr">
        <is>
          <t>Нужна проверка</t>
        </is>
      </c>
      <c r="F1449" s="8" t="inlineStr">
        <is>
          <t>C</t>
        </is>
      </c>
      <c r="G1449" s="14" t="n">
        <v>16690.8</v>
      </c>
      <c r="H1449" s="14" t="n">
        <v>-15896</v>
      </c>
      <c r="I1449" s="14" t="n"/>
      <c r="J1449" s="14" t="n">
        <v>794.7999999999993</v>
      </c>
      <c r="K1449" s="21" t="n">
        <v>46074.48829861111</v>
      </c>
      <c r="L1449" s="21" t="n">
        <v>46074</v>
      </c>
      <c r="M1449" s="8" t="inlineStr"/>
      <c r="N1449" s="8" t="inlineStr">
        <is>
          <t>Бухгалтер + менеджер субагента</t>
        </is>
      </c>
      <c r="O1449" s="8" t="inlineStr"/>
      <c r="P1449" s="12" t="inlineStr">
        <is>
          <t>Нет записи реестра (билет выписан субагентом сам) — определить виновного по данным нельзя</t>
        </is>
      </c>
      <c r="Q1449" s="8" t="inlineStr">
        <is>
          <t>57102522</t>
        </is>
      </c>
    </row>
    <row r="1450">
      <c r="A1450" s="8" t="inlineStr">
        <is>
          <t>G10747</t>
        </is>
      </c>
      <c r="B1450" s="8" t="inlineStr">
        <is>
          <t>Небо Авиа</t>
        </is>
      </c>
      <c r="C1450" s="8" t="inlineStr">
        <is>
          <t>2460735469</t>
        </is>
      </c>
      <c r="D1450" s="8" t="inlineStr">
        <is>
          <t>Сумма не сходится</t>
        </is>
      </c>
      <c r="E1450" s="8" t="inlineStr">
        <is>
          <t>Нужна проверка</t>
        </is>
      </c>
      <c r="F1450" s="8" t="inlineStr">
        <is>
          <t>C</t>
        </is>
      </c>
      <c r="G1450" s="14" t="n">
        <v>12545.7</v>
      </c>
      <c r="H1450" s="14" t="n">
        <v>-13206</v>
      </c>
      <c r="I1450" s="14" t="n"/>
      <c r="J1450" s="14" t="n">
        <v>-660.2999999999993</v>
      </c>
      <c r="K1450" s="21" t="n">
        <v>46128.73444444445</v>
      </c>
      <c r="L1450" s="21" t="n">
        <v>46128</v>
      </c>
      <c r="M1450" s="8" t="inlineStr"/>
      <c r="N1450" s="8" t="inlineStr">
        <is>
          <t>Бухгалтер + менеджер субагента</t>
        </is>
      </c>
      <c r="O1450" s="8" t="inlineStr"/>
      <c r="P1450" s="12" t="inlineStr">
        <is>
          <t>Нет записи реестра (билет выписан субагентом сам) — определить виновного по данным нельзя</t>
        </is>
      </c>
      <c r="Q1450" s="8" t="inlineStr">
        <is>
          <t>57210634</t>
        </is>
      </c>
    </row>
    <row r="1451">
      <c r="A1451" s="8" t="inlineStr">
        <is>
          <t>G02814</t>
        </is>
      </c>
      <c r="B1451" s="8" t="inlineStr">
        <is>
          <t>SkyWay Travel</t>
        </is>
      </c>
      <c r="C1451" s="8" t="inlineStr">
        <is>
          <t>2460733594</t>
        </is>
      </c>
      <c r="D1451" s="8" t="inlineStr">
        <is>
          <t>Сумма не сходится</t>
        </is>
      </c>
      <c r="E1451" s="8" t="inlineStr">
        <is>
          <t>Нужна проверка</t>
        </is>
      </c>
      <c r="F1451" s="8" t="inlineStr">
        <is>
          <t>C</t>
        </is>
      </c>
      <c r="G1451" s="14" t="n">
        <v>658.1000000000004</v>
      </c>
      <c r="H1451" s="14" t="n">
        <v>-1316.200000000001</v>
      </c>
      <c r="I1451" s="14" t="n"/>
      <c r="J1451" s="14" t="n">
        <v>-658.1000000000004</v>
      </c>
      <c r="K1451" s="21" t="n">
        <v>46058.76157407407</v>
      </c>
      <c r="L1451" s="21" t="n">
        <v>46058</v>
      </c>
      <c r="M1451" s="8" t="inlineStr"/>
      <c r="N1451" s="8" t="inlineStr">
        <is>
          <t>Бухгалтер + менеджер субагента</t>
        </is>
      </c>
      <c r="O1451" s="8" t="inlineStr"/>
      <c r="P1451" s="12" t="inlineStr">
        <is>
          <t>Нет записи реестра (билет выписан субагентом сам) — определить виновного по данным нельзя</t>
        </is>
      </c>
      <c r="Q1451" s="8" t="inlineStr">
        <is>
          <t>57074114,57189415</t>
        </is>
      </c>
    </row>
    <row r="1452">
      <c r="A1452" s="8" t="inlineStr">
        <is>
          <t>G03780</t>
        </is>
      </c>
      <c r="B1452" s="8" t="inlineStr">
        <is>
          <t>SkyWay Travel</t>
        </is>
      </c>
      <c r="C1452" s="8" t="inlineStr">
        <is>
          <t>2559103677|2559103680|2559103681|2559103684</t>
        </is>
      </c>
      <c r="D1452" s="8" t="inlineStr">
        <is>
          <t>Сумма не сходится</t>
        </is>
      </c>
      <c r="E1452" s="8" t="inlineStr">
        <is>
          <t>Нужна проверка</t>
        </is>
      </c>
      <c r="F1452" s="8" t="inlineStr">
        <is>
          <t>C</t>
        </is>
      </c>
      <c r="G1452" s="14" t="n">
        <v>181204.92</v>
      </c>
      <c r="H1452" s="14" t="n">
        <v>-180569.4</v>
      </c>
      <c r="I1452" s="14" t="n">
        <v>181204.92</v>
      </c>
      <c r="J1452" s="14" t="n">
        <v>635.5200000000186</v>
      </c>
      <c r="K1452" s="21" t="n">
        <v>46157.34288194445</v>
      </c>
      <c r="L1452" s="21" t="n">
        <v>46155</v>
      </c>
      <c r="M1452" s="8" t="inlineStr"/>
      <c r="N1452" s="8" t="inlineStr">
        <is>
          <t>Бухгалтер + менеджер субагента</t>
        </is>
      </c>
      <c r="O1452" s="8" t="inlineStr">
        <is>
          <t>e.satarov</t>
        </is>
      </c>
      <c r="P1452" s="12" t="inlineStr">
        <is>
          <t>Реестр не подтверждает ни 1С, ни ETM (либо состав группы неоднозначен) — нужна проверка</t>
        </is>
      </c>
      <c r="Q1452" s="8" t="inlineStr">
        <is>
          <t>57281639,57281602,57281638,57281669</t>
        </is>
      </c>
    </row>
    <row r="1453">
      <c r="A1453" s="8" t="inlineStr">
        <is>
          <t>G14061</t>
        </is>
      </c>
      <c r="B1453" s="8" t="inlineStr">
        <is>
          <t>Урматов Эрлан Сагынович</t>
        </is>
      </c>
      <c r="C1453" s="8" t="inlineStr">
        <is>
          <t>2416944729|2416944730|2416944732</t>
        </is>
      </c>
      <c r="D1453" s="8" t="inlineStr">
        <is>
          <t>Сумма не сходится</t>
        </is>
      </c>
      <c r="E1453" s="8" t="inlineStr">
        <is>
          <t>Нужна проверка</t>
        </is>
      </c>
      <c r="F1453" s="8" t="inlineStr">
        <is>
          <t>C</t>
        </is>
      </c>
      <c r="G1453" s="14" t="n">
        <v>87837.24000000001</v>
      </c>
      <c r="H1453" s="14" t="n">
        <v>-88471.35000000001</v>
      </c>
      <c r="I1453" s="14" t="n"/>
      <c r="J1453" s="14" t="n">
        <v>-634.1100000000006</v>
      </c>
      <c r="K1453" s="21" t="n">
        <v>46056.40680555555</v>
      </c>
      <c r="L1453" s="21" t="n">
        <v>46054</v>
      </c>
      <c r="M1453" s="8" t="inlineStr"/>
      <c r="N1453" s="8" t="inlineStr">
        <is>
          <t>Бухгалтер + менеджер субагента</t>
        </is>
      </c>
      <c r="O1453" s="8" t="inlineStr"/>
      <c r="P1453" s="12" t="inlineStr">
        <is>
          <t>Нет записи реестра (билет выписан субагентом сам) — определить виновного по данным нельзя</t>
        </is>
      </c>
      <c r="Q1453" s="8" t="inlineStr">
        <is>
          <t>57067483,57067522,57067544</t>
        </is>
      </c>
    </row>
    <row r="1454">
      <c r="A1454" s="8" t="inlineStr">
        <is>
          <t>G14000</t>
        </is>
      </c>
      <c r="B1454" s="8" t="inlineStr">
        <is>
          <t>Тянь-Шань Тур</t>
        </is>
      </c>
      <c r="C1454" s="8" t="inlineStr">
        <is>
          <t>2459531348</t>
        </is>
      </c>
      <c r="D1454" s="8" t="inlineStr">
        <is>
          <t>Сумма не сходится</t>
        </is>
      </c>
      <c r="E1454" s="8" t="inlineStr">
        <is>
          <t>Нужна проверка</t>
        </is>
      </c>
      <c r="F1454" s="8" t="inlineStr">
        <is>
          <t>C</t>
        </is>
      </c>
      <c r="G1454" s="14" t="n">
        <v>1891.799999999999</v>
      </c>
      <c r="H1454" s="14" t="n">
        <v>-2521.799999999999</v>
      </c>
      <c r="I1454" s="14" t="n"/>
      <c r="J1454" s="14" t="n">
        <v>-630</v>
      </c>
      <c r="K1454" s="21" t="n">
        <v>46066.67665509259</v>
      </c>
      <c r="L1454" s="21" t="n">
        <v>46066</v>
      </c>
      <c r="M1454" s="8" t="inlineStr"/>
      <c r="N1454" s="8" t="inlineStr">
        <is>
          <t>Бухгалтер + менеджер субагента</t>
        </is>
      </c>
      <c r="O1454" s="8" t="inlineStr"/>
      <c r="P1454" s="12" t="inlineStr">
        <is>
          <t>Нет записи реестра (билет выписан субагентом сам) — определить виновного по данным нельзя</t>
        </is>
      </c>
      <c r="Q1454" s="8" t="inlineStr">
        <is>
          <t>57089410,57150363</t>
        </is>
      </c>
    </row>
    <row r="1455">
      <c r="A1455" s="8" t="inlineStr">
        <is>
          <t>G05997</t>
        </is>
      </c>
      <c r="B1455" s="8" t="inlineStr">
        <is>
          <t>Байтур Трип</t>
        </is>
      </c>
      <c r="C1455" s="8" t="inlineStr">
        <is>
          <t>2416943547|2416943548|2416943550</t>
        </is>
      </c>
      <c r="D1455" s="8" t="inlineStr">
        <is>
          <t>Сумма не сходится</t>
        </is>
      </c>
      <c r="E1455" s="8" t="inlineStr">
        <is>
          <t>Нужна проверка</t>
        </is>
      </c>
      <c r="F1455" s="8" t="inlineStr">
        <is>
          <t>C</t>
        </is>
      </c>
      <c r="G1455" s="14" t="n">
        <v>179229.6</v>
      </c>
      <c r="H1455" s="14" t="n">
        <v>-178656.72</v>
      </c>
      <c r="I1455" s="14" t="n">
        <v>179229.6</v>
      </c>
      <c r="J1455" s="14" t="n">
        <v>572.8800000000047</v>
      </c>
      <c r="K1455" s="21" t="n">
        <v>46149.43153935186</v>
      </c>
      <c r="L1455" s="21" t="n">
        <v>46147</v>
      </c>
      <c r="M1455" s="8" t="inlineStr"/>
      <c r="N1455" s="8" t="inlineStr">
        <is>
          <t>Бухгалтер + менеджер субагента</t>
        </is>
      </c>
      <c r="O1455" s="8" t="inlineStr">
        <is>
          <t>e.satarov</t>
        </is>
      </c>
      <c r="P1455" s="12" t="inlineStr">
        <is>
          <t>Реестр не подтверждает ни 1С, ни ETM (либо состав группы неоднозначен) — нужна проверка</t>
        </is>
      </c>
      <c r="Q1455" s="8" t="inlineStr">
        <is>
          <t>57254968,57254964,57254963</t>
        </is>
      </c>
    </row>
    <row r="1456">
      <c r="A1456" s="8" t="inlineStr">
        <is>
          <t>G05607</t>
        </is>
      </c>
      <c r="B1456" s="8" t="inlineStr">
        <is>
          <t>Ак-Куу Тур</t>
        </is>
      </c>
      <c r="C1456" s="8" t="inlineStr">
        <is>
          <t>2476316706|2476316707|2476316710</t>
        </is>
      </c>
      <c r="D1456" s="8" t="inlineStr">
        <is>
          <t>Сумма не сходится</t>
        </is>
      </c>
      <c r="E1456" s="8" t="inlineStr">
        <is>
          <t>Нужна проверка</t>
        </is>
      </c>
      <c r="F1456" s="8" t="inlineStr">
        <is>
          <t>C</t>
        </is>
      </c>
      <c r="G1456" s="14" t="n">
        <v>0</v>
      </c>
      <c r="H1456" s="14" t="n">
        <v>560.070000000007</v>
      </c>
      <c r="I1456" s="14" t="n"/>
      <c r="J1456" s="14" t="n">
        <v>560.070000000007</v>
      </c>
      <c r="K1456" s="21" t="n">
        <v>46174.44078703703</v>
      </c>
      <c r="L1456" s="21" t="n">
        <v>46172</v>
      </c>
      <c r="M1456" s="8" t="inlineStr"/>
      <c r="N1456" s="8" t="inlineStr">
        <is>
          <t>Бухгалтер + менеджер субагента</t>
        </is>
      </c>
      <c r="O1456" s="8" t="inlineStr"/>
      <c r="P1456" s="12" t="inlineStr">
        <is>
          <t>Нет записи реестра (билет выписан субагентом сам) — определить виновного по данным нельзя</t>
        </is>
      </c>
      <c r="Q1456" s="8" t="inlineStr">
        <is>
          <t>57328461,57328474,57328506,57388179</t>
        </is>
      </c>
    </row>
    <row r="1457">
      <c r="A1457" s="8" t="inlineStr">
        <is>
          <t>G03735</t>
        </is>
      </c>
      <c r="B1457" s="8" t="inlineStr">
        <is>
          <t>SkyWay Travel</t>
        </is>
      </c>
      <c r="C1457" s="8" t="inlineStr">
        <is>
          <t>2559102373|2559102376|2559102379</t>
        </is>
      </c>
      <c r="D1457" s="8" t="inlineStr">
        <is>
          <t>Сумма не сходится</t>
        </is>
      </c>
      <c r="E1457" s="8" t="inlineStr">
        <is>
          <t>Нужна проверка</t>
        </is>
      </c>
      <c r="F1457" s="8" t="inlineStr">
        <is>
          <t>C</t>
        </is>
      </c>
      <c r="G1457" s="14" t="n">
        <v>79401.57000000001</v>
      </c>
      <c r="H1457" s="14" t="n">
        <v>-79935.20999999999</v>
      </c>
      <c r="I1457" s="14" t="n"/>
      <c r="J1457" s="14" t="n">
        <v>-533.6399999999849</v>
      </c>
      <c r="K1457" s="21" t="n">
        <v>46074.46378472223</v>
      </c>
      <c r="L1457" s="21" t="n">
        <v>46072</v>
      </c>
      <c r="M1457" s="8" t="inlineStr"/>
      <c r="N1457" s="8" t="inlineStr">
        <is>
          <t>Бухгалтер + менеджер субагента</t>
        </is>
      </c>
      <c r="O1457" s="8" t="inlineStr"/>
      <c r="P1457" s="12" t="inlineStr">
        <is>
          <t>Нет записи реестра (билет выписан субагентом сам) — определить виновного по данным нельзя</t>
        </is>
      </c>
      <c r="Q1457" s="8" t="inlineStr">
        <is>
          <t>57098763,57098782,57098727</t>
        </is>
      </c>
    </row>
    <row r="1458">
      <c r="A1458" s="8" t="inlineStr">
        <is>
          <t>G12596</t>
        </is>
      </c>
      <c r="B1458" s="8" t="inlineStr">
        <is>
          <t>Салам Авиакасса</t>
        </is>
      </c>
      <c r="C1458" s="8" t="inlineStr">
        <is>
          <t>2420844203|2420844206|2420844208|2420844210</t>
        </is>
      </c>
      <c r="D1458" s="8" t="inlineStr">
        <is>
          <t>Сумма не сходится</t>
        </is>
      </c>
      <c r="E1458" s="8" t="inlineStr">
        <is>
          <t>Нужна проверка</t>
        </is>
      </c>
      <c r="F1458" s="8" t="inlineStr">
        <is>
          <t>C</t>
        </is>
      </c>
      <c r="G1458" s="14" t="n">
        <v>119906</v>
      </c>
      <c r="H1458" s="14" t="n">
        <v>-120436.88</v>
      </c>
      <c r="I1458" s="14" t="n">
        <v>119906.0148</v>
      </c>
      <c r="J1458" s="14" t="n">
        <v>-530.8800000000047</v>
      </c>
      <c r="K1458" s="21" t="n">
        <v>46205.36232638889</v>
      </c>
      <c r="L1458" s="21" t="n">
        <v>46203</v>
      </c>
      <c r="M1458" s="8" t="inlineStr"/>
      <c r="N1458" s="8" t="inlineStr">
        <is>
          <t>Бухгалтер + менеджер субагента</t>
        </is>
      </c>
      <c r="O1458" s="8" t="inlineStr">
        <is>
          <t>d.mambetova</t>
        </is>
      </c>
      <c r="P1458" s="12" t="inlineStr">
        <is>
          <t>Реестр не подтверждает ни 1С, ни ETM (либо состав группы неоднозначен) — нужна проверка</t>
        </is>
      </c>
      <c r="Q1458" s="8" t="inlineStr">
        <is>
          <t>57414185,57414141,57414152,57414207</t>
        </is>
      </c>
    </row>
    <row r="1459">
      <c r="A1459" s="8" t="inlineStr">
        <is>
          <t>G09362</t>
        </is>
      </c>
      <c r="B1459" s="8" t="inlineStr">
        <is>
          <t>ИССЫК ТРИП</t>
        </is>
      </c>
      <c r="C1459" s="8" t="inlineStr">
        <is>
          <t>2559102474|2559102476|2559102477|2559102480</t>
        </is>
      </c>
      <c r="D1459" s="8" t="inlineStr">
        <is>
          <t>Сумма не сходится</t>
        </is>
      </c>
      <c r="E1459" s="8" t="inlineStr">
        <is>
          <t>Нужна проверка</t>
        </is>
      </c>
      <c r="F1459" s="8" t="inlineStr">
        <is>
          <t>C</t>
        </is>
      </c>
      <c r="G1459" s="14" t="n">
        <v>152426.4</v>
      </c>
      <c r="H1459" s="14" t="n">
        <v>-152947.2</v>
      </c>
      <c r="I1459" s="14" t="n">
        <v>152426.4</v>
      </c>
      <c r="J1459" s="14" t="n">
        <v>-520.8000000000175</v>
      </c>
      <c r="K1459" s="21" t="n">
        <v>46212.41027777778</v>
      </c>
      <c r="L1459" s="21" t="n">
        <v>46211</v>
      </c>
      <c r="M1459" s="8" t="inlineStr"/>
      <c r="N1459" s="8" t="inlineStr">
        <is>
          <t>Бухгалтер + менеджер субагента</t>
        </is>
      </c>
      <c r="O1459" s="8" t="inlineStr">
        <is>
          <t>b.isakov</t>
        </is>
      </c>
      <c r="P1459" s="12" t="inlineStr">
        <is>
          <t>Реестр не подтверждает ни 1С, ни ETM (либо состав группы неоднозначен) — нужна проверка</t>
        </is>
      </c>
      <c r="Q1459" s="8" t="inlineStr">
        <is>
          <t>57441042,57441003,57441033,57441006</t>
        </is>
      </c>
    </row>
    <row r="1460">
      <c r="A1460" s="8" t="inlineStr">
        <is>
          <t>G10972</t>
        </is>
      </c>
      <c r="B1460" s="8" t="inlineStr">
        <is>
          <t>ОсОО Ала-Арча Авиа</t>
        </is>
      </c>
      <c r="C1460" s="8" t="inlineStr">
        <is>
          <t>2552670903</t>
        </is>
      </c>
      <c r="D1460" s="8" t="inlineStr">
        <is>
          <t>Сумма не сходится</t>
        </is>
      </c>
      <c r="E1460" s="8" t="inlineStr">
        <is>
          <t>Нужна проверка</t>
        </is>
      </c>
      <c r="F1460" s="8" t="inlineStr">
        <is>
          <t>C</t>
        </is>
      </c>
      <c r="G1460" s="14" t="n">
        <v>59931.84</v>
      </c>
      <c r="H1460" s="14" t="n">
        <v>-59423.26</v>
      </c>
      <c r="I1460" s="14" t="n"/>
      <c r="J1460" s="14" t="n">
        <v>508.5799999999945</v>
      </c>
      <c r="K1460" s="21" t="n">
        <v>46049.78725694444</v>
      </c>
      <c r="L1460" s="21" t="n">
        <v>46048</v>
      </c>
      <c r="M1460" s="8" t="inlineStr"/>
      <c r="N1460" s="8" t="inlineStr">
        <is>
          <t>Бухгалтер + менеджер субагента</t>
        </is>
      </c>
      <c r="O1460" s="8" t="inlineStr"/>
      <c r="P1460" s="12" t="inlineStr">
        <is>
          <t>Нет записи реестра (билет выписан субагентом сам) — определить виновного по данным нельзя</t>
        </is>
      </c>
      <c r="Q1460" s="8" t="inlineStr">
        <is>
          <t>57054489</t>
        </is>
      </c>
    </row>
    <row r="1461">
      <c r="A1461" s="8" t="inlineStr">
        <is>
          <t>G10970</t>
        </is>
      </c>
      <c r="B1461" s="8" t="inlineStr">
        <is>
          <t>ОсОО Ала-Арча Авиа</t>
        </is>
      </c>
      <c r="C1461" s="8" t="inlineStr">
        <is>
          <t>2552669816|2552669818</t>
        </is>
      </c>
      <c r="D1461" s="8" t="inlineStr">
        <is>
          <t>Сумма не сходится</t>
        </is>
      </c>
      <c r="E1461" s="8" t="inlineStr">
        <is>
          <t>Нужна проверка</t>
        </is>
      </c>
      <c r="F1461" s="8" t="inlineStr">
        <is>
          <t>C</t>
        </is>
      </c>
      <c r="G1461" s="14" t="n">
        <v>118169.32</v>
      </c>
      <c r="H1461" s="14" t="n">
        <v>-117688.64</v>
      </c>
      <c r="I1461" s="14" t="n"/>
      <c r="J1461" s="14" t="n">
        <v>480.6800000000076</v>
      </c>
      <c r="K1461" s="21" t="n">
        <v>46082.66829861111</v>
      </c>
      <c r="L1461" s="21" t="n">
        <v>46080</v>
      </c>
      <c r="M1461" s="8" t="inlineStr"/>
      <c r="N1461" s="8" t="inlineStr">
        <is>
          <t>Бухгалтер + менеджер субагента</t>
        </is>
      </c>
      <c r="O1461" s="8" t="inlineStr"/>
      <c r="P1461" s="12" t="inlineStr">
        <is>
          <t>Нет записи реестра (билет выписан субагентом сам) — определить виновного по данным нельзя</t>
        </is>
      </c>
      <c r="Q1461" s="8" t="inlineStr">
        <is>
          <t>57112514</t>
        </is>
      </c>
    </row>
    <row r="1462">
      <c r="A1462" s="8" t="inlineStr">
        <is>
          <t>G09338</t>
        </is>
      </c>
      <c r="B1462" s="8" t="inlineStr">
        <is>
          <t>ИССЫК ТРИП</t>
        </is>
      </c>
      <c r="C1462" s="8" t="inlineStr">
        <is>
          <t>2559100501|2559100504</t>
        </is>
      </c>
      <c r="D1462" s="8" t="inlineStr">
        <is>
          <t>Сумма не сходится</t>
        </is>
      </c>
      <c r="E1462" s="8" t="inlineStr">
        <is>
          <t>Нужна проверка</t>
        </is>
      </c>
      <c r="F1462" s="8" t="inlineStr">
        <is>
          <t>C</t>
        </is>
      </c>
      <c r="G1462" s="14" t="n">
        <v>120881.28</v>
      </c>
      <c r="H1462" s="14" t="n">
        <v>-121340.64</v>
      </c>
      <c r="I1462" s="14" t="n">
        <v>120881.28</v>
      </c>
      <c r="J1462" s="14" t="n">
        <v>-459.3600000000006</v>
      </c>
      <c r="K1462" s="21" t="n">
        <v>46086.68864583333</v>
      </c>
      <c r="L1462" s="21" t="n">
        <v>46084</v>
      </c>
      <c r="M1462" s="8" t="inlineStr"/>
      <c r="N1462" s="8" t="inlineStr">
        <is>
          <t>Бухгалтер + менеджер субагента</t>
        </is>
      </c>
      <c r="O1462" s="8" t="inlineStr">
        <is>
          <t>k.dzhumaev</t>
        </is>
      </c>
      <c r="P1462" s="12" t="inlineStr">
        <is>
          <t>Реестр не подтверждает ни 1С, ни ETM (либо состав группы неоднозначен) — нужна проверка</t>
        </is>
      </c>
      <c r="Q1462" s="8" t="inlineStr">
        <is>
          <t>57120409,57120433</t>
        </is>
      </c>
    </row>
    <row r="1463">
      <c r="A1463" s="8" t="inlineStr">
        <is>
          <t>G07450</t>
        </is>
      </c>
      <c r="B1463" s="8" t="inlineStr">
        <is>
          <t>Жолчу кызы А.</t>
        </is>
      </c>
      <c r="C1463" s="8" t="inlineStr">
        <is>
          <t>2416940890|2416940893|2416940894|2416940895</t>
        </is>
      </c>
      <c r="D1463" s="8" t="inlineStr">
        <is>
          <t>Сумма не сходится</t>
        </is>
      </c>
      <c r="E1463" s="8" t="inlineStr">
        <is>
          <t>Нужна проверка</t>
        </is>
      </c>
      <c r="F1463" s="8" t="inlineStr">
        <is>
          <t>C</t>
        </is>
      </c>
      <c r="G1463" s="14" t="n">
        <v>123955.72</v>
      </c>
      <c r="H1463" s="14" t="n">
        <v>-123514.92</v>
      </c>
      <c r="I1463" s="14" t="n">
        <v>123955.74</v>
      </c>
      <c r="J1463" s="14" t="n">
        <v>440.8000000000029</v>
      </c>
      <c r="K1463" s="21" t="n">
        <v>46087.42138888889</v>
      </c>
      <c r="L1463" s="21" t="n">
        <v>46086</v>
      </c>
      <c r="M1463" s="8" t="inlineStr"/>
      <c r="N1463" s="8" t="inlineStr">
        <is>
          <t>Бухгалтер + менеджер субагента</t>
        </is>
      </c>
      <c r="O1463" s="8" t="inlineStr">
        <is>
          <t>k.dzhumaev</t>
        </is>
      </c>
      <c r="P1463" s="12" t="inlineStr">
        <is>
          <t>Реестр не подтверждает ни 1С, ни ETM (либо состав группы неоднозначен) — нужна проверка</t>
        </is>
      </c>
      <c r="Q1463" s="8" t="inlineStr">
        <is>
          <t>57124430</t>
        </is>
      </c>
    </row>
    <row r="1464">
      <c r="A1464" s="8" t="inlineStr">
        <is>
          <t>G04559</t>
        </is>
      </c>
      <c r="B1464" s="8" t="inlineStr">
        <is>
          <t>Абдылдаов Д. М.</t>
        </is>
      </c>
      <c r="C1464" s="8" t="inlineStr">
        <is>
          <t>2420844035|2420844037|2420844038</t>
        </is>
      </c>
      <c r="D1464" s="8" t="inlineStr">
        <is>
          <t>Сумма не сходится</t>
        </is>
      </c>
      <c r="E1464" s="8" t="inlineStr">
        <is>
          <t>Нужна проверка</t>
        </is>
      </c>
      <c r="F1464" s="8" t="inlineStr">
        <is>
          <t>C</t>
        </is>
      </c>
      <c r="G1464" s="14" t="n">
        <v>88418.10000000001</v>
      </c>
      <c r="H1464" s="14" t="n">
        <v>-88856.91</v>
      </c>
      <c r="I1464" s="14" t="n">
        <v>88418.09699999999</v>
      </c>
      <c r="J1464" s="14" t="n">
        <v>-438.8099999999977</v>
      </c>
      <c r="K1464" s="21" t="n">
        <v>46191.34630787037</v>
      </c>
      <c r="L1464" s="21" t="n">
        <v>46190</v>
      </c>
      <c r="M1464" s="8" t="inlineStr"/>
      <c r="N1464" s="8" t="inlineStr">
        <is>
          <t>Бухгалтер + менеджер субагента</t>
        </is>
      </c>
      <c r="O1464" s="8" t="inlineStr">
        <is>
          <t>r.sydykov</t>
        </is>
      </c>
      <c r="P1464" s="12" t="inlineStr">
        <is>
          <t>Реестр не подтверждает ни 1С, ни ETM (либо состав группы неоднозначен) — нужна проверка</t>
        </is>
      </c>
      <c r="Q1464" s="8" t="inlineStr">
        <is>
          <t>57375614,57375591,57375575</t>
        </is>
      </c>
    </row>
    <row r="1465">
      <c r="A1465" s="8" t="inlineStr">
        <is>
          <t>G06375</t>
        </is>
      </c>
      <c r="B1465" s="8" t="inlineStr">
        <is>
          <t>Джолдош уулу Руслан</t>
        </is>
      </c>
      <c r="C1465" s="8" t="inlineStr">
        <is>
          <t>2559102045|2559102046|2559102048</t>
        </is>
      </c>
      <c r="D1465" s="8" t="inlineStr">
        <is>
          <t>Сумма не сходится</t>
        </is>
      </c>
      <c r="E1465" s="8" t="inlineStr">
        <is>
          <t>Нужна проверка</t>
        </is>
      </c>
      <c r="F1465" s="8" t="inlineStr">
        <is>
          <t>C</t>
        </is>
      </c>
      <c r="G1465" s="14" t="n">
        <v>102042.09</v>
      </c>
      <c r="H1465" s="14" t="n">
        <v>-102473.34</v>
      </c>
      <c r="I1465" s="14" t="n">
        <v>102042.09</v>
      </c>
      <c r="J1465" s="14" t="n">
        <v>-431.25</v>
      </c>
      <c r="K1465" s="21" t="n">
        <v>46089.50780092592</v>
      </c>
      <c r="L1465" s="21" t="n">
        <v>46088</v>
      </c>
      <c r="M1465" s="8" t="inlineStr"/>
      <c r="N1465" s="8" t="inlineStr">
        <is>
          <t>Бухгалтер + менеджер субагента</t>
        </is>
      </c>
      <c r="O1465" s="8" t="inlineStr">
        <is>
          <t>e.satarov</t>
        </is>
      </c>
      <c r="P1465" s="12" t="inlineStr">
        <is>
          <t>Реестр не подтверждает ни 1С, ни ETM (либо состав группы неоднозначен) — нужна проверка</t>
        </is>
      </c>
      <c r="Q1465" s="8" t="inlineStr">
        <is>
          <t>57130346,57130352,57130336</t>
        </is>
      </c>
    </row>
    <row r="1466">
      <c r="A1466" s="8" t="inlineStr">
        <is>
          <t>G06161</t>
        </is>
      </c>
      <c r="B1466" s="8" t="inlineStr">
        <is>
          <t>Бейшенова Н. Ч.</t>
        </is>
      </c>
      <c r="C1466" s="8" t="inlineStr">
        <is>
          <t>2416944769</t>
        </is>
      </c>
      <c r="D1466" s="8" t="inlineStr">
        <is>
          <t>Сумма не сходится</t>
        </is>
      </c>
      <c r="E1466" s="8" t="inlineStr">
        <is>
          <t>Нужна проверка</t>
        </is>
      </c>
      <c r="F1466" s="8" t="inlineStr">
        <is>
          <t>C</t>
        </is>
      </c>
      <c r="G1466" s="14" t="n">
        <v>37340.07</v>
      </c>
      <c r="H1466" s="14" t="n">
        <v>-37753.78</v>
      </c>
      <c r="I1466" s="14" t="n"/>
      <c r="J1466" s="14" t="n">
        <v>-413.7099999999991</v>
      </c>
      <c r="K1466" s="21" t="n">
        <v>46183.62155092593</v>
      </c>
      <c r="L1466" s="21" t="n">
        <v>46181</v>
      </c>
      <c r="M1466" s="8" t="inlineStr"/>
      <c r="N1466" s="8" t="inlineStr">
        <is>
          <t>Бухгалтер + менеджер субагента</t>
        </is>
      </c>
      <c r="O1466" s="8" t="inlineStr"/>
      <c r="P1466" s="12" t="inlineStr">
        <is>
          <t>Нет записи реестра (билет выписан субагентом сам) — определить виновного по данным нельзя</t>
        </is>
      </c>
      <c r="Q1466" s="8" t="inlineStr">
        <is>
          <t>57352686</t>
        </is>
      </c>
    </row>
    <row r="1467">
      <c r="A1467" s="8" t="inlineStr">
        <is>
          <t>G07071</t>
        </is>
      </c>
      <c r="B1467" s="8" t="inlineStr">
        <is>
          <t>Жибек Вояж</t>
        </is>
      </c>
      <c r="C1467" s="8" t="inlineStr">
        <is>
          <t>2416944080|2416944081</t>
        </is>
      </c>
      <c r="D1467" s="8" t="inlineStr">
        <is>
          <t>Сумма не сходится</t>
        </is>
      </c>
      <c r="E1467" s="8" t="inlineStr">
        <is>
          <t>Нужна проверка</t>
        </is>
      </c>
      <c r="F1467" s="8" t="inlineStr">
        <is>
          <t>C</t>
        </is>
      </c>
      <c r="G1467" s="14" t="n">
        <v>91312</v>
      </c>
      <c r="H1467" s="14" t="n">
        <v>-90916.8</v>
      </c>
      <c r="I1467" s="14" t="n">
        <v>91312</v>
      </c>
      <c r="J1467" s="14" t="n">
        <v>395.1999999999971</v>
      </c>
      <c r="K1467" s="21" t="n">
        <v>46036.4046875</v>
      </c>
      <c r="L1467" s="21" t="n">
        <v>46035</v>
      </c>
      <c r="M1467" s="8" t="inlineStr"/>
      <c r="N1467" s="8" t="inlineStr">
        <is>
          <t>Бухгалтер + менеджер субагента</t>
        </is>
      </c>
      <c r="O1467" s="8" t="inlineStr">
        <is>
          <t>g.omurbekova</t>
        </is>
      </c>
      <c r="P1467" s="12" t="inlineStr">
        <is>
          <t>Реестр не подтверждает ни 1С, ни ETM (либо состав группы неоднозначен) — нужна проверка</t>
        </is>
      </c>
      <c r="Q1467" s="8" t="inlineStr">
        <is>
          <t>57025027,57025003</t>
        </is>
      </c>
    </row>
    <row r="1468">
      <c r="A1468" s="8" t="inlineStr">
        <is>
          <t>G07909</t>
        </is>
      </c>
      <c r="B1468" s="8" t="inlineStr">
        <is>
          <t>ИП Бейшенова Д. О.</t>
        </is>
      </c>
      <c r="C1468" s="8" t="inlineStr">
        <is>
          <t>2416945265|2416945267</t>
        </is>
      </c>
      <c r="D1468" s="8" t="inlineStr">
        <is>
          <t>Сумма не сходится</t>
        </is>
      </c>
      <c r="E1468" s="8" t="inlineStr">
        <is>
          <t>Нужна проверка</t>
        </is>
      </c>
      <c r="F1468" s="8" t="inlineStr">
        <is>
          <t>C</t>
        </is>
      </c>
      <c r="G1468" s="14" t="n">
        <v>90811.67999999999</v>
      </c>
      <c r="H1468" s="14" t="n">
        <v>-90421.42</v>
      </c>
      <c r="I1468" s="14" t="n">
        <v>90811.68000000001</v>
      </c>
      <c r="J1468" s="14" t="n">
        <v>390.2599999999948</v>
      </c>
      <c r="K1468" s="21" t="n">
        <v>46061.36908564815</v>
      </c>
      <c r="L1468" s="21" t="n">
        <v>46059</v>
      </c>
      <c r="M1468" s="8" t="inlineStr"/>
      <c r="N1468" s="8" t="inlineStr">
        <is>
          <t>Бухгалтер + менеджер субагента</t>
        </is>
      </c>
      <c r="O1468" s="8" t="inlineStr">
        <is>
          <t>g.omurbekova</t>
        </is>
      </c>
      <c r="P1468" s="12" t="inlineStr">
        <is>
          <t>Реестр не подтверждает ни 1С, ни ETM (либо состав группы неоднозначен) — нужна проверка</t>
        </is>
      </c>
      <c r="Q1468" s="8" t="inlineStr">
        <is>
          <t>57076827,57076833</t>
        </is>
      </c>
    </row>
    <row r="1469">
      <c r="A1469" s="8" t="inlineStr">
        <is>
          <t>G06540</t>
        </is>
      </c>
      <c r="B1469" s="8" t="inlineStr">
        <is>
          <t>Джолдошова Салтанат Сатаревна</t>
        </is>
      </c>
      <c r="C1469" s="8" t="inlineStr">
        <is>
          <t>2416944834|2416944835|2416944838|2416944841</t>
        </is>
      </c>
      <c r="D1469" s="8" t="inlineStr">
        <is>
          <t>Сумма не сходится</t>
        </is>
      </c>
      <c r="E1469" s="8" t="inlineStr">
        <is>
          <t>Нужна проверка</t>
        </is>
      </c>
      <c r="F1469" s="8" t="inlineStr">
        <is>
          <t>C</t>
        </is>
      </c>
      <c r="G1469" s="14" t="n">
        <v>110596.64</v>
      </c>
      <c r="H1469" s="14" t="n">
        <v>-110214.72</v>
      </c>
      <c r="I1469" s="14" t="n"/>
      <c r="J1469" s="14" t="n">
        <v>381.9199999999983</v>
      </c>
      <c r="K1469" s="21" t="n">
        <v>46202.61129629629</v>
      </c>
      <c r="L1469" s="21" t="n">
        <v>46200</v>
      </c>
      <c r="M1469" s="8" t="inlineStr"/>
      <c r="N1469" s="8" t="inlineStr">
        <is>
          <t>Бухгалтер + менеджер субагента</t>
        </is>
      </c>
      <c r="O1469" s="8" t="inlineStr"/>
      <c r="P1469" s="12" t="inlineStr">
        <is>
          <t>Нет записи реестра (билет выписан субагентом сам) — определить виновного по данным нельзя</t>
        </is>
      </c>
      <c r="Q1469" s="8" t="inlineStr">
        <is>
          <t>57406316</t>
        </is>
      </c>
    </row>
    <row r="1470">
      <c r="A1470" s="8" t="inlineStr">
        <is>
          <t>G03744</t>
        </is>
      </c>
      <c r="B1470" s="8" t="inlineStr">
        <is>
          <t>SkyWay Travel</t>
        </is>
      </c>
      <c r="C1470" s="8" t="inlineStr">
        <is>
          <t>2559102639|2559102641|2559102643|2559102646</t>
        </is>
      </c>
      <c r="D1470" s="8" t="inlineStr">
        <is>
          <t>Сумма не сходится</t>
        </is>
      </c>
      <c r="E1470" s="8" t="inlineStr">
        <is>
          <t>Нужна проверка</t>
        </is>
      </c>
      <c r="F1470" s="8" t="inlineStr">
        <is>
          <t>C</t>
        </is>
      </c>
      <c r="G1470" s="14" t="n">
        <v>166082.64</v>
      </c>
      <c r="H1470" s="14" t="n">
        <v>-166463.04</v>
      </c>
      <c r="I1470" s="14" t="n">
        <v>166082.64</v>
      </c>
      <c r="J1470" s="14" t="n">
        <v>-380.3999999999942</v>
      </c>
      <c r="K1470" s="21" t="n">
        <v>46150.38394675926</v>
      </c>
      <c r="L1470" s="21" t="n">
        <v>46149</v>
      </c>
      <c r="M1470" s="8" t="inlineStr"/>
      <c r="N1470" s="8" t="inlineStr">
        <is>
          <t>Бухгалтер + менеджер субагента</t>
        </is>
      </c>
      <c r="O1470" s="8" t="inlineStr">
        <is>
          <t>e.satarov</t>
        </is>
      </c>
      <c r="P1470" s="12" t="inlineStr">
        <is>
          <t>Реестр не подтверждает ни 1С, ни ETM (либо состав группы неоднозначен) — нужна проверка</t>
        </is>
      </c>
      <c r="Q1470" s="8" t="inlineStr">
        <is>
          <t>57262516,57262483,57262530,57262562</t>
        </is>
      </c>
    </row>
    <row r="1471">
      <c r="A1471" s="8" t="inlineStr">
        <is>
          <t>G03570</t>
        </is>
      </c>
      <c r="B1471" s="8" t="inlineStr">
        <is>
          <t>SkyWay Travel</t>
        </is>
      </c>
      <c r="C1471" s="8" t="inlineStr">
        <is>
          <t>2552672867|2552672868|2552672869|2552672870</t>
        </is>
      </c>
      <c r="D1471" s="8" t="inlineStr">
        <is>
          <t>Сумма не сходится</t>
        </is>
      </c>
      <c r="E1471" s="8" t="inlineStr">
        <is>
          <t>Нужна проверка</t>
        </is>
      </c>
      <c r="F1471" s="8" t="inlineStr">
        <is>
          <t>C</t>
        </is>
      </c>
      <c r="G1471" s="14" t="n">
        <v>152996.76</v>
      </c>
      <c r="H1471" s="14" t="n">
        <v>-152618.88</v>
      </c>
      <c r="I1471" s="14" t="n">
        <v>152996.77</v>
      </c>
      <c r="J1471" s="14" t="n">
        <v>377.8800000000047</v>
      </c>
      <c r="K1471" s="21" t="n">
        <v>46176.49482638889</v>
      </c>
      <c r="L1471" s="21" t="n">
        <v>46175</v>
      </c>
      <c r="M1471" s="8" t="inlineStr"/>
      <c r="N1471" s="8" t="inlineStr">
        <is>
          <t>Бухгалтер + менеджер субагента</t>
        </is>
      </c>
      <c r="O1471" s="8" t="inlineStr">
        <is>
          <t>d.mambetova</t>
        </is>
      </c>
      <c r="P1471" s="12" t="inlineStr">
        <is>
          <t>Реестр не подтверждает ни 1С, ни ETM (либо состав группы неоднозначен) — нужна проверка</t>
        </is>
      </c>
      <c r="Q1471" s="8" t="inlineStr">
        <is>
          <t>57337466,57337521,57337468,57337494</t>
        </is>
      </c>
    </row>
    <row r="1472">
      <c r="A1472" s="8" t="inlineStr">
        <is>
          <t>G07129</t>
        </is>
      </c>
      <c r="B1472" s="8" t="inlineStr">
        <is>
          <t>Жибек Эйр</t>
        </is>
      </c>
      <c r="C1472" s="8" t="inlineStr">
        <is>
          <t>2416941116|2416941117|2416941119</t>
        </is>
      </c>
      <c r="D1472" s="8" t="inlineStr">
        <is>
          <t>Сумма не сходится</t>
        </is>
      </c>
      <c r="E1472" s="8" t="inlineStr">
        <is>
          <t>Нужна проверка</t>
        </is>
      </c>
      <c r="F1472" s="8" t="inlineStr">
        <is>
          <t>C</t>
        </is>
      </c>
      <c r="G1472" s="14" t="n">
        <v>92592.96000000001</v>
      </c>
      <c r="H1472" s="14" t="n">
        <v>-92962.56</v>
      </c>
      <c r="I1472" s="14" t="n">
        <v>92592.95999999999</v>
      </c>
      <c r="J1472" s="14" t="n">
        <v>-369.5999999999913</v>
      </c>
      <c r="K1472" s="21" t="n">
        <v>46099.41608796296</v>
      </c>
      <c r="L1472" s="21" t="n">
        <v>46098</v>
      </c>
      <c r="M1472" s="8" t="inlineStr"/>
      <c r="N1472" s="8" t="inlineStr">
        <is>
          <t>Бухгалтер + менеджер субагента</t>
        </is>
      </c>
      <c r="O1472" s="8" t="inlineStr">
        <is>
          <t>r.sydykov</t>
        </is>
      </c>
      <c r="P1472" s="12" t="inlineStr">
        <is>
          <t>Реестр не подтверждает ни 1С, ни ETM (либо состав группы неоднозначен) — нужна проверка</t>
        </is>
      </c>
      <c r="Q1472" s="8" t="inlineStr">
        <is>
          <t>57152886,57152879,57152924</t>
        </is>
      </c>
    </row>
    <row r="1473">
      <c r="A1473" s="8" t="inlineStr">
        <is>
          <t>G02208</t>
        </is>
      </c>
      <c r="B1473" s="8" t="inlineStr">
        <is>
          <t>Silk Route Air</t>
        </is>
      </c>
      <c r="C1473" s="8" t="inlineStr">
        <is>
          <t>2559100522|2559100524</t>
        </is>
      </c>
      <c r="D1473" s="8" t="inlineStr">
        <is>
          <t>Сумма не сходится</t>
        </is>
      </c>
      <c r="E1473" s="8" t="inlineStr">
        <is>
          <t>Нужна проверка</t>
        </is>
      </c>
      <c r="F1473" s="8" t="inlineStr">
        <is>
          <t>C</t>
        </is>
      </c>
      <c r="G1473" s="14" t="n">
        <v>109087.54</v>
      </c>
      <c r="H1473" s="14" t="n">
        <v>-108729.4</v>
      </c>
      <c r="I1473" s="14" t="n"/>
      <c r="J1473" s="14" t="n">
        <v>358.1399999999994</v>
      </c>
      <c r="K1473" s="21" t="n">
        <v>46170.54465277777</v>
      </c>
      <c r="L1473" s="21" t="n">
        <v>46169</v>
      </c>
      <c r="M1473" s="8" t="inlineStr"/>
      <c r="N1473" s="8" t="inlineStr">
        <is>
          <t>Бухгалтер + менеджер субагента</t>
        </is>
      </c>
      <c r="O1473" s="8" t="inlineStr"/>
      <c r="P1473" s="12" t="inlineStr">
        <is>
          <t>Нет записи реестра (билет выписан субагентом сам) — определить виновного по данным нельзя</t>
        </is>
      </c>
      <c r="Q1473" s="8" t="inlineStr">
        <is>
          <t>57320713,57320736</t>
        </is>
      </c>
    </row>
    <row r="1474">
      <c r="A1474" s="8" t="inlineStr">
        <is>
          <t>G10185</t>
        </is>
      </c>
      <c r="B1474" s="8" t="inlineStr">
        <is>
          <t>Манас Тревел</t>
        </is>
      </c>
      <c r="C1474" s="8" t="inlineStr">
        <is>
          <t>2416943154|2416943155|2416943158|2416943161</t>
        </is>
      </c>
      <c r="D1474" s="8" t="inlineStr">
        <is>
          <t>Сумма не сходится</t>
        </is>
      </c>
      <c r="E1474" s="8" t="inlineStr">
        <is>
          <t>Нужна проверка</t>
        </is>
      </c>
      <c r="F1474" s="8" t="inlineStr">
        <is>
          <t>C</t>
        </is>
      </c>
      <c r="G1474" s="14" t="n">
        <v>107575.8</v>
      </c>
      <c r="H1474" s="14" t="n">
        <v>-107219.12</v>
      </c>
      <c r="I1474" s="14" t="n"/>
      <c r="J1474" s="14" t="n">
        <v>356.6800000000076</v>
      </c>
      <c r="K1474" s="21" t="n">
        <v>46086.34864583334</v>
      </c>
      <c r="L1474" s="21" t="n">
        <v>46085</v>
      </c>
      <c r="M1474" s="8" t="inlineStr"/>
      <c r="N1474" s="8" t="inlineStr">
        <is>
          <t>Бухгалтер + менеджер субагента</t>
        </is>
      </c>
      <c r="O1474" s="8" t="inlineStr"/>
      <c r="P1474" s="12" t="inlineStr">
        <is>
          <t>Нет записи реестра (билет выписан субагентом сам) — определить виновного по данным нельзя</t>
        </is>
      </c>
      <c r="Q1474" s="8" t="inlineStr">
        <is>
          <t>57122718,57122753,57122699,57122713</t>
        </is>
      </c>
    </row>
    <row r="1475">
      <c r="A1475" s="8" t="inlineStr">
        <is>
          <t>G00229</t>
        </is>
      </c>
      <c r="B1475" s="8" t="inlineStr">
        <is>
          <t>Aylana Tour</t>
        </is>
      </c>
      <c r="C1475" s="8" t="inlineStr">
        <is>
          <t>2552668355|2552668358</t>
        </is>
      </c>
      <c r="D1475" s="8" t="inlineStr">
        <is>
          <t>Сумма не сходится</t>
        </is>
      </c>
      <c r="E1475" s="8" t="inlineStr">
        <is>
          <t>Нужна проверка</t>
        </is>
      </c>
      <c r="F1475" s="8" t="inlineStr">
        <is>
          <t>C</t>
        </is>
      </c>
      <c r="G1475" s="14" t="n">
        <v>75327</v>
      </c>
      <c r="H1475" s="14" t="n">
        <v>-74976.10000000001</v>
      </c>
      <c r="I1475" s="14" t="n">
        <v>75327</v>
      </c>
      <c r="J1475" s="14" t="n">
        <v>350.8999999999942</v>
      </c>
      <c r="K1475" s="21" t="n">
        <v>46161.55153935185</v>
      </c>
      <c r="L1475" s="21" t="n">
        <v>46159</v>
      </c>
      <c r="M1475" s="8" t="inlineStr"/>
      <c r="N1475" s="8" t="inlineStr">
        <is>
          <t>Бухгалтер + менеджер субагента</t>
        </is>
      </c>
      <c r="O1475" s="8" t="inlineStr">
        <is>
          <t>e.satarov</t>
        </is>
      </c>
      <c r="P1475" s="12" t="inlineStr">
        <is>
          <t>Реестр не подтверждает ни 1С, ни ETM (либо состав группы неоднозначен) — нужна проверка</t>
        </is>
      </c>
      <c r="Q1475" s="8" t="inlineStr">
        <is>
          <t>57292363,57292343</t>
        </is>
      </c>
    </row>
    <row r="1476">
      <c r="A1476" s="8" t="inlineStr">
        <is>
          <t>G04892</t>
        </is>
      </c>
      <c r="B1476" s="8" t="inlineStr">
        <is>
          <t>Ак-Куу Авиа</t>
        </is>
      </c>
      <c r="C1476" s="8" t="inlineStr">
        <is>
          <t>2420847887|2420847889|2420847892|2420847895</t>
        </is>
      </c>
      <c r="D1476" s="8" t="inlineStr">
        <is>
          <t>Сумма не сходится</t>
        </is>
      </c>
      <c r="E1476" s="8" t="inlineStr">
        <is>
          <t>Нужна проверка</t>
        </is>
      </c>
      <c r="F1476" s="8" t="inlineStr">
        <is>
          <t>C</t>
        </is>
      </c>
      <c r="G1476" s="14" t="n">
        <v>99112.48</v>
      </c>
      <c r="H1476" s="14" t="n">
        <v>-99454.24000000001</v>
      </c>
      <c r="I1476" s="14" t="n"/>
      <c r="J1476" s="14" t="n">
        <v>-341.7600000000093</v>
      </c>
      <c r="K1476" s="21" t="n">
        <v>46157.70053240741</v>
      </c>
      <c r="L1476" s="21" t="n">
        <v>46156</v>
      </c>
      <c r="M1476" s="8" t="inlineStr"/>
      <c r="N1476" s="8" t="inlineStr">
        <is>
          <t>Бухгалтер + менеджер субагента</t>
        </is>
      </c>
      <c r="O1476" s="8" t="inlineStr"/>
      <c r="P1476" s="12" t="inlineStr">
        <is>
          <t>Нет записи реестра (билет выписан субагентом сам) — определить виновного по данным нельзя</t>
        </is>
      </c>
      <c r="Q1476" s="8" t="inlineStr">
        <is>
          <t>57284612</t>
        </is>
      </c>
    </row>
    <row r="1477">
      <c r="A1477" s="8" t="inlineStr">
        <is>
          <t>G04140</t>
        </is>
      </c>
      <c r="B1477" s="8" t="inlineStr">
        <is>
          <t>Абдылда уулу Б.</t>
        </is>
      </c>
      <c r="C1477" s="8" t="inlineStr">
        <is>
          <t>2416943452|2416943455|2416943456|2416943458</t>
        </is>
      </c>
      <c r="D1477" s="8" t="inlineStr">
        <is>
          <t>Сумма не сходится</t>
        </is>
      </c>
      <c r="E1477" s="8" t="inlineStr">
        <is>
          <t>Нужна проверка</t>
        </is>
      </c>
      <c r="F1477" s="8" t="inlineStr">
        <is>
          <t>C</t>
        </is>
      </c>
      <c r="G1477" s="14" t="n">
        <v>82510.32000000001</v>
      </c>
      <c r="H1477" s="14" t="n">
        <v>-82843.52</v>
      </c>
      <c r="I1477" s="14" t="n">
        <v>82510.31999999999</v>
      </c>
      <c r="J1477" s="14" t="n">
        <v>-333.1999999999971</v>
      </c>
      <c r="K1477" s="21" t="n">
        <v>46099.37303240741</v>
      </c>
      <c r="L1477" s="21" t="n">
        <v>46098</v>
      </c>
      <c r="M1477" s="8" t="inlineStr"/>
      <c r="N1477" s="8" t="inlineStr">
        <is>
          <t>Бухгалтер + менеджер субагента</t>
        </is>
      </c>
      <c r="O1477" s="8" t="inlineStr">
        <is>
          <t>g.omurbekova</t>
        </is>
      </c>
      <c r="P1477" s="12" t="inlineStr">
        <is>
          <t>Реестр не подтверждает ни 1С, ни ETM (либо состав группы неоднозначен) — нужна проверка</t>
        </is>
      </c>
      <c r="Q1477" s="8" t="inlineStr">
        <is>
          <t>57153649,57153572,57153600,57153625</t>
        </is>
      </c>
    </row>
    <row r="1478">
      <c r="A1478" s="8" t="inlineStr">
        <is>
          <t>G11840</t>
        </is>
      </c>
      <c r="B1478" s="8" t="inlineStr">
        <is>
          <t>ОсОО Кок-Жайык Лайн</t>
        </is>
      </c>
      <c r="C1478" s="8" t="inlineStr">
        <is>
          <t>2476319134</t>
        </is>
      </c>
      <c r="D1478" s="8" t="inlineStr">
        <is>
          <t>Сумма не сходится</t>
        </is>
      </c>
      <c r="E1478" s="8" t="inlineStr">
        <is>
          <t>Нужна проверка</t>
        </is>
      </c>
      <c r="F1478" s="8" t="inlineStr">
        <is>
          <t>C</t>
        </is>
      </c>
      <c r="G1478" s="14" t="n">
        <v>32856.24</v>
      </c>
      <c r="H1478" s="14" t="n">
        <v>-32534.12</v>
      </c>
      <c r="I1478" s="14" t="n"/>
      <c r="J1478" s="14" t="n">
        <v>322.119999999999</v>
      </c>
      <c r="K1478" s="21" t="n">
        <v>46158.54836805556</v>
      </c>
      <c r="L1478" s="21" t="n">
        <v>46157</v>
      </c>
      <c r="M1478" s="8" t="inlineStr"/>
      <c r="N1478" s="8" t="inlineStr">
        <is>
          <t>Бухгалтер + менеджер субагента</t>
        </is>
      </c>
      <c r="O1478" s="8" t="inlineStr"/>
      <c r="P1478" s="12" t="inlineStr">
        <is>
          <t>Нет записи реестра (билет выписан субагентом сам) — определить виновного по данным нельзя</t>
        </is>
      </c>
      <c r="Q1478" s="8" t="inlineStr">
        <is>
          <t>57287914</t>
        </is>
      </c>
    </row>
    <row r="1479">
      <c r="A1479" s="8" t="inlineStr">
        <is>
          <t>G11451</t>
        </is>
      </c>
      <c r="B1479" s="8" t="inlineStr">
        <is>
          <t>ОсОО Иссык Тур</t>
        </is>
      </c>
      <c r="C1479" s="8" t="inlineStr">
        <is>
          <t>2552670621|2552670624</t>
        </is>
      </c>
      <c r="D1479" s="8" t="inlineStr">
        <is>
          <t>Сумма не сходится</t>
        </is>
      </c>
      <c r="E1479" s="8" t="inlineStr">
        <is>
          <t>Нужна проверка</t>
        </is>
      </c>
      <c r="F1479" s="8" t="inlineStr">
        <is>
          <t>C</t>
        </is>
      </c>
      <c r="G1479" s="14" t="n">
        <v>71696.17999999999</v>
      </c>
      <c r="H1479" s="14" t="n">
        <v>-71977.58</v>
      </c>
      <c r="I1479" s="14" t="n">
        <v>71696.185</v>
      </c>
      <c r="J1479" s="14" t="n">
        <v>-281.4000000000087</v>
      </c>
      <c r="K1479" s="21" t="n">
        <v>46182.4630787037</v>
      </c>
      <c r="L1479" s="21" t="n">
        <v>46181</v>
      </c>
      <c r="M1479" s="8" t="inlineStr"/>
      <c r="N1479" s="8" t="inlineStr">
        <is>
          <t>Бухгалтер + менеджер субагента</t>
        </is>
      </c>
      <c r="O1479" s="8" t="inlineStr">
        <is>
          <t>n.abdyldaeva</t>
        </is>
      </c>
      <c r="P1479" s="12" t="inlineStr">
        <is>
          <t>Реестр не подтверждает ни 1С, ни ETM (либо состав группы неоднозначен) — нужна проверка</t>
        </is>
      </c>
      <c r="Q1479" s="8" t="inlineStr">
        <is>
          <t>57352319,57352343</t>
        </is>
      </c>
    </row>
    <row r="1480">
      <c r="A1480" s="8" t="inlineStr">
        <is>
          <t>G08876</t>
        </is>
      </c>
      <c r="B1480" s="8" t="inlineStr">
        <is>
          <t>ИССЫК ТРИП</t>
        </is>
      </c>
      <c r="C1480" s="8" t="inlineStr">
        <is>
          <t>2416943360|2416943361</t>
        </is>
      </c>
      <c r="D1480" s="8" t="inlineStr">
        <is>
          <t>Сумма не сходится</t>
        </is>
      </c>
      <c r="E1480" s="8" t="inlineStr">
        <is>
          <t>Нужна проверка</t>
        </is>
      </c>
      <c r="F1480" s="8" t="inlineStr">
        <is>
          <t>C</t>
        </is>
      </c>
      <c r="G1480" s="14" t="n">
        <v>42188.5</v>
      </c>
      <c r="H1480" s="14" t="n">
        <v>-41914.34</v>
      </c>
      <c r="I1480" s="14" t="n"/>
      <c r="J1480" s="14" t="n">
        <v>274.1600000000035</v>
      </c>
      <c r="K1480" s="21" t="n">
        <v>46125.72517361111</v>
      </c>
      <c r="L1480" s="21" t="n">
        <v>46124</v>
      </c>
      <c r="M1480" s="8" t="inlineStr"/>
      <c r="N1480" s="8" t="inlineStr">
        <is>
          <t>Бухгалтер + менеджер субагента</t>
        </is>
      </c>
      <c r="O1480" s="8" t="inlineStr"/>
      <c r="P1480" s="12" t="inlineStr">
        <is>
          <t>Нет записи реестра (билет выписан субагентом сам) — определить виновного по данным нельзя</t>
        </is>
      </c>
      <c r="Q1480" s="8" t="inlineStr">
        <is>
          <t>57203459</t>
        </is>
      </c>
    </row>
    <row r="1481">
      <c r="A1481" s="8" t="inlineStr">
        <is>
          <t>G09806</t>
        </is>
      </c>
      <c r="B1481" s="8" t="inlineStr">
        <is>
          <t>Кадырова Айнура Жумабекевна</t>
        </is>
      </c>
      <c r="C1481" s="8" t="inlineStr">
        <is>
          <t>2559100755</t>
        </is>
      </c>
      <c r="D1481" s="8" t="inlineStr">
        <is>
          <t>Сумма не сходится</t>
        </is>
      </c>
      <c r="E1481" s="8" t="inlineStr">
        <is>
          <t>Нужна проверка</t>
        </is>
      </c>
      <c r="F1481" s="8" t="inlineStr">
        <is>
          <t>C</t>
        </is>
      </c>
      <c r="G1481" s="14" t="n">
        <v>37284</v>
      </c>
      <c r="H1481" s="14" t="n">
        <v>-37556</v>
      </c>
      <c r="I1481" s="14" t="n"/>
      <c r="J1481" s="14" t="n">
        <v>-272</v>
      </c>
      <c r="K1481" s="21" t="n">
        <v>46226.47643518518</v>
      </c>
      <c r="L1481" s="21" t="n">
        <v>46224</v>
      </c>
      <c r="M1481" s="8" t="inlineStr"/>
      <c r="N1481" s="8" t="inlineStr">
        <is>
          <t>Бухгалтер + менеджер субагента</t>
        </is>
      </c>
      <c r="O1481" s="8" t="inlineStr"/>
      <c r="P1481" s="12" t="inlineStr">
        <is>
          <t>Нет записи реестра (билет выписан субагентом сам) — определить виновного по данным нельзя</t>
        </is>
      </c>
      <c r="Q1481" s="8" t="inlineStr">
        <is>
          <t>57476496</t>
        </is>
      </c>
    </row>
    <row r="1482">
      <c r="A1482" s="8" t="inlineStr">
        <is>
          <t>G10498</t>
        </is>
      </c>
      <c r="B1482" s="8" t="inlineStr">
        <is>
          <t>Манас Тревел</t>
        </is>
      </c>
      <c r="C1482" s="8" t="inlineStr">
        <is>
          <t>2559104205|2559104206|2559104209|2559104211</t>
        </is>
      </c>
      <c r="D1482" s="8" t="inlineStr">
        <is>
          <t>Сумма не сходится</t>
        </is>
      </c>
      <c r="E1482" s="8" t="inlineStr">
        <is>
          <t>Нужна проверка</t>
        </is>
      </c>
      <c r="F1482" s="8" t="inlineStr">
        <is>
          <t>C</t>
        </is>
      </c>
      <c r="G1482" s="14" t="n">
        <v>122551.68</v>
      </c>
      <c r="H1482" s="14" t="n">
        <v>-122816.16</v>
      </c>
      <c r="I1482" s="14" t="n">
        <v>122551.68</v>
      </c>
      <c r="J1482" s="14" t="n">
        <v>-264.4800000000105</v>
      </c>
      <c r="K1482" s="21" t="n">
        <v>46171.38686342593</v>
      </c>
      <c r="L1482" s="21" t="n">
        <v>46170</v>
      </c>
      <c r="M1482" s="8" t="inlineStr"/>
      <c r="N1482" s="8" t="inlineStr">
        <is>
          <t>Бухгалтер + менеджер субагента</t>
        </is>
      </c>
      <c r="O1482" s="8" t="inlineStr">
        <is>
          <t>r.sydykov</t>
        </is>
      </c>
      <c r="P1482" s="12" t="inlineStr">
        <is>
          <t>Реестр не подтверждает ни 1С, ни ETM (либо состав группы неоднозначен) — нужна проверка</t>
        </is>
      </c>
      <c r="Q1482" s="8" t="inlineStr">
        <is>
          <t>57324985,57324993,57324954,57324991</t>
        </is>
      </c>
    </row>
    <row r="1483">
      <c r="A1483" s="8" t="inlineStr">
        <is>
          <t>G08461</t>
        </is>
      </c>
      <c r="B1483" s="8" t="inlineStr">
        <is>
          <t>ИП Муратов Э. У.</t>
        </is>
      </c>
      <c r="C1483" s="8" t="inlineStr">
        <is>
          <t>2552671919|2552671921</t>
        </is>
      </c>
      <c r="D1483" s="8" t="inlineStr">
        <is>
          <t>Сумма не сходится</t>
        </is>
      </c>
      <c r="E1483" s="8" t="inlineStr">
        <is>
          <t>Нужна проверка</t>
        </is>
      </c>
      <c r="F1483" s="8" t="inlineStr">
        <is>
          <t>C</t>
        </is>
      </c>
      <c r="G1483" s="14" t="n">
        <v>86808.64</v>
      </c>
      <c r="H1483" s="14" t="n">
        <v>-87068.92</v>
      </c>
      <c r="I1483" s="14" t="n">
        <v>86808.64999999999</v>
      </c>
      <c r="J1483" s="14" t="n">
        <v>-260.2799999999988</v>
      </c>
      <c r="K1483" s="21" t="n">
        <v>46067.62289351852</v>
      </c>
      <c r="L1483" s="21" t="n">
        <v>46066</v>
      </c>
      <c r="M1483" s="8" t="inlineStr"/>
      <c r="N1483" s="8" t="inlineStr">
        <is>
          <t>Бухгалтер + менеджер субагента</t>
        </is>
      </c>
      <c r="O1483" s="8" t="inlineStr">
        <is>
          <t>e.satarov</t>
        </is>
      </c>
      <c r="P1483" s="12" t="inlineStr">
        <is>
          <t>Реестр не подтверждает ни 1С, ни ETM (либо состав группы неоднозначен) — нужна проверка</t>
        </is>
      </c>
      <c r="Q1483" s="8" t="inlineStr">
        <is>
          <t>57089036,57089072</t>
        </is>
      </c>
    </row>
    <row r="1484">
      <c r="A1484" s="8" t="inlineStr">
        <is>
          <t>G12536</t>
        </is>
      </c>
      <c r="B1484" s="8" t="inlineStr">
        <is>
          <t>Сагын кызы Б.</t>
        </is>
      </c>
      <c r="C1484" s="8" t="inlineStr">
        <is>
          <t>2420843549</t>
        </is>
      </c>
      <c r="D1484" s="8" t="inlineStr">
        <is>
          <t>Сумма не сходится</t>
        </is>
      </c>
      <c r="E1484" s="8" t="inlineStr">
        <is>
          <t>Нужна проверка</t>
        </is>
      </c>
      <c r="F1484" s="8" t="inlineStr">
        <is>
          <t>C</t>
        </is>
      </c>
      <c r="G1484" s="14" t="n">
        <v>24602.45</v>
      </c>
      <c r="H1484" s="14" t="n">
        <v>-24345.33</v>
      </c>
      <c r="I1484" s="14" t="n"/>
      <c r="J1484" s="14" t="n">
        <v>257.119999999999</v>
      </c>
      <c r="K1484" s="21" t="n">
        <v>46181.35901620371</v>
      </c>
      <c r="L1484" s="21" t="n">
        <v>46179</v>
      </c>
      <c r="M1484" s="8" t="inlineStr"/>
      <c r="N1484" s="8" t="inlineStr">
        <is>
          <t>Бухгалтер + менеджер субагента</t>
        </is>
      </c>
      <c r="O1484" s="8" t="inlineStr"/>
      <c r="P1484" s="12" t="inlineStr">
        <is>
          <t>Нет записи реестра (билет выписан субагентом сам) — определить виновного по данным нельзя</t>
        </is>
      </c>
      <c r="Q1484" s="8" t="inlineStr">
        <is>
          <t>57345917</t>
        </is>
      </c>
    </row>
    <row r="1485">
      <c r="A1485" s="8" t="inlineStr">
        <is>
          <t>G14262</t>
        </is>
      </c>
      <c r="B1485" s="8" t="inlineStr">
        <is>
          <t>ЧОЛПОН ТУР</t>
        </is>
      </c>
      <c r="C1485" s="8" t="inlineStr">
        <is>
          <t>2420844615|2420844617|2420844620|2420844622</t>
        </is>
      </c>
      <c r="D1485" s="8" t="inlineStr">
        <is>
          <t>Сумма не сходится</t>
        </is>
      </c>
      <c r="E1485" s="8" t="inlineStr">
        <is>
          <t>Нужна проверка</t>
        </is>
      </c>
      <c r="F1485" s="8" t="inlineStr">
        <is>
          <t>C</t>
        </is>
      </c>
      <c r="G1485" s="14" t="n">
        <v>116242</v>
      </c>
      <c r="H1485" s="14" t="n">
        <v>-116499.04</v>
      </c>
      <c r="I1485" s="14" t="n">
        <v>116241.9984</v>
      </c>
      <c r="J1485" s="14" t="n">
        <v>-257.0399999999936</v>
      </c>
      <c r="K1485" s="21" t="n">
        <v>46196.51021990741</v>
      </c>
      <c r="L1485" s="21" t="n">
        <v>46195</v>
      </c>
      <c r="M1485" s="8" t="inlineStr"/>
      <c r="N1485" s="8" t="inlineStr">
        <is>
          <t>Бухгалтер + менеджер субагента</t>
        </is>
      </c>
      <c r="O1485" s="8" t="inlineStr">
        <is>
          <t>d.mambetova</t>
        </is>
      </c>
      <c r="P1485" s="12" t="inlineStr">
        <is>
          <t>Реестр не подтверждает ни 1С, ни ETM (либо состав группы неоднозначен) — нужна проверка</t>
        </is>
      </c>
      <c r="Q1485" s="8" t="inlineStr">
        <is>
          <t>57389343,57389346,57389276,57389311</t>
        </is>
      </c>
    </row>
    <row r="1486">
      <c r="A1486" s="8" t="inlineStr">
        <is>
          <t>G02000</t>
        </is>
      </c>
      <c r="B1486" s="8" t="inlineStr">
        <is>
          <t>Kumtor Tours</t>
        </is>
      </c>
      <c r="C1486" s="8" t="inlineStr">
        <is>
          <t>2420843829|2420843832</t>
        </is>
      </c>
      <c r="D1486" s="8" t="inlineStr">
        <is>
          <t>Сумма не сходится</t>
        </is>
      </c>
      <c r="E1486" s="8" t="inlineStr">
        <is>
          <t>Нужна проверка</t>
        </is>
      </c>
      <c r="F1486" s="8" t="inlineStr">
        <is>
          <t>C</t>
        </is>
      </c>
      <c r="G1486" s="14" t="n">
        <v>30650.54</v>
      </c>
      <c r="H1486" s="14" t="n">
        <v>-30906.96</v>
      </c>
      <c r="I1486" s="14" t="n"/>
      <c r="J1486" s="14" t="n">
        <v>-256.4199999999983</v>
      </c>
      <c r="K1486" s="21" t="n">
        <v>46070.37516203704</v>
      </c>
      <c r="L1486" s="21" t="n">
        <v>46069</v>
      </c>
      <c r="M1486" s="8" t="inlineStr"/>
      <c r="N1486" s="8" t="inlineStr">
        <is>
          <t>Бухгалтер + менеджер субагента</t>
        </is>
      </c>
      <c r="O1486" s="8" t="inlineStr"/>
      <c r="P1486" s="12" t="inlineStr">
        <is>
          <t>Нет записи реестра (билет выписан субагентом сам) — определить виновного по данным нельзя</t>
        </is>
      </c>
      <c r="Q1486" s="8" t="inlineStr">
        <is>
          <t>57092924</t>
        </is>
      </c>
    </row>
    <row r="1487">
      <c r="A1487" s="8" t="inlineStr">
        <is>
          <t>G03724</t>
        </is>
      </c>
      <c r="B1487" s="8" t="inlineStr">
        <is>
          <t>SkyWay Travel</t>
        </is>
      </c>
      <c r="C1487" s="8" t="inlineStr">
        <is>
          <t>2559102065|2559102068</t>
        </is>
      </c>
      <c r="D1487" s="8" t="inlineStr">
        <is>
          <t>Сумма не сходится</t>
        </is>
      </c>
      <c r="E1487" s="8" t="inlineStr">
        <is>
          <t>Нужна проверка</t>
        </is>
      </c>
      <c r="F1487" s="8" t="inlineStr">
        <is>
          <t>C</t>
        </is>
      </c>
      <c r="G1487" s="14" t="n">
        <v>57898.52</v>
      </c>
      <c r="H1487" s="14" t="n">
        <v>-58150.08</v>
      </c>
      <c r="I1487" s="14" t="n">
        <v>57898.52</v>
      </c>
      <c r="J1487" s="14" t="n">
        <v>-251.5600000000049</v>
      </c>
      <c r="K1487" s="21" t="n">
        <v>46059.44835648148</v>
      </c>
      <c r="L1487" s="21" t="n">
        <v>46058</v>
      </c>
      <c r="M1487" s="8" t="inlineStr"/>
      <c r="N1487" s="8" t="inlineStr">
        <is>
          <t>Бухгалтер + менеджер субагента</t>
        </is>
      </c>
      <c r="O1487" s="8" t="inlineStr">
        <is>
          <t>a.toktosunova</t>
        </is>
      </c>
      <c r="P1487" s="12" t="inlineStr">
        <is>
          <t>Реестр не подтверждает ни 1С, ни ETM (либо состав группы неоднозначен) — нужна проверка</t>
        </is>
      </c>
      <c r="Q1487" s="8" t="inlineStr">
        <is>
          <t>57075062,57075100</t>
        </is>
      </c>
    </row>
    <row r="1488">
      <c r="A1488" s="8" t="inlineStr">
        <is>
          <t>G07749</t>
        </is>
      </c>
      <c r="B1488" s="8" t="inlineStr">
        <is>
          <t>ИП Абдыраманова Ж. Д.</t>
        </is>
      </c>
      <c r="C1488" s="8" t="inlineStr">
        <is>
          <t>2416941951|2416941954</t>
        </is>
      </c>
      <c r="D1488" s="8" t="inlineStr">
        <is>
          <t>Сумма не сходится</t>
        </is>
      </c>
      <c r="E1488" s="8" t="inlineStr">
        <is>
          <t>Нужна проверка</t>
        </is>
      </c>
      <c r="F1488" s="8" t="inlineStr">
        <is>
          <t>C</t>
        </is>
      </c>
      <c r="G1488" s="14" t="n">
        <v>77293.44</v>
      </c>
      <c r="H1488" s="14" t="n">
        <v>-77544</v>
      </c>
      <c r="I1488" s="14" t="n"/>
      <c r="J1488" s="14" t="n">
        <v>-250.5599999999977</v>
      </c>
      <c r="K1488" s="21" t="n">
        <v>46204.44638888889</v>
      </c>
      <c r="L1488" s="21" t="n">
        <v>46202</v>
      </c>
      <c r="M1488" s="8" t="inlineStr"/>
      <c r="N1488" s="8" t="inlineStr">
        <is>
          <t>Бухгалтер + менеджер субагента</t>
        </is>
      </c>
      <c r="O1488" s="8" t="inlineStr"/>
      <c r="P1488" s="12" t="inlineStr">
        <is>
          <t>Нет записи реестра (билет выписан субагентом сам) — определить виновного по данным нельзя</t>
        </is>
      </c>
      <c r="Q1488" s="8" t="inlineStr">
        <is>
          <t>57411028,57411054</t>
        </is>
      </c>
    </row>
    <row r="1489">
      <c r="A1489" s="8" t="inlineStr">
        <is>
          <t>G04655</t>
        </is>
      </c>
      <c r="B1489" s="8" t="inlineStr">
        <is>
          <t>Абдылдаов Д. М.</t>
        </is>
      </c>
      <c r="C1489" s="8" t="inlineStr">
        <is>
          <t>2559102603</t>
        </is>
      </c>
      <c r="D1489" s="8" t="inlineStr">
        <is>
          <t>Сумма не сходится</t>
        </is>
      </c>
      <c r="E1489" s="8" t="inlineStr">
        <is>
          <t>Нужна проверка</t>
        </is>
      </c>
      <c r="F1489" s="8" t="inlineStr">
        <is>
          <t>C</t>
        </is>
      </c>
      <c r="G1489" s="14" t="n">
        <v>61561.92</v>
      </c>
      <c r="H1489" s="14" t="n">
        <v>-61313.28</v>
      </c>
      <c r="I1489" s="14" t="n">
        <v>61561.92</v>
      </c>
      <c r="J1489" s="14" t="n">
        <v>248.6399999999994</v>
      </c>
      <c r="K1489" s="21" t="n">
        <v>46219.553125</v>
      </c>
      <c r="L1489" s="21" t="n">
        <v>46218</v>
      </c>
      <c r="M1489" s="8" t="inlineStr"/>
      <c r="N1489" s="8" t="inlineStr">
        <is>
          <t>Бухгалтер + менеджер субагента</t>
        </is>
      </c>
      <c r="O1489" s="8" t="inlineStr">
        <is>
          <t>b.isakov</t>
        </is>
      </c>
      <c r="P1489" s="12" t="inlineStr">
        <is>
          <t>Реестр не подтверждает ни 1С, ни ETM (либо состав группы неоднозначен) — нужна проверка</t>
        </is>
      </c>
      <c r="Q1489" s="8" t="inlineStr">
        <is>
          <t>57462123</t>
        </is>
      </c>
    </row>
    <row r="1490">
      <c r="A1490" s="8" t="inlineStr">
        <is>
          <t>G00347</t>
        </is>
      </c>
      <c r="B1490" s="8" t="inlineStr">
        <is>
          <t>Blue Bird Travel</t>
        </is>
      </c>
      <c r="C1490" s="8" t="inlineStr">
        <is>
          <t>2420846917|2420846920|2420846921</t>
        </is>
      </c>
      <c r="D1490" s="8" t="inlineStr">
        <is>
          <t>Сумма не сходится</t>
        </is>
      </c>
      <c r="E1490" s="8" t="inlineStr">
        <is>
          <t>Нужна проверка</t>
        </is>
      </c>
      <c r="F1490" s="8" t="inlineStr">
        <is>
          <t>C</t>
        </is>
      </c>
      <c r="G1490" s="14" t="n">
        <v>74331.99000000001</v>
      </c>
      <c r="H1490" s="14" t="n">
        <v>-74579.49000000001</v>
      </c>
      <c r="I1490" s="14" t="n"/>
      <c r="J1490" s="14" t="n">
        <v>-247.5</v>
      </c>
      <c r="K1490" s="21" t="n">
        <v>46144.80689814815</v>
      </c>
      <c r="L1490" s="21" t="n">
        <v>46143</v>
      </c>
      <c r="M1490" s="8" t="inlineStr"/>
      <c r="N1490" s="8" t="inlineStr">
        <is>
          <t>Бухгалтер + менеджер субагента</t>
        </is>
      </c>
      <c r="O1490" s="8" t="inlineStr"/>
      <c r="P1490" s="12" t="inlineStr">
        <is>
          <t>Нет записи реестра (билет выписан субагентом сам) — определить виновного по данным нельзя</t>
        </is>
      </c>
      <c r="Q1490" s="8" t="inlineStr">
        <is>
          <t>57243141</t>
        </is>
      </c>
    </row>
    <row r="1491">
      <c r="A1491" s="8" t="inlineStr">
        <is>
          <t>G05283</t>
        </is>
      </c>
      <c r="B1491" s="8" t="inlineStr">
        <is>
          <t>Ак-Куу Авиа</t>
        </is>
      </c>
      <c r="C1491" s="8" t="inlineStr">
        <is>
          <t>2552668635|2552668637</t>
        </is>
      </c>
      <c r="D1491" s="8" t="inlineStr">
        <is>
          <t>Сумма не сходится</t>
        </is>
      </c>
      <c r="E1491" s="8" t="inlineStr">
        <is>
          <t>Нужна проверка</t>
        </is>
      </c>
      <c r="F1491" s="8" t="inlineStr">
        <is>
          <t>C</t>
        </is>
      </c>
      <c r="G1491" s="14" t="n">
        <v>109469.42</v>
      </c>
      <c r="H1491" s="14" t="n">
        <v>-109224.56</v>
      </c>
      <c r="I1491" s="14" t="n"/>
      <c r="J1491" s="14" t="n">
        <v>244.8600000000006</v>
      </c>
      <c r="K1491" s="21" t="n">
        <v>46216.43847222222</v>
      </c>
      <c r="L1491" s="21" t="n">
        <v>46214</v>
      </c>
      <c r="M1491" s="8" t="inlineStr"/>
      <c r="N1491" s="8" t="inlineStr">
        <is>
          <t>Бухгалтер + менеджер субагента</t>
        </is>
      </c>
      <c r="O1491" s="8" t="inlineStr"/>
      <c r="P1491" s="12" t="inlineStr">
        <is>
          <t>Нет записи реестра (билет выписан субагентом сам) — определить виновного по данным нельзя</t>
        </is>
      </c>
      <c r="Q1491" s="8" t="inlineStr">
        <is>
          <t>57450080</t>
        </is>
      </c>
    </row>
    <row r="1492">
      <c r="A1492" s="8" t="inlineStr">
        <is>
          <t>G03513</t>
        </is>
      </c>
      <c r="B1492" s="8" t="inlineStr">
        <is>
          <t>SkyWay Travel</t>
        </is>
      </c>
      <c r="C1492" s="8" t="inlineStr">
        <is>
          <t>2552671242|2552671244</t>
        </is>
      </c>
      <c r="D1492" s="8" t="inlineStr">
        <is>
          <t>Сумма не сходится</t>
        </is>
      </c>
      <c r="E1492" s="8" t="inlineStr">
        <is>
          <t>Нужна проверка</t>
        </is>
      </c>
      <c r="F1492" s="8" t="inlineStr">
        <is>
          <t>C</t>
        </is>
      </c>
      <c r="G1492" s="14" t="n">
        <v>79001.89999999999</v>
      </c>
      <c r="H1492" s="14" t="n">
        <v>-79246.16</v>
      </c>
      <c r="I1492" s="14" t="n">
        <v>79001.90000000001</v>
      </c>
      <c r="J1492" s="14" t="n">
        <v>-244.2600000000093</v>
      </c>
      <c r="K1492" s="21" t="n">
        <v>46043.43637731481</v>
      </c>
      <c r="L1492" s="21" t="n">
        <v>46042</v>
      </c>
      <c r="M1492" s="8" t="inlineStr"/>
      <c r="N1492" s="8" t="inlineStr">
        <is>
          <t>Бухгалтер + менеджер субагента</t>
        </is>
      </c>
      <c r="O1492" s="8" t="inlineStr">
        <is>
          <t>d.mambetova</t>
        </is>
      </c>
      <c r="P1492" s="12" t="inlineStr">
        <is>
          <t>Реестр не подтверждает ни 1С, ни ETM (либо состав группы неоднозначен) — нужна проверка</t>
        </is>
      </c>
      <c r="Q1492" s="8" t="inlineStr">
        <is>
          <t>57041337</t>
        </is>
      </c>
    </row>
    <row r="1493">
      <c r="A1493" s="8" t="inlineStr">
        <is>
          <t>G09792</t>
        </is>
      </c>
      <c r="B1493" s="8" t="inlineStr">
        <is>
          <t>Кадырова Айнура Жумабекевна</t>
        </is>
      </c>
      <c r="C1493" s="8" t="inlineStr">
        <is>
          <t>2552673057|2552673060|2552673061</t>
        </is>
      </c>
      <c r="D1493" s="8" t="inlineStr">
        <is>
          <t>Сумма не сходится</t>
        </is>
      </c>
      <c r="E1493" s="8" t="inlineStr">
        <is>
          <t>Нужна проверка</t>
        </is>
      </c>
      <c r="F1493" s="8" t="inlineStr">
        <is>
          <t>C</t>
        </is>
      </c>
      <c r="G1493" s="14" t="n">
        <v>93562.5</v>
      </c>
      <c r="H1493" s="14" t="n">
        <v>-93318.75</v>
      </c>
      <c r="I1493" s="14" t="n"/>
      <c r="J1493" s="14" t="n">
        <v>243.75</v>
      </c>
      <c r="K1493" s="21" t="n">
        <v>46087.4546412037</v>
      </c>
      <c r="L1493" s="21" t="n">
        <v>46085</v>
      </c>
      <c r="M1493" s="8" t="inlineStr"/>
      <c r="N1493" s="8" t="inlineStr">
        <is>
          <t>Бухгалтер + менеджер субагента</t>
        </is>
      </c>
      <c r="O1493" s="8" t="inlineStr"/>
      <c r="P1493" s="12" t="inlineStr">
        <is>
          <t>Нет записи реестра (билет выписан субагентом сам) — определить виновного по данным нельзя</t>
        </is>
      </c>
      <c r="Q1493" s="8" t="inlineStr">
        <is>
          <t>57123951,57123960,57123919</t>
        </is>
      </c>
    </row>
    <row r="1494">
      <c r="A1494" s="8" t="inlineStr">
        <is>
          <t>G04169</t>
        </is>
      </c>
      <c r="B1494" s="8" t="inlineStr">
        <is>
          <t>Абдылда уулу Б.</t>
        </is>
      </c>
      <c r="C1494" s="8" t="inlineStr">
        <is>
          <t>2416946006|2416946007</t>
        </is>
      </c>
      <c r="D1494" s="8" t="inlineStr">
        <is>
          <t>Сумма не сходится</t>
        </is>
      </c>
      <c r="E1494" s="8" t="inlineStr">
        <is>
          <t>Нужна проверка</t>
        </is>
      </c>
      <c r="F1494" s="8" t="inlineStr">
        <is>
          <t>C</t>
        </is>
      </c>
      <c r="G1494" s="14" t="n">
        <v>80074.14</v>
      </c>
      <c r="H1494" s="14" t="n">
        <v>-80305.8</v>
      </c>
      <c r="I1494" s="14" t="n">
        <v>80074.14</v>
      </c>
      <c r="J1494" s="14" t="n">
        <v>-231.6600000000035</v>
      </c>
      <c r="K1494" s="21" t="n">
        <v>46191.62048611111</v>
      </c>
      <c r="L1494" s="21" t="n">
        <v>46189</v>
      </c>
      <c r="M1494" s="8" t="inlineStr"/>
      <c r="N1494" s="8" t="inlineStr">
        <is>
          <t>Бухгалтер + менеджер субагента</t>
        </is>
      </c>
      <c r="O1494" s="8" t="inlineStr">
        <is>
          <t>a.toktosunova</t>
        </is>
      </c>
      <c r="P1494" s="12" t="inlineStr">
        <is>
          <t>Реестр не подтверждает ни 1С, ни ETM (либо состав группы неоднозначен) — нужна проверка</t>
        </is>
      </c>
      <c r="Q1494" s="8" t="inlineStr">
        <is>
          <t>57374253,57374226</t>
        </is>
      </c>
    </row>
    <row r="1495">
      <c r="A1495" s="8" t="inlineStr">
        <is>
          <t>G07442</t>
        </is>
      </c>
      <c r="B1495" s="8" t="inlineStr">
        <is>
          <t>Жибек Эйр</t>
        </is>
      </c>
      <c r="C1495" s="8" t="inlineStr">
        <is>
          <t>2559103041|2559103042</t>
        </is>
      </c>
      <c r="D1495" s="8" t="inlineStr">
        <is>
          <t>Сумма не сходится</t>
        </is>
      </c>
      <c r="E1495" s="8" t="inlineStr">
        <is>
          <t>Нужна проверка</t>
        </is>
      </c>
      <c r="F1495" s="8" t="inlineStr">
        <is>
          <t>C</t>
        </is>
      </c>
      <c r="G1495" s="14" t="n">
        <v>49406.5</v>
      </c>
      <c r="H1495" s="14" t="n">
        <v>-49637.5</v>
      </c>
      <c r="I1495" s="14" t="n">
        <v>49406.5</v>
      </c>
      <c r="J1495" s="14" t="n">
        <v>-231</v>
      </c>
      <c r="K1495" s="21" t="n">
        <v>46190.48013888889</v>
      </c>
      <c r="L1495" s="21" t="n">
        <v>46189</v>
      </c>
      <c r="M1495" s="8" t="inlineStr"/>
      <c r="N1495" s="8" t="inlineStr">
        <is>
          <t>Бухгалтер + менеджер субагента</t>
        </is>
      </c>
      <c r="O1495" s="8" t="inlineStr">
        <is>
          <t>g.omurbekova</t>
        </is>
      </c>
      <c r="P1495" s="12" t="inlineStr">
        <is>
          <t>Реестр не подтверждает ни 1С, ни ETM (либо состав группы неоднозначен) — нужна проверка</t>
        </is>
      </c>
      <c r="Q1495" s="8" t="inlineStr">
        <is>
          <t>57373847,57373828</t>
        </is>
      </c>
    </row>
    <row r="1496">
      <c r="A1496" s="8" t="inlineStr">
        <is>
          <t>G06500</t>
        </is>
      </c>
      <c r="B1496" s="8" t="inlineStr">
        <is>
          <t>Джолдош уулу Эмир</t>
        </is>
      </c>
      <c r="C1496" s="8" t="inlineStr">
        <is>
          <t>2559101262|2559101264|2559101266|2559101267</t>
        </is>
      </c>
      <c r="D1496" s="8" t="inlineStr">
        <is>
          <t>Сумма не сходится</t>
        </is>
      </c>
      <c r="E1496" s="8" t="inlineStr">
        <is>
          <t>Нужна проверка</t>
        </is>
      </c>
      <c r="F1496" s="8" t="inlineStr">
        <is>
          <t>C</t>
        </is>
      </c>
      <c r="G1496" s="14" t="n">
        <v>158718.04</v>
      </c>
      <c r="H1496" s="14" t="n">
        <v>-158487.68</v>
      </c>
      <c r="I1496" s="14" t="n"/>
      <c r="J1496" s="14" t="n">
        <v>230.3600000000151</v>
      </c>
      <c r="K1496" s="21" t="n">
        <v>46198.43196759259</v>
      </c>
      <c r="L1496" s="21" t="n">
        <v>46197</v>
      </c>
      <c r="M1496" s="8" t="inlineStr"/>
      <c r="N1496" s="8" t="inlineStr">
        <is>
          <t>Бухгалтер + менеджер субагента</t>
        </is>
      </c>
      <c r="O1496" s="8" t="inlineStr"/>
      <c r="P1496" s="12" t="inlineStr">
        <is>
          <t>Нет записи реестра (билет выписан субагентом сам) — определить виновного по данным нельзя</t>
        </is>
      </c>
      <c r="Q1496" s="8" t="inlineStr">
        <is>
          <t>57396468,57396506,57396538,57396449</t>
        </is>
      </c>
    </row>
    <row r="1497">
      <c r="A1497" s="8" t="inlineStr">
        <is>
          <t>G14452</t>
        </is>
      </c>
      <c r="B1497" s="8" t="inlineStr">
        <is>
          <t>ЧОЛПОН ЭЙР</t>
        </is>
      </c>
      <c r="C1497" s="8" t="inlineStr">
        <is>
          <t>2559103958</t>
        </is>
      </c>
      <c r="D1497" s="8" t="inlineStr">
        <is>
          <t>Сумма не сходится</t>
        </is>
      </c>
      <c r="E1497" s="8" t="inlineStr">
        <is>
          <t>Нужна проверка</t>
        </is>
      </c>
      <c r="F1497" s="8" t="inlineStr">
        <is>
          <t>C</t>
        </is>
      </c>
      <c r="G1497" s="14" t="n">
        <v>59626.71</v>
      </c>
      <c r="H1497" s="14" t="n">
        <v>-59396.7</v>
      </c>
      <c r="I1497" s="14" t="n">
        <v>59626.71</v>
      </c>
      <c r="J1497" s="14" t="n">
        <v>230.010000000002</v>
      </c>
      <c r="K1497" s="21" t="n">
        <v>46035.74384259259</v>
      </c>
      <c r="L1497" s="21" t="n">
        <v>46034</v>
      </c>
      <c r="M1497" s="8" t="inlineStr"/>
      <c r="N1497" s="8" t="inlineStr">
        <is>
          <t>Бухгалтер + менеджер субагента</t>
        </is>
      </c>
      <c r="O1497" s="8" t="inlineStr">
        <is>
          <t>e.satarov</t>
        </is>
      </c>
      <c r="P1497" s="12" t="inlineStr">
        <is>
          <t>Реестр не подтверждает ни 1С, ни ETM (либо состав группы неоднозначен) — нужна проверка</t>
        </is>
      </c>
      <c r="Q1497" s="8" t="inlineStr">
        <is>
          <t>57023480</t>
        </is>
      </c>
    </row>
    <row r="1498">
      <c r="A1498" s="8" t="inlineStr">
        <is>
          <t>G03896</t>
        </is>
      </c>
      <c r="B1498" s="8" t="inlineStr">
        <is>
          <t>Sunrise Tours</t>
        </is>
      </c>
      <c r="C1498" s="8" t="inlineStr">
        <is>
          <t>2416943852|2416943854|2416943856</t>
        </is>
      </c>
      <c r="D1498" s="8" t="inlineStr">
        <is>
          <t>Сумма не сходится</t>
        </is>
      </c>
      <c r="E1498" s="8" t="inlineStr">
        <is>
          <t>Нужна проверка</t>
        </is>
      </c>
      <c r="F1498" s="8" t="inlineStr">
        <is>
          <t>C</t>
        </is>
      </c>
      <c r="G1498" s="14" t="n">
        <v>76125.60000000001</v>
      </c>
      <c r="H1498" s="14" t="n">
        <v>-75898.62</v>
      </c>
      <c r="I1498" s="14" t="n">
        <v>76125.60000000001</v>
      </c>
      <c r="J1498" s="14" t="n">
        <v>226.9800000000105</v>
      </c>
      <c r="K1498" s="21" t="n">
        <v>46092.5505324074</v>
      </c>
      <c r="L1498" s="21" t="n">
        <v>46091</v>
      </c>
      <c r="M1498" s="8" t="inlineStr"/>
      <c r="N1498" s="8" t="inlineStr">
        <is>
          <t>Бухгалтер + менеджер субагента</t>
        </is>
      </c>
      <c r="O1498" s="8" t="inlineStr">
        <is>
          <t>e.satarov</t>
        </is>
      </c>
      <c r="P1498" s="12" t="inlineStr">
        <is>
          <t>Реестр не подтверждает ни 1С, ни ETM (либо состав группы неоднозначен) — нужна проверка</t>
        </is>
      </c>
      <c r="Q1498" s="8" t="inlineStr">
        <is>
          <t>57137520,57137555,57137581</t>
        </is>
      </c>
    </row>
    <row r="1499">
      <c r="A1499" s="8" t="inlineStr">
        <is>
          <t>G06524</t>
        </is>
      </c>
      <c r="B1499" s="8" t="inlineStr">
        <is>
          <t>Джолдошова Салтанат Сатаревна</t>
        </is>
      </c>
      <c r="C1499" s="8" t="inlineStr">
        <is>
          <t>2416943067|2416943069|2416943071</t>
        </is>
      </c>
      <c r="D1499" s="8" t="inlineStr">
        <is>
          <t>Сумма не сходится</t>
        </is>
      </c>
      <c r="E1499" s="8" t="inlineStr">
        <is>
          <t>Нужна проверка</t>
        </is>
      </c>
      <c r="F1499" s="8" t="inlineStr">
        <is>
          <t>C</t>
        </is>
      </c>
      <c r="G1499" s="14" t="n">
        <v>71469.06</v>
      </c>
      <c r="H1499" s="14" t="n">
        <v>-71692.64999999999</v>
      </c>
      <c r="I1499" s="14" t="n">
        <v>71469.06</v>
      </c>
      <c r="J1499" s="14" t="n">
        <v>-223.5899999999965</v>
      </c>
      <c r="K1499" s="21" t="n">
        <v>46089.38431712963</v>
      </c>
      <c r="L1499" s="21" t="n">
        <v>46087</v>
      </c>
      <c r="M1499" s="8" t="inlineStr"/>
      <c r="N1499" s="8" t="inlineStr">
        <is>
          <t>Бухгалтер + менеджер субагента</t>
        </is>
      </c>
      <c r="O1499" s="8" t="inlineStr">
        <is>
          <t>e.satarov</t>
        </is>
      </c>
      <c r="P1499" s="12" t="inlineStr">
        <is>
          <t>Реестр не подтверждает ни 1С, ни ETM (либо состав группы неоднозначен) — нужна проверка</t>
        </is>
      </c>
      <c r="Q1499" s="8" t="inlineStr">
        <is>
          <t>57127567,57127529,57127556</t>
        </is>
      </c>
    </row>
    <row r="1500">
      <c r="A1500" s="8" t="inlineStr">
        <is>
          <t>G11581</t>
        </is>
      </c>
      <c r="B1500" s="8" t="inlineStr">
        <is>
          <t>ОсОО Кара-Кол Трип</t>
        </is>
      </c>
      <c r="C1500" s="8" t="inlineStr">
        <is>
          <t>2552669437</t>
        </is>
      </c>
      <c r="D1500" s="8" t="inlineStr">
        <is>
          <t>Сумма не сходится</t>
        </is>
      </c>
      <c r="E1500" s="8" t="inlineStr">
        <is>
          <t>Нужна проверка</t>
        </is>
      </c>
      <c r="F1500" s="8" t="inlineStr">
        <is>
          <t>C</t>
        </is>
      </c>
      <c r="G1500" s="14" t="n">
        <v>43114.8</v>
      </c>
      <c r="H1500" s="14" t="n">
        <v>-43338</v>
      </c>
      <c r="I1500" s="14" t="n"/>
      <c r="J1500" s="14" t="n">
        <v>-223.1999999999971</v>
      </c>
      <c r="K1500" s="21" t="n">
        <v>46159.71658564815</v>
      </c>
      <c r="L1500" s="21" t="n">
        <v>46157</v>
      </c>
      <c r="M1500" s="8" t="inlineStr"/>
      <c r="N1500" s="8" t="inlineStr">
        <is>
          <t>Бухгалтер + менеджер субагента</t>
        </is>
      </c>
      <c r="O1500" s="8" t="inlineStr"/>
      <c r="P1500" s="12" t="inlineStr">
        <is>
          <t>Нет записи реестра (билет выписан субагентом сам) — определить виновного по данным нельзя</t>
        </is>
      </c>
      <c r="Q1500" s="8" t="inlineStr">
        <is>
          <t>57286389</t>
        </is>
      </c>
    </row>
    <row r="1501">
      <c r="A1501" s="8" t="inlineStr">
        <is>
          <t>G05622</t>
        </is>
      </c>
      <c r="B1501" s="8" t="inlineStr">
        <is>
          <t>Ак-Куу Тур</t>
        </is>
      </c>
      <c r="C1501" s="8" t="inlineStr">
        <is>
          <t>2476319364</t>
        </is>
      </c>
      <c r="D1501" s="8" t="inlineStr">
        <is>
          <t>Сумма не сходится</t>
        </is>
      </c>
      <c r="E1501" s="8" t="inlineStr">
        <is>
          <t>Нужна проверка</t>
        </is>
      </c>
      <c r="F1501" s="8" t="inlineStr">
        <is>
          <t>C</t>
        </is>
      </c>
      <c r="G1501" s="14" t="n">
        <v>22691.7</v>
      </c>
      <c r="H1501" s="14" t="n">
        <v>-22913.4</v>
      </c>
      <c r="I1501" s="14" t="n"/>
      <c r="J1501" s="14" t="n">
        <v>-221.7000000000007</v>
      </c>
      <c r="K1501" s="21" t="n">
        <v>46213.66872685185</v>
      </c>
      <c r="L1501" s="21" t="n">
        <v>46212</v>
      </c>
      <c r="M1501" s="8" t="inlineStr"/>
      <c r="N1501" s="8" t="inlineStr">
        <is>
          <t>Бухгалтер + менеджер субагента</t>
        </is>
      </c>
      <c r="O1501" s="8" t="inlineStr"/>
      <c r="P1501" s="12" t="inlineStr">
        <is>
          <t>Нет записи реестра (билет выписан субагентом сам) — определить виновного по данным нельзя</t>
        </is>
      </c>
      <c r="Q1501" s="8" t="inlineStr">
        <is>
          <t>57445938</t>
        </is>
      </c>
    </row>
    <row r="1502">
      <c r="A1502" s="8" t="inlineStr">
        <is>
          <t>G10619</t>
        </is>
      </c>
      <c r="B1502" s="8" t="inlineStr">
        <is>
          <t>Манас Тур</t>
        </is>
      </c>
      <c r="C1502" s="8" t="inlineStr">
        <is>
          <t>2559099803</t>
        </is>
      </c>
      <c r="D1502" s="8" t="inlineStr">
        <is>
          <t>Сумма не сходится</t>
        </is>
      </c>
      <c r="E1502" s="8" t="inlineStr">
        <is>
          <t>Нужна проверка</t>
        </is>
      </c>
      <c r="F1502" s="8" t="inlineStr">
        <is>
          <t>C</t>
        </is>
      </c>
      <c r="G1502" s="14" t="n">
        <v>50561.44</v>
      </c>
      <c r="H1502" s="14" t="n">
        <v>-50778.8</v>
      </c>
      <c r="I1502" s="14" t="n"/>
      <c r="J1502" s="14" t="n">
        <v>-217.3600000000006</v>
      </c>
      <c r="K1502" s="21" t="n">
        <v>46151.71857638889</v>
      </c>
      <c r="L1502" s="21" t="n">
        <v>46150</v>
      </c>
      <c r="M1502" s="8" t="inlineStr"/>
      <c r="N1502" s="8" t="inlineStr">
        <is>
          <t>Бухгалтер + менеджер субагента</t>
        </is>
      </c>
      <c r="O1502" s="8" t="inlineStr"/>
      <c r="P1502" s="12" t="inlineStr">
        <is>
          <t>Нет записи реестра (билет выписан субагентом сам) — определить виновного по данным нельзя</t>
        </is>
      </c>
      <c r="Q1502" s="8" t="inlineStr">
        <is>
          <t>57264135</t>
        </is>
      </c>
    </row>
    <row r="1503">
      <c r="A1503" s="8" t="inlineStr">
        <is>
          <t>G13204</t>
        </is>
      </c>
      <c r="B1503" s="8" t="inlineStr">
        <is>
          <t>Сатар уулу Санжар</t>
        </is>
      </c>
      <c r="C1503" s="8" t="inlineStr">
        <is>
          <t>2476315659</t>
        </is>
      </c>
      <c r="D1503" s="8" t="inlineStr">
        <is>
          <t>Сумма не сходится</t>
        </is>
      </c>
      <c r="E1503" s="8" t="inlineStr">
        <is>
          <t>Нужна проверка</t>
        </is>
      </c>
      <c r="F1503" s="8" t="inlineStr">
        <is>
          <t>C</t>
        </is>
      </c>
      <c r="G1503" s="14" t="n">
        <v>22166.64</v>
      </c>
      <c r="H1503" s="14" t="n">
        <v>-21949.32</v>
      </c>
      <c r="I1503" s="14" t="n"/>
      <c r="J1503" s="14" t="n">
        <v>217.3199999999997</v>
      </c>
      <c r="K1503" s="21" t="n">
        <v>46211.80179398148</v>
      </c>
      <c r="L1503" s="21" t="n">
        <v>46209</v>
      </c>
      <c r="M1503" s="8" t="inlineStr"/>
      <c r="N1503" s="8" t="inlineStr">
        <is>
          <t>Бухгалтер + менеджер субагента</t>
        </is>
      </c>
      <c r="O1503" s="8" t="inlineStr"/>
      <c r="P1503" s="12" t="inlineStr">
        <is>
          <t>Нет записи реестра (билет выписан субагентом сам) — определить виновного по данным нельзя</t>
        </is>
      </c>
      <c r="Q1503" s="8" t="inlineStr">
        <is>
          <t>57433848</t>
        </is>
      </c>
    </row>
    <row r="1504">
      <c r="A1504" s="8" t="inlineStr">
        <is>
          <t>G08248</t>
        </is>
      </c>
      <c r="B1504" s="8" t="inlineStr">
        <is>
          <t>ИП Мамбетова Ч. Э.</t>
        </is>
      </c>
      <c r="C1504" s="8" t="inlineStr">
        <is>
          <t>2420845405|2420845407</t>
        </is>
      </c>
      <c r="D1504" s="8" t="inlineStr">
        <is>
          <t>Сумма не сходится</t>
        </is>
      </c>
      <c r="E1504" s="8" t="inlineStr">
        <is>
          <t>Нужна проверка</t>
        </is>
      </c>
      <c r="F1504" s="8" t="inlineStr">
        <is>
          <t>C</t>
        </is>
      </c>
      <c r="G1504" s="14" t="n">
        <v>45888.08</v>
      </c>
      <c r="H1504" s="14" t="n">
        <v>-46104.92</v>
      </c>
      <c r="I1504" s="14" t="n">
        <v>45888.0878</v>
      </c>
      <c r="J1504" s="14" t="n">
        <v>-216.8399999999965</v>
      </c>
      <c r="K1504" s="21" t="n">
        <v>46090.76072916666</v>
      </c>
      <c r="L1504" s="21" t="n">
        <v>46088</v>
      </c>
      <c r="M1504" s="8" t="inlineStr"/>
      <c r="N1504" s="8" t="inlineStr">
        <is>
          <t>Бухгалтер + менеджер субагента</t>
        </is>
      </c>
      <c r="O1504" s="8" t="inlineStr">
        <is>
          <t>k.dzhumaev</t>
        </is>
      </c>
      <c r="P1504" s="12" t="inlineStr">
        <is>
          <t>Реестр не подтверждает ни 1С, ни ETM (либо состав группы неоднозначен) — нужна проверка</t>
        </is>
      </c>
      <c r="Q1504" s="8" t="inlineStr">
        <is>
          <t>57129810</t>
        </is>
      </c>
    </row>
    <row r="1505">
      <c r="A1505" s="8" t="inlineStr">
        <is>
          <t>G05404</t>
        </is>
      </c>
      <c r="B1505" s="8" t="inlineStr">
        <is>
          <t>Ак-Куу Авиа</t>
        </is>
      </c>
      <c r="C1505" s="8" t="inlineStr">
        <is>
          <t>2559101098|2559101101</t>
        </is>
      </c>
      <c r="D1505" s="8" t="inlineStr">
        <is>
          <t>Сумма не сходится</t>
        </is>
      </c>
      <c r="E1505" s="8" t="inlineStr">
        <is>
          <t>Нужна проверка</t>
        </is>
      </c>
      <c r="F1505" s="8" t="inlineStr">
        <is>
          <t>C</t>
        </is>
      </c>
      <c r="G1505" s="14" t="n">
        <v>60765.18</v>
      </c>
      <c r="H1505" s="14" t="n">
        <v>-60980.54</v>
      </c>
      <c r="I1505" s="14" t="n">
        <v>60765.17000000001</v>
      </c>
      <c r="J1505" s="14" t="n">
        <v>-215.3600000000006</v>
      </c>
      <c r="K1505" s="21" t="n">
        <v>46209.69356481481</v>
      </c>
      <c r="L1505" s="21" t="n">
        <v>46208</v>
      </c>
      <c r="M1505" s="8" t="inlineStr"/>
      <c r="N1505" s="8" t="inlineStr">
        <is>
          <t>Бухгалтер + менеджер субагента</t>
        </is>
      </c>
      <c r="O1505" s="8" t="inlineStr">
        <is>
          <t>e.satarov</t>
        </is>
      </c>
      <c r="P1505" s="12" t="inlineStr">
        <is>
          <t>Реестр не подтверждает ни 1С, ни ETM (либо состав группы неоднозначен) — нужна проверка</t>
        </is>
      </c>
      <c r="Q1505" s="8" t="inlineStr">
        <is>
          <t>57431784</t>
        </is>
      </c>
    </row>
    <row r="1506">
      <c r="A1506" s="8" t="inlineStr">
        <is>
          <t>G12720</t>
        </is>
      </c>
      <c r="B1506" s="8" t="inlineStr">
        <is>
          <t>Салам Авиакасса</t>
        </is>
      </c>
      <c r="C1506" s="8" t="inlineStr">
        <is>
          <t>2559103760</t>
        </is>
      </c>
      <c r="D1506" s="8" t="inlineStr">
        <is>
          <t>Сумма не сходится</t>
        </is>
      </c>
      <c r="E1506" s="8" t="inlineStr">
        <is>
          <t>Нужна проверка</t>
        </is>
      </c>
      <c r="F1506" s="8" t="inlineStr">
        <is>
          <t>C</t>
        </is>
      </c>
      <c r="G1506" s="14" t="n">
        <v>49086</v>
      </c>
      <c r="H1506" s="14" t="n">
        <v>-48871.68</v>
      </c>
      <c r="I1506" s="14" t="n">
        <v>49086</v>
      </c>
      <c r="J1506" s="14" t="n">
        <v>214.3199999999997</v>
      </c>
      <c r="K1506" s="21" t="n">
        <v>46096.62688657407</v>
      </c>
      <c r="L1506" s="21" t="n">
        <v>46094</v>
      </c>
      <c r="M1506" s="8" t="inlineStr"/>
      <c r="N1506" s="8" t="inlineStr">
        <is>
          <t>Бухгалтер + менеджер субагента</t>
        </is>
      </c>
      <c r="O1506" s="8" t="inlineStr">
        <is>
          <t>n.abdyldaeva</t>
        </is>
      </c>
      <c r="P1506" s="12" t="inlineStr">
        <is>
          <t>Реестр не подтверждает ни 1С, ни ETM (либо состав группы неоднозначен) — нужна проверка</t>
        </is>
      </c>
      <c r="Q1506" s="8" t="inlineStr">
        <is>
          <t>57146346</t>
        </is>
      </c>
    </row>
    <row r="1507">
      <c r="A1507" s="8" t="inlineStr">
        <is>
          <t>G08013</t>
        </is>
      </c>
      <c r="B1507" s="8" t="inlineStr">
        <is>
          <t>ИП Бейшенова Д. О.</t>
        </is>
      </c>
      <c r="C1507" s="8" t="inlineStr">
        <is>
          <t>2552669063</t>
        </is>
      </c>
      <c r="D1507" s="8" t="inlineStr">
        <is>
          <t>Сумма не сходится</t>
        </is>
      </c>
      <c r="E1507" s="8" t="inlineStr">
        <is>
          <t>Нужна проверка</t>
        </is>
      </c>
      <c r="F1507" s="8" t="inlineStr">
        <is>
          <t>C</t>
        </is>
      </c>
      <c r="G1507" s="14" t="n">
        <v>46777.83</v>
      </c>
      <c r="H1507" s="14" t="n">
        <v>-46982.69</v>
      </c>
      <c r="I1507" s="14" t="n">
        <v>46777.8325</v>
      </c>
      <c r="J1507" s="14" t="n">
        <v>-204.8600000000006</v>
      </c>
      <c r="K1507" s="21" t="n">
        <v>46087.54690972222</v>
      </c>
      <c r="L1507" s="21" t="n">
        <v>46086</v>
      </c>
      <c r="M1507" s="8" t="inlineStr"/>
      <c r="N1507" s="8" t="inlineStr">
        <is>
          <t>Бухгалтер + менеджер субагента</t>
        </is>
      </c>
      <c r="O1507" s="8" t="inlineStr">
        <is>
          <t>g.omurbekova</t>
        </is>
      </c>
      <c r="P1507" s="12" t="inlineStr">
        <is>
          <t>Реестр не подтверждает ни 1С, ни ETM (либо состав группы неоднозначен) — нужна проверка</t>
        </is>
      </c>
      <c r="Q1507" s="8" t="inlineStr">
        <is>
          <t>57125034</t>
        </is>
      </c>
    </row>
    <row r="1508">
      <c r="A1508" s="8" t="inlineStr">
        <is>
          <t>G07666</t>
        </is>
      </c>
      <c r="B1508" s="8" t="inlineStr">
        <is>
          <t>Жумабек кызы Умут</t>
        </is>
      </c>
      <c r="C1508" s="8" t="inlineStr">
        <is>
          <t>2559098574</t>
        </is>
      </c>
      <c r="D1508" s="8" t="inlineStr">
        <is>
          <t>Сумма не сходится</t>
        </is>
      </c>
      <c r="E1508" s="8" t="inlineStr">
        <is>
          <t>Нужна проверка</t>
        </is>
      </c>
      <c r="F1508" s="8" t="inlineStr">
        <is>
          <t>C</t>
        </is>
      </c>
      <c r="G1508" s="14" t="n">
        <v>8563.660000000003</v>
      </c>
      <c r="H1508" s="14" t="n">
        <v>-8765</v>
      </c>
      <c r="I1508" s="14" t="n"/>
      <c r="J1508" s="14" t="n">
        <v>-201.3399999999965</v>
      </c>
      <c r="K1508" s="21" t="n">
        <v>46158.58166666667</v>
      </c>
      <c r="L1508" s="21" t="n">
        <v>46157</v>
      </c>
      <c r="M1508" s="8" t="inlineStr"/>
      <c r="N1508" s="8" t="inlineStr">
        <is>
          <t>Бухгалтер + менеджер субагента</t>
        </is>
      </c>
      <c r="O1508" s="8" t="inlineStr"/>
      <c r="P1508" s="12" t="inlineStr">
        <is>
          <t>Нет записи реестра (билет выписан субагентом сам) — определить виновного по данным нельзя</t>
        </is>
      </c>
      <c r="Q1508" s="8" t="inlineStr">
        <is>
          <t>57285512,57382625</t>
        </is>
      </c>
    </row>
    <row r="1509">
      <c r="A1509" s="8" t="inlineStr">
        <is>
          <t>G04133</t>
        </is>
      </c>
      <c r="B1509" s="8" t="inlineStr">
        <is>
          <t>Абдылда уулу Б.</t>
        </is>
      </c>
      <c r="C1509" s="8" t="inlineStr">
        <is>
          <t>2416942816</t>
        </is>
      </c>
      <c r="D1509" s="8" t="inlineStr">
        <is>
          <t>Сумма не сходится</t>
        </is>
      </c>
      <c r="E1509" s="8" t="inlineStr">
        <is>
          <t>Нужна проверка</t>
        </is>
      </c>
      <c r="F1509" s="8" t="inlineStr">
        <is>
          <t>C</t>
        </is>
      </c>
      <c r="G1509" s="14" t="n">
        <v>42512.5</v>
      </c>
      <c r="H1509" s="14" t="n">
        <v>-42712</v>
      </c>
      <c r="I1509" s="14" t="n">
        <v>42512.5</v>
      </c>
      <c r="J1509" s="14" t="n">
        <v>-199.5</v>
      </c>
      <c r="K1509" s="21" t="n">
        <v>46206.39923611111</v>
      </c>
      <c r="L1509" s="21" t="n">
        <v>46205</v>
      </c>
      <c r="M1509" s="8" t="inlineStr"/>
      <c r="N1509" s="8" t="inlineStr">
        <is>
          <t>Бухгалтер + менеджер субагента</t>
        </is>
      </c>
      <c r="O1509" s="8" t="inlineStr">
        <is>
          <t>n.abdyldaeva</t>
        </is>
      </c>
      <c r="P1509" s="12" t="inlineStr">
        <is>
          <t>Реестр не подтверждает ни 1С, ни ETM (либо состав группы неоднозначен) — нужна проверка</t>
        </is>
      </c>
      <c r="Q1509" s="8" t="inlineStr">
        <is>
          <t>57420891</t>
        </is>
      </c>
    </row>
    <row r="1510">
      <c r="A1510" s="8" t="inlineStr">
        <is>
          <t>G12603</t>
        </is>
      </c>
      <c r="B1510" s="8" t="inlineStr">
        <is>
          <t>Салам Авиакасса</t>
        </is>
      </c>
      <c r="C1510" s="8" t="inlineStr">
        <is>
          <t>2420846654|2420846655</t>
        </is>
      </c>
      <c r="D1510" s="8" t="inlineStr">
        <is>
          <t>Сумма не сходится</t>
        </is>
      </c>
      <c r="E1510" s="8" t="inlineStr">
        <is>
          <t>Нужна проверка</t>
        </is>
      </c>
      <c r="F1510" s="8" t="inlineStr">
        <is>
          <t>C</t>
        </is>
      </c>
      <c r="G1510" s="14" t="n">
        <v>59174.86</v>
      </c>
      <c r="H1510" s="14" t="n">
        <v>-58979.04</v>
      </c>
      <c r="I1510" s="14" t="n">
        <v>59174.8696</v>
      </c>
      <c r="J1510" s="14" t="n">
        <v>195.8199999999997</v>
      </c>
      <c r="K1510" s="21" t="n">
        <v>46194.52079861111</v>
      </c>
      <c r="L1510" s="21" t="n">
        <v>46193</v>
      </c>
      <c r="M1510" s="8" t="inlineStr"/>
      <c r="N1510" s="8" t="inlineStr">
        <is>
          <t>Бухгалтер + менеджер субагента</t>
        </is>
      </c>
      <c r="O1510" s="8" t="inlineStr">
        <is>
          <t>r.sydykov</t>
        </is>
      </c>
      <c r="P1510" s="12" t="inlineStr">
        <is>
          <t>Реестр не подтверждает ни 1С, ни ETM (либо состав группы неоднозначен) — нужна проверка</t>
        </is>
      </c>
      <c r="Q1510" s="8" t="inlineStr">
        <is>
          <t>57384293</t>
        </is>
      </c>
    </row>
    <row r="1511">
      <c r="A1511" s="8" t="inlineStr">
        <is>
          <t>G11626</t>
        </is>
      </c>
      <c r="B1511" s="8" t="inlineStr">
        <is>
          <t>ОсОО Кок-Жайык Вояж</t>
        </is>
      </c>
      <c r="C1511" s="8" t="inlineStr">
        <is>
          <t>2416945927</t>
        </is>
      </c>
      <c r="D1511" s="8" t="inlineStr">
        <is>
          <t>Сумма не сходится</t>
        </is>
      </c>
      <c r="E1511" s="8" t="inlineStr">
        <is>
          <t>Нужна проверка</t>
        </is>
      </c>
      <c r="F1511" s="8" t="inlineStr">
        <is>
          <t>C</t>
        </is>
      </c>
      <c r="G1511" s="14" t="n">
        <v>26458.52</v>
      </c>
      <c r="H1511" s="14" t="n">
        <v>-26266.2</v>
      </c>
      <c r="I1511" s="14" t="n"/>
      <c r="J1511" s="14" t="n">
        <v>192.3199999999997</v>
      </c>
      <c r="K1511" s="21" t="n">
        <v>46065.40462962963</v>
      </c>
      <c r="L1511" s="21" t="n">
        <v>46063</v>
      </c>
      <c r="M1511" s="8" t="inlineStr"/>
      <c r="N1511" s="8" t="inlineStr">
        <is>
          <t>Бухгалтер + менеджер субагента</t>
        </is>
      </c>
      <c r="O1511" s="8" t="inlineStr"/>
      <c r="P1511" s="12" t="inlineStr">
        <is>
          <t>Нет записи реестра (билет выписан субагентом сам) — определить виновного по данным нельзя</t>
        </is>
      </c>
      <c r="Q1511" s="8" t="inlineStr">
        <is>
          <t>57083907</t>
        </is>
      </c>
    </row>
    <row r="1512">
      <c r="A1512" s="8" t="inlineStr">
        <is>
          <t>G01804</t>
        </is>
      </c>
      <c r="B1512" s="8" t="inlineStr">
        <is>
          <t>Karakol Express</t>
        </is>
      </c>
      <c r="C1512" s="8" t="inlineStr">
        <is>
          <t>2552669575|2552669576|2552669577</t>
        </is>
      </c>
      <c r="D1512" s="8" t="inlineStr">
        <is>
          <t>Сумма не сходится</t>
        </is>
      </c>
      <c r="E1512" s="8" t="inlineStr">
        <is>
          <t>Нужна проверка</t>
        </is>
      </c>
      <c r="F1512" s="8" t="inlineStr">
        <is>
          <t>C</t>
        </is>
      </c>
      <c r="G1512" s="14" t="n">
        <v>80814.17999999999</v>
      </c>
      <c r="H1512" s="14" t="n">
        <v>-81005.39999999999</v>
      </c>
      <c r="I1512" s="14" t="n"/>
      <c r="J1512" s="14" t="n">
        <v>-191.2200000000012</v>
      </c>
      <c r="K1512" s="21" t="n">
        <v>46203.35611111111</v>
      </c>
      <c r="L1512" s="21" t="n">
        <v>46201</v>
      </c>
      <c r="M1512" s="8" t="inlineStr"/>
      <c r="N1512" s="8" t="inlineStr">
        <is>
          <t>Бухгалтер + менеджер субагента</t>
        </is>
      </c>
      <c r="O1512" s="8" t="inlineStr"/>
      <c r="P1512" s="12" t="inlineStr">
        <is>
          <t>Нет записи реестра (билет выписан субагентом сам) — определить виновного по данным нельзя</t>
        </is>
      </c>
      <c r="Q1512" s="8" t="inlineStr">
        <is>
          <t>57408588,57408580,57408584</t>
        </is>
      </c>
    </row>
    <row r="1513">
      <c r="A1513" s="8" t="inlineStr">
        <is>
          <t>G10441</t>
        </is>
      </c>
      <c r="B1513" s="8" t="inlineStr">
        <is>
          <t>Манас Тревел</t>
        </is>
      </c>
      <c r="C1513" s="8" t="inlineStr">
        <is>
          <t>2552671914|2552671915|2552671918</t>
        </is>
      </c>
      <c r="D1513" s="8" t="inlineStr">
        <is>
          <t>Сумма не сходится</t>
        </is>
      </c>
      <c r="E1513" s="8" t="inlineStr">
        <is>
          <t>Нужна проверка</t>
        </is>
      </c>
      <c r="F1513" s="8" t="inlineStr">
        <is>
          <t>C</t>
        </is>
      </c>
      <c r="G1513" s="14" t="n">
        <v>101939.73</v>
      </c>
      <c r="H1513" s="14" t="n">
        <v>-101750.34</v>
      </c>
      <c r="I1513" s="14" t="n">
        <v>101939.73</v>
      </c>
      <c r="J1513" s="14" t="n">
        <v>189.3899999999994</v>
      </c>
      <c r="K1513" s="21" t="n">
        <v>46229.54559027778</v>
      </c>
      <c r="L1513" s="21" t="n">
        <v>46228</v>
      </c>
      <c r="M1513" s="8" t="inlineStr"/>
      <c r="N1513" s="8" t="inlineStr">
        <is>
          <t>Бухгалтер + менеджер субагента</t>
        </is>
      </c>
      <c r="O1513" s="8" t="inlineStr">
        <is>
          <t>g.omurbekova</t>
        </is>
      </c>
      <c r="P1513" s="12" t="inlineStr">
        <is>
          <t>Реестр не подтверждает ни 1С, ни ETM (либо состав группы неоднозначен) — нужна проверка</t>
        </is>
      </c>
      <c r="Q1513" s="8" t="inlineStr">
        <is>
          <t>57487657,57487635,57487634</t>
        </is>
      </c>
    </row>
    <row r="1514">
      <c r="A1514" s="8" t="inlineStr">
        <is>
          <t>G09794</t>
        </is>
      </c>
      <c r="B1514" s="8" t="inlineStr">
        <is>
          <t>Кадырова Айнура Жумабекевна</t>
        </is>
      </c>
      <c r="C1514" s="8" t="inlineStr">
        <is>
          <t>2559098697</t>
        </is>
      </c>
      <c r="D1514" s="8" t="inlineStr">
        <is>
          <t>Сумма не сходится</t>
        </is>
      </c>
      <c r="E1514" s="8" t="inlineStr">
        <is>
          <t>Нужна проверка</t>
        </is>
      </c>
      <c r="F1514" s="8" t="inlineStr">
        <is>
          <t>C</t>
        </is>
      </c>
      <c r="G1514" s="14" t="n">
        <v>60573.16</v>
      </c>
      <c r="H1514" s="14" t="n">
        <v>-60384.23</v>
      </c>
      <c r="I1514" s="14" t="n">
        <v>60573.16</v>
      </c>
      <c r="J1514" s="14" t="n">
        <v>188.9300000000003</v>
      </c>
      <c r="K1514" s="21" t="n">
        <v>46223.7241087963</v>
      </c>
      <c r="L1514" s="21" t="n">
        <v>46222</v>
      </c>
      <c r="M1514" s="8" t="inlineStr"/>
      <c r="N1514" s="8" t="inlineStr">
        <is>
          <t>Бухгалтер + менеджер субагента</t>
        </is>
      </c>
      <c r="O1514" s="8" t="inlineStr">
        <is>
          <t>d.mambetova</t>
        </is>
      </c>
      <c r="P1514" s="12" t="inlineStr">
        <is>
          <t>Реестр не подтверждает ни 1С, ни ETM (либо состав группы неоднозначен) — нужна проверка</t>
        </is>
      </c>
      <c r="Q1514" s="8" t="inlineStr">
        <is>
          <t>57470370</t>
        </is>
      </c>
    </row>
    <row r="1515">
      <c r="A1515" s="8" t="inlineStr">
        <is>
          <t>G09874</t>
        </is>
      </c>
      <c r="B1515" s="8" t="inlineStr">
        <is>
          <t>Кенешова Чолпон Таалайовна</t>
        </is>
      </c>
      <c r="C1515" s="8" t="inlineStr">
        <is>
          <t>2476317628</t>
        </is>
      </c>
      <c r="D1515" s="8" t="inlineStr">
        <is>
          <t>Сумма не сходится</t>
        </is>
      </c>
      <c r="E1515" s="8" t="inlineStr">
        <is>
          <t>Нужна проверка</t>
        </is>
      </c>
      <c r="F1515" s="8" t="inlineStr">
        <is>
          <t>C</t>
        </is>
      </c>
      <c r="G1515" s="14" t="n">
        <v>20345.59</v>
      </c>
      <c r="H1515" s="14" t="n">
        <v>-20532.18</v>
      </c>
      <c r="I1515" s="14" t="n"/>
      <c r="J1515" s="14" t="n">
        <v>-186.5900000000001</v>
      </c>
      <c r="K1515" s="21" t="n">
        <v>46160.47004629629</v>
      </c>
      <c r="L1515" s="21" t="n">
        <v>46158</v>
      </c>
      <c r="M1515" s="8" t="inlineStr"/>
      <c r="N1515" s="8" t="inlineStr">
        <is>
          <t>Бухгалтер + менеджер субагента</t>
        </is>
      </c>
      <c r="O1515" s="8" t="inlineStr">
        <is>
          <t>b.isakov</t>
        </is>
      </c>
      <c r="P1515" s="12" t="inlineStr">
        <is>
          <t>Сумма реестра не разобрана/отсутствует — нужна проверка</t>
        </is>
      </c>
      <c r="Q1515" s="8" t="inlineStr">
        <is>
          <t>57290117</t>
        </is>
      </c>
    </row>
    <row r="1516">
      <c r="A1516" s="8" t="inlineStr">
        <is>
          <t>G08018</t>
        </is>
      </c>
      <c r="B1516" s="8" t="inlineStr">
        <is>
          <t>ИП Бейшенова Д. О.</t>
        </is>
      </c>
      <c r="C1516" s="8" t="inlineStr">
        <is>
          <t>2552671002</t>
        </is>
      </c>
      <c r="D1516" s="8" t="inlineStr">
        <is>
          <t>Сумма не сходится</t>
        </is>
      </c>
      <c r="E1516" s="8" t="inlineStr">
        <is>
          <t>Нужна проверка</t>
        </is>
      </c>
      <c r="F1516" s="8" t="inlineStr">
        <is>
          <t>C</t>
        </is>
      </c>
      <c r="G1516" s="14" t="n">
        <v>46071.76</v>
      </c>
      <c r="H1516" s="14" t="n">
        <v>-46257.2</v>
      </c>
      <c r="I1516" s="14" t="n">
        <v>46071.75999999999</v>
      </c>
      <c r="J1516" s="14" t="n">
        <v>-185.4399999999951</v>
      </c>
      <c r="K1516" s="21" t="n">
        <v>46182.70048611111</v>
      </c>
      <c r="L1516" s="21" t="n">
        <v>46181</v>
      </c>
      <c r="M1516" s="8" t="inlineStr"/>
      <c r="N1516" s="8" t="inlineStr">
        <is>
          <t>Бухгалтер + менеджер субагента</t>
        </is>
      </c>
      <c r="O1516" s="8" t="inlineStr">
        <is>
          <t>e.satarov</t>
        </is>
      </c>
      <c r="P1516" s="12" t="inlineStr">
        <is>
          <t>Реестр не подтверждает ни 1С, ни ETM (либо состав группы неоднозначен) — нужна проверка</t>
        </is>
      </c>
      <c r="Q1516" s="8" t="inlineStr">
        <is>
          <t>57352497</t>
        </is>
      </c>
    </row>
    <row r="1517">
      <c r="A1517" s="8" t="inlineStr">
        <is>
          <t>G13319</t>
        </is>
      </c>
      <c r="B1517" s="8" t="inlineStr">
        <is>
          <t>Сатар уулу Санжар</t>
        </is>
      </c>
      <c r="C1517" s="8" t="inlineStr">
        <is>
          <t>2559098458|2559098461|2559098463</t>
        </is>
      </c>
      <c r="D1517" s="8" t="inlineStr">
        <is>
          <t>Сумма не сходится</t>
        </is>
      </c>
      <c r="E1517" s="8" t="inlineStr">
        <is>
          <t>Нужна проверка</t>
        </is>
      </c>
      <c r="F1517" s="8" t="inlineStr">
        <is>
          <t>C</t>
        </is>
      </c>
      <c r="G1517" s="14" t="n">
        <v>68885.75999999999</v>
      </c>
      <c r="H1517" s="14" t="n">
        <v>-68706.84</v>
      </c>
      <c r="I1517" s="14" t="n"/>
      <c r="J1517" s="14" t="n">
        <v>178.9199999999983</v>
      </c>
      <c r="K1517" s="21" t="n">
        <v>46232.35030092593</v>
      </c>
      <c r="L1517" s="21" t="n">
        <v>46231</v>
      </c>
      <c r="M1517" s="8" t="inlineStr"/>
      <c r="N1517" s="8" t="inlineStr">
        <is>
          <t>Бухгалтер + менеджер субагента</t>
        </is>
      </c>
      <c r="O1517" s="8" t="inlineStr"/>
      <c r="P1517" s="12" t="inlineStr">
        <is>
          <t>Нет записи реестра (билет выписан субагентом сам) — определить виновного по данным нельзя</t>
        </is>
      </c>
      <c r="Q1517" s="8" t="inlineStr">
        <is>
          <t>57493697,57493717,57493727</t>
        </is>
      </c>
    </row>
    <row r="1518">
      <c r="A1518" s="8" t="inlineStr">
        <is>
          <t>G03713</t>
        </is>
      </c>
      <c r="B1518" s="8" t="inlineStr">
        <is>
          <t>SkyWay Travel</t>
        </is>
      </c>
      <c r="C1518" s="8" t="inlineStr">
        <is>
          <t>2559101815</t>
        </is>
      </c>
      <c r="D1518" s="8" t="inlineStr">
        <is>
          <t>Сумма не сходится</t>
        </is>
      </c>
      <c r="E1518" s="8" t="inlineStr">
        <is>
          <t>Нужна проверка</t>
        </is>
      </c>
      <c r="F1518" s="8" t="inlineStr">
        <is>
          <t>C</t>
        </is>
      </c>
      <c r="G1518" s="14" t="n">
        <v>41134.4</v>
      </c>
      <c r="H1518" s="14" t="n">
        <v>-41313</v>
      </c>
      <c r="I1518" s="14" t="n"/>
      <c r="J1518" s="14" t="n">
        <v>-178.5999999999985</v>
      </c>
      <c r="K1518" s="21" t="n">
        <v>46151.52025462963</v>
      </c>
      <c r="L1518" s="21" t="n">
        <v>46150</v>
      </c>
      <c r="M1518" s="8" t="inlineStr"/>
      <c r="N1518" s="8" t="inlineStr">
        <is>
          <t>Бухгалтер + менеджер субагента</t>
        </is>
      </c>
      <c r="O1518" s="8" t="inlineStr"/>
      <c r="P1518" s="12" t="inlineStr">
        <is>
          <t>Нет записи реестра (билет выписан субагентом сам) — определить виновного по данным нельзя</t>
        </is>
      </c>
      <c r="Q1518" s="8" t="inlineStr">
        <is>
          <t>57265170</t>
        </is>
      </c>
    </row>
    <row r="1519">
      <c r="A1519" s="8" t="inlineStr">
        <is>
          <t>G12572</t>
        </is>
      </c>
      <c r="B1519" s="8" t="inlineStr">
        <is>
          <t>Сагын кызы Б.</t>
        </is>
      </c>
      <c r="C1519" s="8" t="inlineStr">
        <is>
          <t>2552672524</t>
        </is>
      </c>
      <c r="D1519" s="8" t="inlineStr">
        <is>
          <t>Сумма не сходится</t>
        </is>
      </c>
      <c r="E1519" s="8" t="inlineStr">
        <is>
          <t>Нужна проверка</t>
        </is>
      </c>
      <c r="F1519" s="8" t="inlineStr">
        <is>
          <t>C</t>
        </is>
      </c>
      <c r="G1519" s="14" t="n">
        <v>45889.37</v>
      </c>
      <c r="H1519" s="14" t="n">
        <v>-46067.44</v>
      </c>
      <c r="I1519" s="14" t="n">
        <v>45889.37</v>
      </c>
      <c r="J1519" s="14" t="n">
        <v>-178.0699999999997</v>
      </c>
      <c r="K1519" s="21" t="n">
        <v>46234.69127314815</v>
      </c>
      <c r="L1519" s="21" t="n">
        <v>46233</v>
      </c>
      <c r="M1519" s="8" t="inlineStr"/>
      <c r="N1519" s="8" t="inlineStr">
        <is>
          <t>Бухгалтер + менеджер субагента</t>
        </is>
      </c>
      <c r="O1519" s="8" t="inlineStr">
        <is>
          <t>k.dzhumaev</t>
        </is>
      </c>
      <c r="P1519" s="12" t="inlineStr">
        <is>
          <t>Реестр не подтверждает ни 1С, ни ETM (либо состав группы неоднозначен) — нужна проверка</t>
        </is>
      </c>
      <c r="Q1519" s="8" t="inlineStr">
        <is>
          <t>57500740</t>
        </is>
      </c>
    </row>
    <row r="1520">
      <c r="A1520" s="8" t="inlineStr">
        <is>
          <t>G10440</t>
        </is>
      </c>
      <c r="B1520" s="8" t="inlineStr">
        <is>
          <t>Манас Тревел</t>
        </is>
      </c>
      <c r="C1520" s="8" t="inlineStr">
        <is>
          <t>2552671801|2552671804</t>
        </is>
      </c>
      <c r="D1520" s="8" t="inlineStr">
        <is>
          <t>Сумма не сходится</t>
        </is>
      </c>
      <c r="E1520" s="8" t="inlineStr">
        <is>
          <t>Нужна проверка</t>
        </is>
      </c>
      <c r="F1520" s="8" t="inlineStr">
        <is>
          <t>C</t>
        </is>
      </c>
      <c r="G1520" s="14" t="n">
        <v>38368.66</v>
      </c>
      <c r="H1520" s="14" t="n">
        <v>-38546.48</v>
      </c>
      <c r="I1520" s="14" t="n">
        <v>38368.665</v>
      </c>
      <c r="J1520" s="14" t="n">
        <v>-177.8199999999997</v>
      </c>
      <c r="K1520" s="21" t="n">
        <v>46150.62707175926</v>
      </c>
      <c r="L1520" s="21" t="n">
        <v>46148</v>
      </c>
      <c r="M1520" s="8" t="inlineStr"/>
      <c r="N1520" s="8" t="inlineStr">
        <is>
          <t>Бухгалтер + менеджер субагента</t>
        </is>
      </c>
      <c r="O1520" s="8" t="inlineStr">
        <is>
          <t>d.mambetova</t>
        </is>
      </c>
      <c r="P1520" s="12" t="inlineStr">
        <is>
          <t>Реестр не подтверждает ни 1С, ни ETM (либо состав группы неоднозначен) — нужна проверка</t>
        </is>
      </c>
      <c r="Q1520" s="8" t="inlineStr">
        <is>
          <t>57259278,57259315</t>
        </is>
      </c>
    </row>
    <row r="1521">
      <c r="A1521" s="8" t="inlineStr">
        <is>
          <t>G04546</t>
        </is>
      </c>
      <c r="B1521" s="8" t="inlineStr">
        <is>
          <t>Абдылдаов Д. М.</t>
        </is>
      </c>
      <c r="C1521" s="8" t="inlineStr">
        <is>
          <t>2416942115|2416942117</t>
        </is>
      </c>
      <c r="D1521" s="8" t="inlineStr">
        <is>
          <t>Сумма не сходится</t>
        </is>
      </c>
      <c r="E1521" s="8" t="inlineStr">
        <is>
          <t>Нужна проверка</t>
        </is>
      </c>
      <c r="F1521" s="8" t="inlineStr">
        <is>
          <t>C</t>
        </is>
      </c>
      <c r="G1521" s="14" t="n">
        <v>59557.6</v>
      </c>
      <c r="H1521" s="14" t="n">
        <v>-59380.02</v>
      </c>
      <c r="I1521" s="14" t="n"/>
      <c r="J1521" s="14" t="n">
        <v>177.5800000000017</v>
      </c>
      <c r="K1521" s="21" t="n">
        <v>46092.36390046297</v>
      </c>
      <c r="L1521" s="21" t="n">
        <v>46091</v>
      </c>
      <c r="M1521" s="8" t="inlineStr"/>
      <c r="N1521" s="8" t="inlineStr">
        <is>
          <t>Бухгалтер + менеджер субагента</t>
        </is>
      </c>
      <c r="O1521" s="8" t="inlineStr"/>
      <c r="P1521" s="12" t="inlineStr">
        <is>
          <t>Нет записи реестра (билет выписан субагентом сам) — определить виновного по данным нельзя</t>
        </is>
      </c>
      <c r="Q1521" s="8" t="inlineStr">
        <is>
          <t>57136861,57136838</t>
        </is>
      </c>
    </row>
    <row r="1522">
      <c r="A1522" s="8" t="inlineStr">
        <is>
          <t>G01050</t>
        </is>
      </c>
      <c r="B1522" s="8" t="inlineStr">
        <is>
          <t>Karakol Express</t>
        </is>
      </c>
      <c r="C1522" s="8" t="inlineStr">
        <is>
          <t>2416941358|2416941360|2416941363</t>
        </is>
      </c>
      <c r="D1522" s="8" t="inlineStr">
        <is>
          <t>Сумма не сходится</t>
        </is>
      </c>
      <c r="E1522" s="8" t="inlineStr">
        <is>
          <t>Нужна проверка</t>
        </is>
      </c>
      <c r="F1522" s="8" t="inlineStr">
        <is>
          <t>C</t>
        </is>
      </c>
      <c r="G1522" s="14" t="n">
        <v>110068.41</v>
      </c>
      <c r="H1522" s="14" t="n">
        <v>-109892.22</v>
      </c>
      <c r="I1522" s="14" t="n"/>
      <c r="J1522" s="14" t="n">
        <v>176.1900000000023</v>
      </c>
      <c r="K1522" s="21" t="n">
        <v>46149.38748842593</v>
      </c>
      <c r="L1522" s="21" t="n">
        <v>46148</v>
      </c>
      <c r="M1522" s="8" t="inlineStr"/>
      <c r="N1522" s="8" t="inlineStr">
        <is>
          <t>Бухгалтер + менеджер субагента</t>
        </is>
      </c>
      <c r="O1522" s="8" t="inlineStr"/>
      <c r="P1522" s="12" t="inlineStr">
        <is>
          <t>Нет записи реестра (билет выписан субагентом сам) — определить виновного по данным нельзя</t>
        </is>
      </c>
      <c r="Q1522" s="8" t="inlineStr">
        <is>
          <t>57257329,57257359,57257342</t>
        </is>
      </c>
    </row>
    <row r="1523">
      <c r="A1523" s="8" t="inlineStr">
        <is>
          <t>G09263</t>
        </is>
      </c>
      <c r="B1523" s="8" t="inlineStr">
        <is>
          <t>ИССЫК ТРИП</t>
        </is>
      </c>
      <c r="C1523" s="8" t="inlineStr">
        <is>
          <t>2552667694|2552667695</t>
        </is>
      </c>
      <c r="D1523" s="8" t="inlineStr">
        <is>
          <t>Сумма не сходится</t>
        </is>
      </c>
      <c r="E1523" s="8" t="inlineStr">
        <is>
          <t>Нужна проверка</t>
        </is>
      </c>
      <c r="F1523" s="8" t="inlineStr">
        <is>
          <t>C</t>
        </is>
      </c>
      <c r="G1523" s="14" t="n">
        <v>40101.98</v>
      </c>
      <c r="H1523" s="14" t="n">
        <v>-40277.54</v>
      </c>
      <c r="I1523" s="14" t="n"/>
      <c r="J1523" s="14" t="n">
        <v>-175.5599999999977</v>
      </c>
      <c r="K1523" s="21" t="n">
        <v>46106.44865740741</v>
      </c>
      <c r="L1523" s="21" t="n">
        <v>46105</v>
      </c>
      <c r="M1523" s="8" t="inlineStr"/>
      <c r="N1523" s="8" t="inlineStr">
        <is>
          <t>Бухгалтер + менеджер субагента</t>
        </is>
      </c>
      <c r="O1523" s="8" t="inlineStr"/>
      <c r="P1523" s="12" t="inlineStr">
        <is>
          <t>Нет записи реестра (билет выписан субагентом сам) — определить виновного по данным нельзя</t>
        </is>
      </c>
      <c r="Q1523" s="8" t="inlineStr">
        <is>
          <t>57167796,57167815</t>
        </is>
      </c>
    </row>
    <row r="1524">
      <c r="A1524" s="8" t="inlineStr">
        <is>
          <t>G01069</t>
        </is>
      </c>
      <c r="B1524" s="8" t="inlineStr">
        <is>
          <t>Karakol Express</t>
        </is>
      </c>
      <c r="C1524" s="8" t="inlineStr">
        <is>
          <t>2416942046</t>
        </is>
      </c>
      <c r="D1524" s="8" t="inlineStr">
        <is>
          <t>Сумма не сходится</t>
        </is>
      </c>
      <c r="E1524" s="8" t="inlineStr">
        <is>
          <t>Нужна проверка</t>
        </is>
      </c>
      <c r="F1524" s="8" t="inlineStr">
        <is>
          <t>C</t>
        </is>
      </c>
      <c r="G1524" s="14" t="n">
        <v>36683.78</v>
      </c>
      <c r="H1524" s="14" t="n">
        <v>-36859.05</v>
      </c>
      <c r="I1524" s="14" t="n">
        <v>36683.775</v>
      </c>
      <c r="J1524" s="14" t="n">
        <v>-175.2700000000041</v>
      </c>
      <c r="K1524" s="21" t="n">
        <v>46046.78744212963</v>
      </c>
      <c r="L1524" s="21" t="n">
        <v>46045</v>
      </c>
      <c r="M1524" s="8" t="inlineStr"/>
      <c r="N1524" s="8" t="inlineStr">
        <is>
          <t>Бухгалтер + менеджер субагента</t>
        </is>
      </c>
      <c r="O1524" s="8" t="inlineStr">
        <is>
          <t>d.mambetova</t>
        </is>
      </c>
      <c r="P1524" s="12" t="inlineStr">
        <is>
          <t>Реестр не подтверждает ни 1С, ни ETM (либо состав группы неоднозначен) — нужна проверка</t>
        </is>
      </c>
      <c r="Q1524" s="8" t="inlineStr">
        <is>
          <t>57046958</t>
        </is>
      </c>
    </row>
    <row r="1525">
      <c r="A1525" s="8" t="inlineStr">
        <is>
          <t>G02324</t>
        </is>
      </c>
      <c r="B1525" s="8" t="inlineStr">
        <is>
          <t>SkyWay Travel</t>
        </is>
      </c>
      <c r="C1525" s="8" t="inlineStr">
        <is>
          <t>2416943957</t>
        </is>
      </c>
      <c r="D1525" s="8" t="inlineStr">
        <is>
          <t>Сумма не сходится</t>
        </is>
      </c>
      <c r="E1525" s="8" t="inlineStr">
        <is>
          <t>Нужна проверка</t>
        </is>
      </c>
      <c r="F1525" s="8" t="inlineStr">
        <is>
          <t>C</t>
        </is>
      </c>
      <c r="G1525" s="14" t="n">
        <v>54197.74</v>
      </c>
      <c r="H1525" s="14" t="n">
        <v>-54024.32</v>
      </c>
      <c r="I1525" s="14" t="n">
        <v>54197.74</v>
      </c>
      <c r="J1525" s="14" t="n">
        <v>173.4199999999983</v>
      </c>
      <c r="K1525" s="21" t="n">
        <v>46194.38377314815</v>
      </c>
      <c r="L1525" s="21" t="n">
        <v>46193</v>
      </c>
      <c r="M1525" s="8" t="inlineStr"/>
      <c r="N1525" s="8" t="inlineStr">
        <is>
          <t>Бухгалтер + менеджер субагента</t>
        </is>
      </c>
      <c r="O1525" s="8" t="inlineStr">
        <is>
          <t>r.sydykov</t>
        </is>
      </c>
      <c r="P1525" s="12" t="inlineStr">
        <is>
          <t>Реестр не подтверждает ни 1С, ни ETM (либо состав группы неоднозначен) — нужна проверка</t>
        </is>
      </c>
      <c r="Q1525" s="8" t="inlineStr">
        <is>
          <t>57384282</t>
        </is>
      </c>
    </row>
    <row r="1526">
      <c r="A1526" s="8" t="inlineStr">
        <is>
          <t>G09829</t>
        </is>
      </c>
      <c r="B1526" s="8" t="inlineStr">
        <is>
          <t>Кенешова Чолпон Таалайовна</t>
        </is>
      </c>
      <c r="C1526" s="8" t="inlineStr">
        <is>
          <t>2416945662</t>
        </is>
      </c>
      <c r="D1526" s="8" t="inlineStr">
        <is>
          <t>Сумма не сходится</t>
        </is>
      </c>
      <c r="E1526" s="8" t="inlineStr">
        <is>
          <t>Нужна проверка</t>
        </is>
      </c>
      <c r="F1526" s="8" t="inlineStr">
        <is>
          <t>C</t>
        </is>
      </c>
      <c r="G1526" s="14" t="n">
        <v>48826.32</v>
      </c>
      <c r="H1526" s="14" t="n">
        <v>-48997.44</v>
      </c>
      <c r="I1526" s="14" t="n">
        <v>48826.32</v>
      </c>
      <c r="J1526" s="14" t="n">
        <v>-171.1200000000026</v>
      </c>
      <c r="K1526" s="21" t="n">
        <v>46031.38523148148</v>
      </c>
      <c r="L1526" s="21" t="n">
        <v>46030</v>
      </c>
      <c r="M1526" s="8" t="inlineStr"/>
      <c r="N1526" s="8" t="inlineStr">
        <is>
          <t>Бухгалтер + менеджер субагента</t>
        </is>
      </c>
      <c r="O1526" s="8" t="inlineStr">
        <is>
          <t>a.toktosunova</t>
        </is>
      </c>
      <c r="P1526" s="12" t="inlineStr">
        <is>
          <t>Реестр не подтверждает ни 1С, ни ETM (либо состав группы неоднозначен) — нужна проверка</t>
        </is>
      </c>
      <c r="Q1526" s="8" t="inlineStr">
        <is>
          <t>57015227</t>
        </is>
      </c>
    </row>
    <row r="1527">
      <c r="A1527" s="8" t="inlineStr">
        <is>
          <t>G08880</t>
        </is>
      </c>
      <c r="B1527" s="8" t="inlineStr">
        <is>
          <t>ИССЫК ТРИП</t>
        </is>
      </c>
      <c r="C1527" s="8" t="inlineStr">
        <is>
          <t>2416943524</t>
        </is>
      </c>
      <c r="D1527" s="8" t="inlineStr">
        <is>
          <t>Сумма не сходится</t>
        </is>
      </c>
      <c r="E1527" s="8" t="inlineStr">
        <is>
          <t>Нужна проверка</t>
        </is>
      </c>
      <c r="F1527" s="8" t="inlineStr">
        <is>
          <t>C</t>
        </is>
      </c>
      <c r="G1527" s="14" t="n">
        <v>48034.28</v>
      </c>
      <c r="H1527" s="14" t="n">
        <v>-48204.52</v>
      </c>
      <c r="I1527" s="14" t="n"/>
      <c r="J1527" s="14" t="n">
        <v>-170.239999999998</v>
      </c>
      <c r="K1527" s="21" t="n">
        <v>46209.77136574074</v>
      </c>
      <c r="L1527" s="21" t="n">
        <v>46208</v>
      </c>
      <c r="M1527" s="8" t="inlineStr"/>
      <c r="N1527" s="8" t="inlineStr">
        <is>
          <t>Бухгалтер + менеджер субагента</t>
        </is>
      </c>
      <c r="O1527" s="8" t="inlineStr"/>
      <c r="P1527" s="12" t="inlineStr">
        <is>
          <t>Нет записи реестра (билет выписан субагентом сам) — определить виновного по данным нельзя</t>
        </is>
      </c>
      <c r="Q1527" s="8" t="inlineStr">
        <is>
          <t>57431863</t>
        </is>
      </c>
    </row>
    <row r="1528">
      <c r="A1528" s="8" t="inlineStr">
        <is>
          <t>G05299</t>
        </is>
      </c>
      <c r="B1528" s="8" t="inlineStr">
        <is>
          <t>Ак-Куу Авиа</t>
        </is>
      </c>
      <c r="C1528" s="8" t="inlineStr">
        <is>
          <t>2552669356</t>
        </is>
      </c>
      <c r="D1528" s="8" t="inlineStr">
        <is>
          <t>Сумма не сходится</t>
        </is>
      </c>
      <c r="E1528" s="8" t="inlineStr">
        <is>
          <t>Нужна проверка</t>
        </is>
      </c>
      <c r="F1528" s="8" t="inlineStr">
        <is>
          <t>C</t>
        </is>
      </c>
      <c r="G1528" s="14" t="n">
        <v>35607.64</v>
      </c>
      <c r="H1528" s="14" t="n">
        <v>-35440.88</v>
      </c>
      <c r="I1528" s="14" t="n">
        <v>35607.64</v>
      </c>
      <c r="J1528" s="14" t="n">
        <v>166.760000000002</v>
      </c>
      <c r="K1528" s="21" t="n">
        <v>46157.6844212963</v>
      </c>
      <c r="L1528" s="21" t="n">
        <v>46155</v>
      </c>
      <c r="M1528" s="8" t="inlineStr"/>
      <c r="N1528" s="8" t="inlineStr">
        <is>
          <t>Бухгалтер + менеджер субагента</t>
        </is>
      </c>
      <c r="O1528" s="8" t="inlineStr">
        <is>
          <t>r.sydykov</t>
        </is>
      </c>
      <c r="P1528" s="12" t="inlineStr">
        <is>
          <t>Реестр не подтверждает ни 1С, ни ETM (либо состав группы неоднозначен) — нужна проверка</t>
        </is>
      </c>
      <c r="Q1528" s="8" t="inlineStr">
        <is>
          <t>57279540</t>
        </is>
      </c>
    </row>
    <row r="1529">
      <c r="A1529" s="8" t="inlineStr">
        <is>
          <t>G01781</t>
        </is>
      </c>
      <c r="B1529" s="8" t="inlineStr">
        <is>
          <t>Karakol Express</t>
        </is>
      </c>
      <c r="C1529" s="8" t="inlineStr">
        <is>
          <t>2552668313</t>
        </is>
      </c>
      <c r="D1529" s="8" t="inlineStr">
        <is>
          <t>Сумма не сходится</t>
        </is>
      </c>
      <c r="E1529" s="8" t="inlineStr">
        <is>
          <t>Нужна проверка</t>
        </is>
      </c>
      <c r="F1529" s="8" t="inlineStr">
        <is>
          <t>C</t>
        </is>
      </c>
      <c r="G1529" s="14" t="n">
        <v>47205.61</v>
      </c>
      <c r="H1529" s="14" t="n">
        <v>-47371.87</v>
      </c>
      <c r="I1529" s="14" t="n">
        <v>47205.61</v>
      </c>
      <c r="J1529" s="14" t="n">
        <v>-166.260000000002</v>
      </c>
      <c r="K1529" s="21" t="n">
        <v>46026.58982638889</v>
      </c>
      <c r="L1529" s="21" t="n">
        <v>46024</v>
      </c>
      <c r="M1529" s="8" t="inlineStr"/>
      <c r="N1529" s="8" t="inlineStr">
        <is>
          <t>Бухгалтер + менеджер субагента</t>
        </is>
      </c>
      <c r="O1529" s="8" t="inlineStr">
        <is>
          <t>n.abdyldaeva</t>
        </is>
      </c>
      <c r="P1529" s="12" t="inlineStr">
        <is>
          <t>Реестр не подтверждает ни 1С, ни ETM (либо состав группы неоднозначен) — нужна проверка</t>
        </is>
      </c>
      <c r="Q1529" s="8" t="inlineStr">
        <is>
          <t>57002816</t>
        </is>
      </c>
    </row>
    <row r="1530">
      <c r="A1530" s="8" t="inlineStr">
        <is>
          <t>G01953</t>
        </is>
      </c>
      <c r="B1530" s="8" t="inlineStr">
        <is>
          <t>Karakol Express</t>
        </is>
      </c>
      <c r="C1530" s="8" t="inlineStr">
        <is>
          <t>2559102622</t>
        </is>
      </c>
      <c r="D1530" s="8" t="inlineStr">
        <is>
          <t>Сумма не сходится</t>
        </is>
      </c>
      <c r="E1530" s="8" t="inlineStr">
        <is>
          <t>Нужна проверка</t>
        </is>
      </c>
      <c r="F1530" s="8" t="inlineStr">
        <is>
          <t>C</t>
        </is>
      </c>
      <c r="G1530" s="14" t="n">
        <v>58518.32</v>
      </c>
      <c r="H1530" s="14" t="n">
        <v>-58353.19</v>
      </c>
      <c r="I1530" s="14" t="n">
        <v>58518.32</v>
      </c>
      <c r="J1530" s="14" t="n">
        <v>165.1299999999974</v>
      </c>
      <c r="K1530" s="21" t="n">
        <v>46173.50186342592</v>
      </c>
      <c r="L1530" s="21" t="n">
        <v>46172</v>
      </c>
      <c r="M1530" s="8" t="inlineStr"/>
      <c r="N1530" s="8" t="inlineStr">
        <is>
          <t>Бухгалтер + менеджер субагента</t>
        </is>
      </c>
      <c r="O1530" s="8" t="inlineStr">
        <is>
          <t>r.sydykov</t>
        </is>
      </c>
      <c r="P1530" s="12" t="inlineStr">
        <is>
          <t>Реестр не подтверждает ни 1С, ни ETM (либо состав группы неоднозначен) — нужна проверка</t>
        </is>
      </c>
      <c r="Q1530" s="8" t="inlineStr">
        <is>
          <t>57329542</t>
        </is>
      </c>
    </row>
    <row r="1531">
      <c r="A1531" s="8" t="inlineStr">
        <is>
          <t>G11299</t>
        </is>
      </c>
      <c r="B1531" s="8" t="inlineStr">
        <is>
          <t>ОсОО Алтын Эйр</t>
        </is>
      </c>
      <c r="C1531" s="8" t="inlineStr">
        <is>
          <t>2559102281</t>
        </is>
      </c>
      <c r="D1531" s="8" t="inlineStr">
        <is>
          <t>Сумма не сходится</t>
        </is>
      </c>
      <c r="E1531" s="8" t="inlineStr">
        <is>
          <t>Нужна проверка</t>
        </is>
      </c>
      <c r="F1531" s="8" t="inlineStr">
        <is>
          <t>C</t>
        </is>
      </c>
      <c r="G1531" s="14" t="n">
        <v>38144.83</v>
      </c>
      <c r="H1531" s="14" t="n">
        <v>-37980.64</v>
      </c>
      <c r="I1531" s="14" t="n"/>
      <c r="J1531" s="14" t="n">
        <v>164.1900000000023</v>
      </c>
      <c r="K1531" s="21" t="n">
        <v>46172.53763888889</v>
      </c>
      <c r="L1531" s="21" t="n">
        <v>46171</v>
      </c>
      <c r="M1531" s="8" t="inlineStr"/>
      <c r="N1531" s="8" t="inlineStr">
        <is>
          <t>Бухгалтер + менеджер субагента</t>
        </is>
      </c>
      <c r="O1531" s="8" t="inlineStr"/>
      <c r="P1531" s="12" t="inlineStr">
        <is>
          <t>Нет записи реестра (билет выписан субагентом сам) — определить виновного по данным нельзя</t>
        </is>
      </c>
      <c r="Q1531" s="8" t="inlineStr">
        <is>
          <t>57326640</t>
        </is>
      </c>
    </row>
    <row r="1532">
      <c r="A1532" s="8" t="inlineStr">
        <is>
          <t>G14819</t>
        </is>
      </c>
      <c r="B1532" s="8" t="inlineStr">
        <is>
          <t>ЫЙЫК ЭКСПРЕСС</t>
        </is>
      </c>
      <c r="C1532" s="8" t="inlineStr">
        <is>
          <t>2552669956|2552669957</t>
        </is>
      </c>
      <c r="D1532" s="8" t="inlineStr">
        <is>
          <t>Сумма не сходится</t>
        </is>
      </c>
      <c r="E1532" s="8" t="inlineStr">
        <is>
          <t>Нужна проверка</t>
        </is>
      </c>
      <c r="F1532" s="8" t="inlineStr">
        <is>
          <t>C</t>
        </is>
      </c>
      <c r="G1532" s="14" t="n">
        <v>46210.34</v>
      </c>
      <c r="H1532" s="14" t="n">
        <v>-46046.82</v>
      </c>
      <c r="I1532" s="14" t="n"/>
      <c r="J1532" s="14" t="n">
        <v>163.5199999999968</v>
      </c>
      <c r="K1532" s="21" t="n">
        <v>46191.33710648148</v>
      </c>
      <c r="L1532" s="21" t="n">
        <v>46190</v>
      </c>
      <c r="M1532" s="8" t="inlineStr"/>
      <c r="N1532" s="8" t="inlineStr">
        <is>
          <t>Бухгалтер + менеджер субагента</t>
        </is>
      </c>
      <c r="O1532" s="8" t="inlineStr"/>
      <c r="P1532" s="12" t="inlineStr">
        <is>
          <t>Нет записи реестра (билет выписан субагентом сам) — определить виновного по данным нельзя</t>
        </is>
      </c>
      <c r="Q1532" s="8" t="inlineStr">
        <is>
          <t>57376274,57376251</t>
        </is>
      </c>
    </row>
    <row r="1533">
      <c r="A1533" s="8" t="inlineStr">
        <is>
          <t>G04473</t>
        </is>
      </c>
      <c r="B1533" s="8" t="inlineStr">
        <is>
          <t>Абдылда уулу Б.</t>
        </is>
      </c>
      <c r="C1533" s="8" t="inlineStr">
        <is>
          <t>2552672037|2552672038</t>
        </is>
      </c>
      <c r="D1533" s="8" t="inlineStr">
        <is>
          <t>Сумма не сходится</t>
        </is>
      </c>
      <c r="E1533" s="8" t="inlineStr">
        <is>
          <t>Нужна проверка</t>
        </is>
      </c>
      <c r="F1533" s="8" t="inlineStr">
        <is>
          <t>C</t>
        </is>
      </c>
      <c r="G1533" s="14" t="n">
        <v>46501.22</v>
      </c>
      <c r="H1533" s="14" t="n">
        <v>-46660.92</v>
      </c>
      <c r="I1533" s="14" t="n">
        <v>46501.22</v>
      </c>
      <c r="J1533" s="14" t="n">
        <v>-159.6999999999971</v>
      </c>
      <c r="K1533" s="21" t="n">
        <v>46026.42515046296</v>
      </c>
      <c r="L1533" s="21" t="n">
        <v>46025</v>
      </c>
      <c r="M1533" s="8" t="inlineStr"/>
      <c r="N1533" s="8" t="inlineStr">
        <is>
          <t>Бухгалтер + менеджер субагента</t>
        </is>
      </c>
      <c r="O1533" s="8" t="inlineStr">
        <is>
          <t>e.satarov</t>
        </is>
      </c>
      <c r="P1533" s="12" t="inlineStr">
        <is>
          <t>Реестр не подтверждает ни 1С, ни ETM (либо состав группы неоднозначен) — нужна проверка</t>
        </is>
      </c>
      <c r="Q1533" s="8" t="inlineStr">
        <is>
          <t>57004939,57004969</t>
        </is>
      </c>
    </row>
    <row r="1534">
      <c r="A1534" s="8" t="inlineStr">
        <is>
          <t>G15347</t>
        </is>
      </c>
      <c r="B1534" s="8" t="inlineStr">
        <is>
          <t>Эсенбеков Кубат Элдияревич</t>
        </is>
      </c>
      <c r="C1534" s="8" t="inlineStr">
        <is>
          <t>2416941415|2416941418</t>
        </is>
      </c>
      <c r="D1534" s="8" t="inlineStr">
        <is>
          <t>Сумма не сходится</t>
        </is>
      </c>
      <c r="E1534" s="8" t="inlineStr">
        <is>
          <t>Нужна проверка</t>
        </is>
      </c>
      <c r="F1534" s="8" t="inlineStr">
        <is>
          <t>C</t>
        </is>
      </c>
      <c r="G1534" s="14" t="n">
        <v>131719.5</v>
      </c>
      <c r="H1534" s="14" t="n">
        <v>-131877.14</v>
      </c>
      <c r="I1534" s="14" t="n">
        <v>131719.5</v>
      </c>
      <c r="J1534" s="14" t="n">
        <v>-157.640000000014</v>
      </c>
      <c r="K1534" s="21" t="n">
        <v>46218.57475694444</v>
      </c>
      <c r="L1534" s="21" t="n">
        <v>46217</v>
      </c>
      <c r="M1534" s="8" t="inlineStr"/>
      <c r="N1534" s="8" t="inlineStr">
        <is>
          <t>Бухгалтер + менеджер субагента</t>
        </is>
      </c>
      <c r="O1534" s="8" t="inlineStr">
        <is>
          <t>n.abdyldaeva</t>
        </is>
      </c>
      <c r="P1534" s="12" t="inlineStr">
        <is>
          <t>Реестр не подтверждает ни 1С, ни ETM (либо состав группы неоднозначен) — нужна проверка</t>
        </is>
      </c>
      <c r="Q1534" s="8" t="inlineStr">
        <is>
          <t>57457468,57457488</t>
        </is>
      </c>
    </row>
    <row r="1535">
      <c r="A1535" s="8" t="inlineStr">
        <is>
          <t>G04510</t>
        </is>
      </c>
      <c r="B1535" s="8" t="inlineStr">
        <is>
          <t>Абдылда уулу Б.</t>
        </is>
      </c>
      <c r="C1535" s="8" t="inlineStr">
        <is>
          <t>2559101086</t>
        </is>
      </c>
      <c r="D1535" s="8" t="inlineStr">
        <is>
          <t>Сумма не сходится</t>
        </is>
      </c>
      <c r="E1535" s="8" t="inlineStr">
        <is>
          <t>Нужна проверка</t>
        </is>
      </c>
      <c r="F1535" s="8" t="inlineStr">
        <is>
          <t>C</t>
        </is>
      </c>
      <c r="G1535" s="14" t="n">
        <v>52348.55</v>
      </c>
      <c r="H1535" s="14" t="n">
        <v>-52192.15</v>
      </c>
      <c r="I1535" s="14" t="n">
        <v>52348.54500000001</v>
      </c>
      <c r="J1535" s="14" t="n">
        <v>156.4000000000015</v>
      </c>
      <c r="K1535" s="21" t="n">
        <v>46127.59922453704</v>
      </c>
      <c r="L1535" s="21" t="n">
        <v>46126</v>
      </c>
      <c r="M1535" s="8" t="inlineStr"/>
      <c r="N1535" s="8" t="inlineStr">
        <is>
          <t>Бухгалтер + менеджер субагента</t>
        </is>
      </c>
      <c r="O1535" s="8" t="inlineStr">
        <is>
          <t>a.toktosunova</t>
        </is>
      </c>
      <c r="P1535" s="12" t="inlineStr">
        <is>
          <t>Реестр не подтверждает ни 1С, ни ETM (либо состав группы неоднозначен) — нужна проверка</t>
        </is>
      </c>
      <c r="Q1535" s="8" t="inlineStr">
        <is>
          <t>57207095</t>
        </is>
      </c>
    </row>
    <row r="1536">
      <c r="A1536" s="8" t="inlineStr">
        <is>
          <t>G12812</t>
        </is>
      </c>
      <c r="B1536" s="8" t="inlineStr">
        <is>
          <t>Салам Экспресс</t>
        </is>
      </c>
      <c r="C1536" s="8" t="inlineStr">
        <is>
          <t>2476316598</t>
        </is>
      </c>
      <c r="D1536" s="8" t="inlineStr">
        <is>
          <t>Сумма не сходится</t>
        </is>
      </c>
      <c r="E1536" s="8" t="inlineStr">
        <is>
          <t>Нужна проверка</t>
        </is>
      </c>
      <c r="F1536" s="8" t="inlineStr">
        <is>
          <t>C</t>
        </is>
      </c>
      <c r="G1536" s="14" t="n">
        <v>16784.08</v>
      </c>
      <c r="H1536" s="14" t="n">
        <v>-16632.31</v>
      </c>
      <c r="I1536" s="14" t="n"/>
      <c r="J1536" s="14" t="n">
        <v>151.7700000000004</v>
      </c>
      <c r="K1536" s="21" t="n">
        <v>46200.81010416667</v>
      </c>
      <c r="L1536" s="21" t="n">
        <v>46199</v>
      </c>
      <c r="M1536" s="8" t="inlineStr"/>
      <c r="N1536" s="8" t="inlineStr">
        <is>
          <t>Бухгалтер + менеджер субагента</t>
        </is>
      </c>
      <c r="O1536" s="8" t="inlineStr"/>
      <c r="P1536" s="12" t="inlineStr">
        <is>
          <t>Нет записи реестра (билет выписан субагентом сам) — определить виновного по данным нельзя</t>
        </is>
      </c>
      <c r="Q1536" s="8" t="inlineStr">
        <is>
          <t>57402706</t>
        </is>
      </c>
    </row>
    <row r="1537">
      <c r="A1537" s="8" t="inlineStr">
        <is>
          <t>G03468</t>
        </is>
      </c>
      <c r="B1537" s="8" t="inlineStr">
        <is>
          <t>SkyWay Travel</t>
        </is>
      </c>
      <c r="C1537" s="8" t="inlineStr">
        <is>
          <t>2552670106</t>
        </is>
      </c>
      <c r="D1537" s="8" t="inlineStr">
        <is>
          <t>Сумма не сходится</t>
        </is>
      </c>
      <c r="E1537" s="8" t="inlineStr">
        <is>
          <t>Нужна проверка</t>
        </is>
      </c>
      <c r="F1537" s="8" t="inlineStr">
        <is>
          <t>C</t>
        </is>
      </c>
      <c r="G1537" s="14" t="n">
        <v>42411.6</v>
      </c>
      <c r="H1537" s="14" t="n">
        <v>-42563.07</v>
      </c>
      <c r="I1537" s="14" t="n">
        <v>42411.60000000001</v>
      </c>
      <c r="J1537" s="14" t="n">
        <v>-151.4700000000012</v>
      </c>
      <c r="K1537" s="21" t="n">
        <v>46149.43342592593</v>
      </c>
      <c r="L1537" s="21" t="n">
        <v>46147</v>
      </c>
      <c r="M1537" s="8" t="inlineStr"/>
      <c r="N1537" s="8" t="inlineStr">
        <is>
          <t>Бухгалтер + менеджер субагента</t>
        </is>
      </c>
      <c r="O1537" s="8" t="inlineStr">
        <is>
          <t>n.abdyldaeva</t>
        </is>
      </c>
      <c r="P1537" s="12" t="inlineStr">
        <is>
          <t>Реестр не подтверждает ни 1С, ни ETM (либо состав группы неоднозначен) — нужна проверка</t>
        </is>
      </c>
      <c r="Q1537" s="8" t="inlineStr">
        <is>
          <t>57254872</t>
        </is>
      </c>
    </row>
    <row r="1538">
      <c r="A1538" s="8" t="inlineStr">
        <is>
          <t>G02301</t>
        </is>
      </c>
      <c r="B1538" s="8" t="inlineStr">
        <is>
          <t>SkyWay Travel</t>
        </is>
      </c>
      <c r="C1538" s="8" t="inlineStr">
        <is>
          <t>2416943354|2416943355</t>
        </is>
      </c>
      <c r="D1538" s="8" t="inlineStr">
        <is>
          <t>Сумма не сходится</t>
        </is>
      </c>
      <c r="E1538" s="8" t="inlineStr">
        <is>
          <t>Нужна проверка</t>
        </is>
      </c>
      <c r="F1538" s="8" t="inlineStr">
        <is>
          <t>C</t>
        </is>
      </c>
      <c r="G1538" s="14" t="n">
        <v>88268.7</v>
      </c>
      <c r="H1538" s="14" t="n">
        <v>-88416</v>
      </c>
      <c r="I1538" s="14" t="n"/>
      <c r="J1538" s="14" t="n">
        <v>-147.3000000000029</v>
      </c>
      <c r="K1538" s="21" t="n">
        <v>46165.39148148148</v>
      </c>
      <c r="L1538" s="21" t="n">
        <v>46164</v>
      </c>
      <c r="M1538" s="8" t="inlineStr"/>
      <c r="N1538" s="8" t="inlineStr">
        <is>
          <t>Бухгалтер + менеджер субагента</t>
        </is>
      </c>
      <c r="O1538" s="8" t="inlineStr"/>
      <c r="P1538" s="12" t="inlineStr">
        <is>
          <t>Нет записи реестра (билет выписан субагентом сам) — определить виновного по данным нельзя</t>
        </is>
      </c>
      <c r="Q1538" s="8" t="inlineStr">
        <is>
          <t>57307507,57307469</t>
        </is>
      </c>
    </row>
    <row r="1539">
      <c r="A1539" s="8" t="inlineStr">
        <is>
          <t>G04767</t>
        </is>
      </c>
      <c r="B1539" s="8" t="inlineStr">
        <is>
          <t>Ак-Куу Авиа</t>
        </is>
      </c>
      <c r="C1539" s="8" t="inlineStr">
        <is>
          <t>2416943314</t>
        </is>
      </c>
      <c r="D1539" s="8" t="inlineStr">
        <is>
          <t>Сумма не сходится</t>
        </is>
      </c>
      <c r="E1539" s="8" t="inlineStr">
        <is>
          <t>Нужна проверка</t>
        </is>
      </c>
      <c r="F1539" s="8" t="inlineStr">
        <is>
          <t>C</t>
        </is>
      </c>
      <c r="G1539" s="14" t="n">
        <v>34845.2</v>
      </c>
      <c r="H1539" s="14" t="n">
        <v>-34700.04</v>
      </c>
      <c r="I1539" s="14" t="n">
        <v>34845.2</v>
      </c>
      <c r="J1539" s="14" t="n">
        <v>145.1599999999962</v>
      </c>
      <c r="K1539" s="21" t="n">
        <v>46031.50599537037</v>
      </c>
      <c r="L1539" s="21" t="n">
        <v>46029</v>
      </c>
      <c r="M1539" s="8" t="inlineStr"/>
      <c r="N1539" s="8" t="inlineStr">
        <is>
          <t>Бухгалтер + менеджер субагента</t>
        </is>
      </c>
      <c r="O1539" s="8" t="inlineStr">
        <is>
          <t>n.abdyldaeva</t>
        </is>
      </c>
      <c r="P1539" s="12" t="inlineStr">
        <is>
          <t>Реестр не подтверждает ни 1С, ни ETM (либо состав группы неоднозначен) — нужна проверка</t>
        </is>
      </c>
      <c r="Q1539" s="8" t="inlineStr">
        <is>
          <t>57011919</t>
        </is>
      </c>
    </row>
    <row r="1540">
      <c r="A1540" s="8" t="inlineStr">
        <is>
          <t>G04815</t>
        </is>
      </c>
      <c r="B1540" s="8" t="inlineStr">
        <is>
          <t>Ак-Куу Авиа</t>
        </is>
      </c>
      <c r="C1540" s="8" t="inlineStr">
        <is>
          <t>2420843441</t>
        </is>
      </c>
      <c r="D1540" s="8" t="inlineStr">
        <is>
          <t>Сумма не сходится</t>
        </is>
      </c>
      <c r="E1540" s="8" t="inlineStr">
        <is>
          <t>Нужна проверка</t>
        </is>
      </c>
      <c r="F1540" s="8" t="inlineStr">
        <is>
          <t>C</t>
        </is>
      </c>
      <c r="G1540" s="14" t="n">
        <v>29380.47</v>
      </c>
      <c r="H1540" s="14" t="n">
        <v>-29525.28</v>
      </c>
      <c r="I1540" s="14" t="n">
        <v>29380.473</v>
      </c>
      <c r="J1540" s="14" t="n">
        <v>-144.8099999999977</v>
      </c>
      <c r="K1540" s="21" t="n">
        <v>46191.80347222222</v>
      </c>
      <c r="L1540" s="21" t="n">
        <v>46190</v>
      </c>
      <c r="M1540" s="8" t="inlineStr"/>
      <c r="N1540" s="8" t="inlineStr">
        <is>
          <t>Бухгалтер + менеджер субагента</t>
        </is>
      </c>
      <c r="O1540" s="8" t="inlineStr">
        <is>
          <t>a.toktosunova</t>
        </is>
      </c>
      <c r="P1540" s="12" t="inlineStr">
        <is>
          <t>Реестр не подтверждает ни 1С, ни ETM (либо состав группы неоднозначен) — нужна проверка</t>
        </is>
      </c>
      <c r="Q1540" s="8" t="inlineStr">
        <is>
          <t>57375178</t>
        </is>
      </c>
    </row>
    <row r="1541">
      <c r="A1541" s="8" t="inlineStr">
        <is>
          <t>G06518</t>
        </is>
      </c>
      <c r="B1541" s="8" t="inlineStr">
        <is>
          <t>Джолдошова Салтанат Сатаревна</t>
        </is>
      </c>
      <c r="C1541" s="8" t="inlineStr">
        <is>
          <t>2416942075|2416942077</t>
        </is>
      </c>
      <c r="D1541" s="8" t="inlineStr">
        <is>
          <t>Сумма не сходится</t>
        </is>
      </c>
      <c r="E1541" s="8" t="inlineStr">
        <is>
          <t>Нужна проверка</t>
        </is>
      </c>
      <c r="F1541" s="8" t="inlineStr">
        <is>
          <t>C</t>
        </is>
      </c>
      <c r="G1541" s="14" t="n">
        <v>119815.2</v>
      </c>
      <c r="H1541" s="14" t="n">
        <v>-119678</v>
      </c>
      <c r="I1541" s="14" t="n">
        <v>119815.2</v>
      </c>
      <c r="J1541" s="14" t="n">
        <v>137.1999999999971</v>
      </c>
      <c r="K1541" s="21" t="n">
        <v>46129.48873842593</v>
      </c>
      <c r="L1541" s="21" t="n">
        <v>46128</v>
      </c>
      <c r="M1541" s="8" t="inlineStr"/>
      <c r="N1541" s="8" t="inlineStr">
        <is>
          <t>Бухгалтер + менеджер субагента</t>
        </is>
      </c>
      <c r="O1541" s="8" t="inlineStr">
        <is>
          <t>b.isakov</t>
        </is>
      </c>
      <c r="P1541" s="12" t="inlineStr">
        <is>
          <t>Реестр не подтверждает ни 1С, ни ETM (либо состав группы неоднозначен) — нужна проверка</t>
        </is>
      </c>
      <c r="Q1541" s="8" t="inlineStr">
        <is>
          <t>57210354,57210389</t>
        </is>
      </c>
    </row>
    <row r="1542">
      <c r="A1542" s="8" t="inlineStr">
        <is>
          <t>G02210</t>
        </is>
      </c>
      <c r="B1542" s="8" t="inlineStr">
        <is>
          <t>Silk Route Air</t>
        </is>
      </c>
      <c r="C1542" s="8" t="inlineStr">
        <is>
          <t>2559102169</t>
        </is>
      </c>
      <c r="D1542" s="8" t="inlineStr">
        <is>
          <t>Сумма не сходится</t>
        </is>
      </c>
      <c r="E1542" s="8" t="inlineStr">
        <is>
          <t>Нужна проверка</t>
        </is>
      </c>
      <c r="F1542" s="8" t="inlineStr">
        <is>
          <t>C</t>
        </is>
      </c>
      <c r="G1542" s="14" t="n">
        <v>41887.55</v>
      </c>
      <c r="H1542" s="14" t="n">
        <v>-41751.97</v>
      </c>
      <c r="I1542" s="14" t="n">
        <v>41887.55</v>
      </c>
      <c r="J1542" s="14" t="n">
        <v>135.5800000000017</v>
      </c>
      <c r="K1542" s="21" t="n">
        <v>46086.613125</v>
      </c>
      <c r="L1542" s="21" t="n">
        <v>46085</v>
      </c>
      <c r="M1542" s="8" t="inlineStr"/>
      <c r="N1542" s="8" t="inlineStr">
        <is>
          <t>Бухгалтер + менеджер субагента</t>
        </is>
      </c>
      <c r="O1542" s="8" t="inlineStr">
        <is>
          <t>r.sydykov</t>
        </is>
      </c>
      <c r="P1542" s="12" t="inlineStr">
        <is>
          <t>Реестр не подтверждает ни 1С, ни ETM (либо состав группы неоднозначен) — нужна проверка</t>
        </is>
      </c>
      <c r="Q1542" s="8" t="inlineStr">
        <is>
          <t>57123279</t>
        </is>
      </c>
    </row>
    <row r="1543">
      <c r="A1543" s="8" t="inlineStr">
        <is>
          <t>G10898</t>
        </is>
      </c>
      <c r="B1543" s="8" t="inlineStr">
        <is>
          <t>Ниязбекова Асель Сатаровна</t>
        </is>
      </c>
      <c r="C1543" s="8" t="inlineStr">
        <is>
          <t>2552672502</t>
        </is>
      </c>
      <c r="D1543" s="8" t="inlineStr">
        <is>
          <t>Сумма не сходится</t>
        </is>
      </c>
      <c r="E1543" s="8" t="inlineStr">
        <is>
          <t>Нужна проверка</t>
        </is>
      </c>
      <c r="F1543" s="8" t="inlineStr">
        <is>
          <t>C</t>
        </is>
      </c>
      <c r="G1543" s="14" t="n">
        <v>41711.09</v>
      </c>
      <c r="H1543" s="14" t="n">
        <v>-41846.26</v>
      </c>
      <c r="I1543" s="14" t="n">
        <v>41711.09</v>
      </c>
      <c r="J1543" s="14" t="n">
        <v>-135.1700000000055</v>
      </c>
      <c r="K1543" s="21" t="n">
        <v>46207.58164351852</v>
      </c>
      <c r="L1543" s="21" t="n">
        <v>46205</v>
      </c>
      <c r="M1543" s="8" t="inlineStr"/>
      <c r="N1543" s="8" t="inlineStr">
        <is>
          <t>Бухгалтер + менеджер субагента</t>
        </is>
      </c>
      <c r="O1543" s="8" t="inlineStr">
        <is>
          <t>r.sydykov</t>
        </is>
      </c>
      <c r="P1543" s="12" t="inlineStr">
        <is>
          <t>Реестр не подтверждает ни 1С, ни ETM (либо состав группы неоднозначен) — нужна проверка</t>
        </is>
      </c>
      <c r="Q1543" s="8" t="inlineStr">
        <is>
          <t>57422293</t>
        </is>
      </c>
    </row>
    <row r="1544">
      <c r="A1544" s="8" t="inlineStr">
        <is>
          <t>G07572</t>
        </is>
      </c>
      <c r="B1544" s="8" t="inlineStr">
        <is>
          <t>Жолчу кызы А.</t>
        </is>
      </c>
      <c r="C1544" s="8" t="inlineStr">
        <is>
          <t>2552672967|2552672968</t>
        </is>
      </c>
      <c r="D1544" s="8" t="inlineStr">
        <is>
          <t>Сумма не сходится</t>
        </is>
      </c>
      <c r="E1544" s="8" t="inlineStr">
        <is>
          <t>Нужна проверка</t>
        </is>
      </c>
      <c r="F1544" s="8" t="inlineStr">
        <is>
          <t>C</t>
        </is>
      </c>
      <c r="G1544" s="14" t="n">
        <v>45435.38</v>
      </c>
      <c r="H1544" s="14" t="n">
        <v>-45303.48</v>
      </c>
      <c r="I1544" s="14" t="n">
        <v>45435.385</v>
      </c>
      <c r="J1544" s="14" t="n">
        <v>131.8999999999942</v>
      </c>
      <c r="K1544" s="21" t="n">
        <v>46166.70105324074</v>
      </c>
      <c r="L1544" s="21" t="n">
        <v>46165</v>
      </c>
      <c r="M1544" s="8" t="inlineStr"/>
      <c r="N1544" s="8" t="inlineStr">
        <is>
          <t>Бухгалтер + менеджер субагента</t>
        </is>
      </c>
      <c r="O1544" s="8" t="inlineStr">
        <is>
          <t>b.isakov</t>
        </is>
      </c>
      <c r="P1544" s="12" t="inlineStr">
        <is>
          <t>Реестр не подтверждает ни 1С, ни ETM (либо состав группы неоднозначен) — нужна проверка</t>
        </is>
      </c>
      <c r="Q1544" s="8" t="inlineStr">
        <is>
          <t>57311539</t>
        </is>
      </c>
    </row>
    <row r="1545">
      <c r="A1545" s="8" t="inlineStr">
        <is>
          <t>G06841</t>
        </is>
      </c>
      <c r="B1545" s="8" t="inlineStr">
        <is>
          <t>Джолдошова Салтанат Сатаревна</t>
        </is>
      </c>
      <c r="C1545" s="8" t="inlineStr">
        <is>
          <t>2559102351</t>
        </is>
      </c>
      <c r="D1545" s="8" t="inlineStr">
        <is>
          <t>Сумма не сходится</t>
        </is>
      </c>
      <c r="E1545" s="8" t="inlineStr">
        <is>
          <t>Нужна проверка</t>
        </is>
      </c>
      <c r="F1545" s="8" t="inlineStr">
        <is>
          <t>C</t>
        </is>
      </c>
      <c r="G1545" s="14" t="n">
        <v>62947.56</v>
      </c>
      <c r="H1545" s="14" t="n">
        <v>-63077.62</v>
      </c>
      <c r="I1545" s="14" t="n">
        <v>62947.565</v>
      </c>
      <c r="J1545" s="14" t="n">
        <v>-130.0600000000049</v>
      </c>
      <c r="K1545" s="21" t="n">
        <v>46201.70208333333</v>
      </c>
      <c r="L1545" s="21" t="n">
        <v>46200</v>
      </c>
      <c r="M1545" s="8" t="inlineStr"/>
      <c r="N1545" s="8" t="inlineStr">
        <is>
          <t>Бухгалтер + менеджер субагента</t>
        </is>
      </c>
      <c r="O1545" s="8" t="inlineStr">
        <is>
          <t>b.isakov</t>
        </is>
      </c>
      <c r="P1545" s="12" t="inlineStr">
        <is>
          <t>Реестр не подтверждает ни 1С, ни ETM (либо состав группы неоднозначен) — нужна проверка</t>
        </is>
      </c>
      <c r="Q1545" s="8" t="inlineStr">
        <is>
          <t>57406238</t>
        </is>
      </c>
    </row>
    <row r="1546">
      <c r="A1546" s="8" t="inlineStr">
        <is>
          <t>G11183</t>
        </is>
      </c>
      <c r="B1546" s="8" t="inlineStr">
        <is>
          <t>ОсОО Алтын Эйр</t>
        </is>
      </c>
      <c r="C1546" s="8" t="inlineStr">
        <is>
          <t>2420844571|2420844574|2420844577</t>
        </is>
      </c>
      <c r="D1546" s="8" t="inlineStr">
        <is>
          <t>Сумма не сходится</t>
        </is>
      </c>
      <c r="E1546" s="8" t="inlineStr">
        <is>
          <t>Нужна проверка</t>
        </is>
      </c>
      <c r="F1546" s="8" t="inlineStr">
        <is>
          <t>C</t>
        </is>
      </c>
      <c r="G1546" s="14" t="n">
        <v>54696.09</v>
      </c>
      <c r="H1546" s="14" t="n">
        <v>-54567.33</v>
      </c>
      <c r="I1546" s="14" t="n">
        <v>54696.0765</v>
      </c>
      <c r="J1546" s="14" t="n">
        <v>128.7599999999948</v>
      </c>
      <c r="K1546" s="21" t="n">
        <v>46118.66674768519</v>
      </c>
      <c r="L1546" s="21" t="n">
        <v>46116</v>
      </c>
      <c r="M1546" s="8" t="inlineStr"/>
      <c r="N1546" s="8" t="inlineStr">
        <is>
          <t>Бухгалтер + менеджер субагента</t>
        </is>
      </c>
      <c r="O1546" s="8" t="inlineStr">
        <is>
          <t>a.toktosunova</t>
        </is>
      </c>
      <c r="P1546" s="12" t="inlineStr">
        <is>
          <t>Реестр не подтверждает ни 1С, ни ETM (либо состав группы неоднозначен) — нужна проверка</t>
        </is>
      </c>
      <c r="Q1546" s="8" t="inlineStr">
        <is>
          <t>57189893,57189928,57189943</t>
        </is>
      </c>
    </row>
    <row r="1547">
      <c r="A1547" s="8" t="inlineStr">
        <is>
          <t>G04524</t>
        </is>
      </c>
      <c r="B1547" s="8" t="inlineStr">
        <is>
          <t>Абдылда уулу Б.</t>
        </is>
      </c>
      <c r="C1547" s="8" t="inlineStr">
        <is>
          <t>2559102155</t>
        </is>
      </c>
      <c r="D1547" s="8" t="inlineStr">
        <is>
          <t>Сумма не сходится</t>
        </is>
      </c>
      <c r="E1547" s="8" t="inlineStr">
        <is>
          <t>Нужна проверка</t>
        </is>
      </c>
      <c r="F1547" s="8" t="inlineStr">
        <is>
          <t>C</t>
        </is>
      </c>
      <c r="G1547" s="14" t="n">
        <v>58063.65</v>
      </c>
      <c r="H1547" s="14" t="n">
        <v>-58192.35</v>
      </c>
      <c r="I1547" s="14" t="n">
        <v>58063.65</v>
      </c>
      <c r="J1547" s="14" t="n">
        <v>-128.6999999999971</v>
      </c>
      <c r="K1547" s="21" t="n">
        <v>46159.71060185185</v>
      </c>
      <c r="L1547" s="21" t="n">
        <v>46157</v>
      </c>
      <c r="M1547" s="8" t="inlineStr"/>
      <c r="N1547" s="8" t="inlineStr">
        <is>
          <t>Бухгалтер + менеджер субагента</t>
        </is>
      </c>
      <c r="O1547" s="8" t="inlineStr">
        <is>
          <t>d.mambetova</t>
        </is>
      </c>
      <c r="P1547" s="12" t="inlineStr">
        <is>
          <t>Реестр не подтверждает ни 1С, ни ETM (либо состав группы неоднозначен) — нужна проверка</t>
        </is>
      </c>
      <c r="Q1547" s="8" t="inlineStr">
        <is>
          <t>57287154</t>
        </is>
      </c>
    </row>
    <row r="1548">
      <c r="A1548" s="8" t="inlineStr">
        <is>
          <t>G11474</t>
        </is>
      </c>
      <c r="B1548" s="8" t="inlineStr">
        <is>
          <t>ОсОО Кара-Кол Трип</t>
        </is>
      </c>
      <c r="C1548" s="8" t="inlineStr">
        <is>
          <t>2416940993|2416940994</t>
        </is>
      </c>
      <c r="D1548" s="8" t="inlineStr">
        <is>
          <t>Сумма не сходится</t>
        </is>
      </c>
      <c r="E1548" s="8" t="inlineStr">
        <is>
          <t>Нужна проверка</t>
        </is>
      </c>
      <c r="F1548" s="8" t="inlineStr">
        <is>
          <t>C</t>
        </is>
      </c>
      <c r="G1548" s="14" t="n">
        <v>39116</v>
      </c>
      <c r="H1548" s="14" t="n">
        <v>-39244</v>
      </c>
      <c r="I1548" s="14" t="n">
        <v>39116</v>
      </c>
      <c r="J1548" s="14" t="n">
        <v>-128</v>
      </c>
      <c r="K1548" s="21" t="n">
        <v>46209.43607638889</v>
      </c>
      <c r="L1548" s="21" t="n">
        <v>46208</v>
      </c>
      <c r="M1548" s="8" t="inlineStr"/>
      <c r="N1548" s="8" t="inlineStr">
        <is>
          <t>Бухгалтер + менеджер субагента</t>
        </is>
      </c>
      <c r="O1548" s="8" t="inlineStr">
        <is>
          <t>n.abdyldaeva</t>
        </is>
      </c>
      <c r="P1548" s="12" t="inlineStr">
        <is>
          <t>Реестр не подтверждает ни 1С, ни ETM (либо состав группы неоднозначен) — нужна проверка</t>
        </is>
      </c>
      <c r="Q1548" s="8" t="inlineStr">
        <is>
          <t>57430448,57430461</t>
        </is>
      </c>
    </row>
    <row r="1549">
      <c r="A1549" s="8" t="inlineStr">
        <is>
          <t>G02258</t>
        </is>
      </c>
      <c r="B1549" s="8" t="inlineStr">
        <is>
          <t>SkyWay Travel</t>
        </is>
      </c>
      <c r="C1549" s="8" t="inlineStr">
        <is>
          <t>2416942154</t>
        </is>
      </c>
      <c r="D1549" s="8" t="inlineStr">
        <is>
          <t>Сумма не сходится</t>
        </is>
      </c>
      <c r="E1549" s="8" t="inlineStr">
        <is>
          <t>Нужна проверка</t>
        </is>
      </c>
      <c r="F1549" s="8" t="inlineStr">
        <is>
          <t>C</t>
        </is>
      </c>
      <c r="G1549" s="14" t="n">
        <v>40283.76</v>
      </c>
      <c r="H1549" s="14" t="n">
        <v>-40158.62</v>
      </c>
      <c r="I1549" s="14" t="n"/>
      <c r="J1549" s="14" t="n">
        <v>125.1399999999994</v>
      </c>
      <c r="K1549" s="21" t="n">
        <v>46214.51949074074</v>
      </c>
      <c r="L1549" s="21" t="n">
        <v>46212</v>
      </c>
      <c r="M1549" s="8" t="inlineStr"/>
      <c r="N1549" s="8" t="inlineStr">
        <is>
          <t>Бухгалтер + менеджер субагента</t>
        </is>
      </c>
      <c r="O1549" s="8" t="inlineStr"/>
      <c r="P1549" s="12" t="inlineStr">
        <is>
          <t>Нет записи реестра (билет выписан субагентом сам) — определить виновного по данным нельзя</t>
        </is>
      </c>
      <c r="Q1549" s="8" t="inlineStr">
        <is>
          <t>57443823</t>
        </is>
      </c>
    </row>
    <row r="1550">
      <c r="A1550" s="8" t="inlineStr">
        <is>
          <t>G01198</t>
        </is>
      </c>
      <c r="B1550" s="8" t="inlineStr">
        <is>
          <t>Karakol Express</t>
        </is>
      </c>
      <c r="C1550" s="8" t="inlineStr">
        <is>
          <t>2420845044|2420845046|2420845049</t>
        </is>
      </c>
      <c r="D1550" s="8" t="inlineStr">
        <is>
          <t>Сумма не сходится</t>
        </is>
      </c>
      <c r="E1550" s="8" t="inlineStr">
        <is>
          <t>Нужна проверка</t>
        </is>
      </c>
      <c r="F1550" s="8" t="inlineStr">
        <is>
          <t>C</t>
        </is>
      </c>
      <c r="G1550" s="14" t="n">
        <v>51406.65</v>
      </c>
      <c r="H1550" s="14" t="n">
        <v>-51282.93</v>
      </c>
      <c r="I1550" s="14" t="n">
        <v>51406.65719999999</v>
      </c>
      <c r="J1550" s="14" t="n">
        <v>123.7200000000012</v>
      </c>
      <c r="K1550" s="21" t="n">
        <v>46036.4846875</v>
      </c>
      <c r="L1550" s="21" t="n">
        <v>46035</v>
      </c>
      <c r="M1550" s="8" t="inlineStr"/>
      <c r="N1550" s="8" t="inlineStr">
        <is>
          <t>Бухгалтер + менеджер субагента</t>
        </is>
      </c>
      <c r="O1550" s="8" t="inlineStr">
        <is>
          <t>a.toktosunova</t>
        </is>
      </c>
      <c r="P1550" s="12" t="inlineStr">
        <is>
          <t>Реестр не подтверждает ни 1С, ни ETM (либо состав группы неоднозначен) — нужна проверка</t>
        </is>
      </c>
      <c r="Q1550" s="8" t="inlineStr">
        <is>
          <t>57024374</t>
        </is>
      </c>
    </row>
    <row r="1551">
      <c r="A1551" s="8" t="inlineStr">
        <is>
          <t>G13881</t>
        </is>
      </c>
      <c r="B1551" s="8" t="inlineStr">
        <is>
          <t>ТЯНЬ-ШАНЬ ЭКСПРЕСС</t>
        </is>
      </c>
      <c r="C1551" s="8" t="inlineStr">
        <is>
          <t>2416942998</t>
        </is>
      </c>
      <c r="D1551" s="8" t="inlineStr">
        <is>
          <t>Сумма не сходится</t>
        </is>
      </c>
      <c r="E1551" s="8" t="inlineStr">
        <is>
          <t>Нужна проверка</t>
        </is>
      </c>
      <c r="F1551" s="8" t="inlineStr">
        <is>
          <t>C</t>
        </is>
      </c>
      <c r="G1551" s="14" t="n">
        <v>37610.54</v>
      </c>
      <c r="H1551" s="14" t="n">
        <v>-37733.92</v>
      </c>
      <c r="I1551" s="14" t="n"/>
      <c r="J1551" s="14" t="n">
        <v>-123.3799999999974</v>
      </c>
      <c r="K1551" s="21" t="n">
        <v>46212.56961805555</v>
      </c>
      <c r="L1551" s="21" t="n">
        <v>46211</v>
      </c>
      <c r="M1551" s="8" t="inlineStr"/>
      <c r="N1551" s="8" t="inlineStr">
        <is>
          <t>Бухгалтер + менеджер субагента</t>
        </is>
      </c>
      <c r="O1551" s="8" t="inlineStr"/>
      <c r="P1551" s="12" t="inlineStr">
        <is>
          <t>Нет записи реестра (билет выписан субагентом сам) — определить виновного по данным нельзя</t>
        </is>
      </c>
      <c r="Q1551" s="8" t="inlineStr">
        <is>
          <t>57440088</t>
        </is>
      </c>
    </row>
    <row r="1552">
      <c r="A1552" s="8" t="inlineStr">
        <is>
          <t>G09377</t>
        </is>
      </c>
      <c r="B1552" s="8" t="inlineStr">
        <is>
          <t>ИССЫК ТРИП</t>
        </is>
      </c>
      <c r="C1552" s="8" t="inlineStr">
        <is>
          <t>2559103901</t>
        </is>
      </c>
      <c r="D1552" s="8" t="inlineStr">
        <is>
          <t>Сумма не сходится</t>
        </is>
      </c>
      <c r="E1552" s="8" t="inlineStr">
        <is>
          <t>Нужна проверка</t>
        </is>
      </c>
      <c r="F1552" s="8" t="inlineStr">
        <is>
          <t>C</t>
        </is>
      </c>
      <c r="G1552" s="14" t="n">
        <v>30723.03</v>
      </c>
      <c r="H1552" s="14" t="n">
        <v>-30845.88</v>
      </c>
      <c r="I1552" s="14" t="n">
        <v>30723.03</v>
      </c>
      <c r="J1552" s="14" t="n">
        <v>-122.8500000000022</v>
      </c>
      <c r="K1552" s="21" t="n">
        <v>46123.55236111111</v>
      </c>
      <c r="L1552" s="21" t="n">
        <v>46122</v>
      </c>
      <c r="M1552" s="8" t="inlineStr"/>
      <c r="N1552" s="8" t="inlineStr">
        <is>
          <t>Бухгалтер + менеджер субагента</t>
        </is>
      </c>
      <c r="O1552" s="8" t="inlineStr">
        <is>
          <t>e.satarov</t>
        </is>
      </c>
      <c r="P1552" s="12" t="inlineStr">
        <is>
          <t>Реестр не подтверждает ни 1С, ни ETM (либо состав группы неоднозначен) — нужна проверка</t>
        </is>
      </c>
      <c r="Q1552" s="8" t="inlineStr">
        <is>
          <t>57201636</t>
        </is>
      </c>
    </row>
    <row r="1553">
      <c r="A1553" s="8" t="inlineStr">
        <is>
          <t>G13459</t>
        </is>
      </c>
      <c r="B1553" s="8" t="inlineStr">
        <is>
          <t>Сатарова Жылдыз Жумабековна</t>
        </is>
      </c>
      <c r="C1553" s="8" t="inlineStr">
        <is>
          <t>2416942214|2416942215|2416942217</t>
        </is>
      </c>
      <c r="D1553" s="8" t="inlineStr">
        <is>
          <t>Сумма не сходится</t>
        </is>
      </c>
      <c r="E1553" s="8" t="inlineStr">
        <is>
          <t>Нужна проверка</t>
        </is>
      </c>
      <c r="F1553" s="8" t="inlineStr">
        <is>
          <t>C</t>
        </is>
      </c>
      <c r="G1553" s="14" t="n">
        <v>100202.52</v>
      </c>
      <c r="H1553" s="14" t="n">
        <v>-100081.92</v>
      </c>
      <c r="I1553" s="14" t="n">
        <v>100202.52</v>
      </c>
      <c r="J1553" s="14" t="n">
        <v>120.6000000000058</v>
      </c>
      <c r="K1553" s="21" t="n">
        <v>46104.57391203703</v>
      </c>
      <c r="L1553" s="21" t="n">
        <v>46103</v>
      </c>
      <c r="M1553" s="8" t="inlineStr"/>
      <c r="N1553" s="8" t="inlineStr">
        <is>
          <t>Бухгалтер + менеджер субагента</t>
        </is>
      </c>
      <c r="O1553" s="8" t="inlineStr">
        <is>
          <t>a.toktosunova</t>
        </is>
      </c>
      <c r="P1553" s="12" t="inlineStr">
        <is>
          <t>Реестр не подтверждает ни 1С, ни ETM (либо состав группы неоднозначен) — нужна проверка</t>
        </is>
      </c>
      <c r="Q1553" s="8" t="inlineStr">
        <is>
          <t>57164144,57164113,57164122</t>
        </is>
      </c>
    </row>
    <row r="1554">
      <c r="A1554" s="8" t="inlineStr">
        <is>
          <t>G14433</t>
        </is>
      </c>
      <c r="B1554" s="8" t="inlineStr">
        <is>
          <t>ЧОЛПОН ЭЙР</t>
        </is>
      </c>
      <c r="C1554" s="8" t="inlineStr">
        <is>
          <t>2552667633</t>
        </is>
      </c>
      <c r="D1554" s="8" t="inlineStr">
        <is>
          <t>Сумма не сходится</t>
        </is>
      </c>
      <c r="E1554" s="8" t="inlineStr">
        <is>
          <t>Нужна проверка</t>
        </is>
      </c>
      <c r="F1554" s="8" t="inlineStr">
        <is>
          <t>C</t>
        </is>
      </c>
      <c r="G1554" s="14" t="n">
        <v>41957.49</v>
      </c>
      <c r="H1554" s="14" t="n">
        <v>-42075.95</v>
      </c>
      <c r="I1554" s="14" t="n">
        <v>41957.4875</v>
      </c>
      <c r="J1554" s="14" t="n">
        <v>-118.4599999999991</v>
      </c>
      <c r="K1554" s="21" t="n">
        <v>46045.54696759259</v>
      </c>
      <c r="L1554" s="21" t="n">
        <v>46043</v>
      </c>
      <c r="M1554" s="8" t="inlineStr"/>
      <c r="N1554" s="8" t="inlineStr">
        <is>
          <t>Бухгалтер + менеджер субагента</t>
        </is>
      </c>
      <c r="O1554" s="8" t="inlineStr">
        <is>
          <t>k.dzhumaev</t>
        </is>
      </c>
      <c r="P1554" s="12" t="inlineStr">
        <is>
          <t>Реестр не подтверждает ни 1С, ни ETM (либо состав группы неоднозначен) — нужна проверка</t>
        </is>
      </c>
      <c r="Q1554" s="8" t="inlineStr">
        <is>
          <t>57042224</t>
        </is>
      </c>
    </row>
    <row r="1555">
      <c r="A1555" s="8" t="inlineStr">
        <is>
          <t>G02127</t>
        </is>
      </c>
      <c r="B1555" s="8" t="inlineStr">
        <is>
          <t>Nomad Trip</t>
        </is>
      </c>
      <c r="C1555" s="8" t="inlineStr">
        <is>
          <t>2559101308</t>
        </is>
      </c>
      <c r="D1555" s="8" t="inlineStr">
        <is>
          <t>Сумма не сходится</t>
        </is>
      </c>
      <c r="E1555" s="8" t="inlineStr">
        <is>
          <t>Нужна проверка</t>
        </is>
      </c>
      <c r="F1555" s="8" t="inlineStr">
        <is>
          <t>C</t>
        </is>
      </c>
      <c r="G1555" s="14" t="n">
        <v>33224.67</v>
      </c>
      <c r="H1555" s="14" t="n">
        <v>-33342.62</v>
      </c>
      <c r="I1555" s="14" t="n">
        <v>33224.665</v>
      </c>
      <c r="J1555" s="14" t="n">
        <v>-117.9500000000044</v>
      </c>
      <c r="K1555" s="21" t="n">
        <v>46084.59131944444</v>
      </c>
      <c r="L1555" s="21" t="n">
        <v>46082</v>
      </c>
      <c r="M1555" s="8" t="inlineStr"/>
      <c r="N1555" s="8" t="inlineStr">
        <is>
          <t>Бухгалтер + менеджер субагента</t>
        </is>
      </c>
      <c r="O1555" s="8" t="inlineStr">
        <is>
          <t>b.isakov</t>
        </is>
      </c>
      <c r="P1555" s="12" t="inlineStr">
        <is>
          <t>Реестр не подтверждает ни 1С, ни ETM (либо состав группы неоднозначен) — нужна проверка</t>
        </is>
      </c>
      <c r="Q1555" s="8" t="inlineStr">
        <is>
          <t>57116418</t>
        </is>
      </c>
    </row>
    <row r="1556">
      <c r="A1556" s="8" t="inlineStr">
        <is>
          <t>G07827</t>
        </is>
      </c>
      <c r="B1556" s="8" t="inlineStr">
        <is>
          <t>ИП Асанов К. Б.</t>
        </is>
      </c>
      <c r="C1556" s="8" t="inlineStr">
        <is>
          <t>2420846826|2420846827</t>
        </is>
      </c>
      <c r="D1556" s="8" t="inlineStr">
        <is>
          <t>Сумма не сходится</t>
        </is>
      </c>
      <c r="E1556" s="8" t="inlineStr">
        <is>
          <t>Нужна проверка</t>
        </is>
      </c>
      <c r="F1556" s="8" t="inlineStr">
        <is>
          <t>C</t>
        </is>
      </c>
      <c r="G1556" s="14" t="n">
        <v>40065.8</v>
      </c>
      <c r="H1556" s="14" t="n">
        <v>-40183.3</v>
      </c>
      <c r="I1556" s="14" t="n"/>
      <c r="J1556" s="14" t="n">
        <v>-117.5</v>
      </c>
      <c r="K1556" s="21" t="n">
        <v>46094.6440625</v>
      </c>
      <c r="L1556" s="21" t="n">
        <v>46093</v>
      </c>
      <c r="M1556" s="8" t="inlineStr"/>
      <c r="N1556" s="8" t="inlineStr">
        <is>
          <t>Бухгалтер + менеджер субагента</t>
        </is>
      </c>
      <c r="O1556" s="8" t="inlineStr"/>
      <c r="P1556" s="12" t="inlineStr">
        <is>
          <t>Нет записи реестра (билет выписан субагентом сам) — определить виновного по данным нельзя</t>
        </is>
      </c>
      <c r="Q1556" s="8" t="inlineStr">
        <is>
          <t>57142990,57143011</t>
        </is>
      </c>
    </row>
    <row r="1557">
      <c r="A1557" s="8" t="inlineStr">
        <is>
          <t>G03742</t>
        </is>
      </c>
      <c r="B1557" s="8" t="inlineStr">
        <is>
          <t>SkyWay Travel</t>
        </is>
      </c>
      <c r="C1557" s="8" t="inlineStr">
        <is>
          <t>2559102555|2559102557|2559102558</t>
        </is>
      </c>
      <c r="D1557" s="8" t="inlineStr">
        <is>
          <t>Сумма не сходится</t>
        </is>
      </c>
      <c r="E1557" s="8" t="inlineStr">
        <is>
          <t>Нужна проверка</t>
        </is>
      </c>
      <c r="F1557" s="8" t="inlineStr">
        <is>
          <t>C</t>
        </is>
      </c>
      <c r="G1557" s="14" t="n">
        <v>103310.1</v>
      </c>
      <c r="H1557" s="14" t="n">
        <v>-103427.1</v>
      </c>
      <c r="I1557" s="14" t="n"/>
      <c r="J1557" s="14" t="n">
        <v>-116.9999999999854</v>
      </c>
      <c r="K1557" s="21" t="n">
        <v>46109.47819444445</v>
      </c>
      <c r="L1557" s="21" t="n">
        <v>46107</v>
      </c>
      <c r="M1557" s="8" t="inlineStr"/>
      <c r="N1557" s="8" t="inlineStr">
        <is>
          <t>Бухгалтер + менеджер субагента</t>
        </is>
      </c>
      <c r="O1557" s="8" t="inlineStr"/>
      <c r="P1557" s="12" t="inlineStr">
        <is>
          <t>Нет записи реестра (билет выписан субагентом сам) — определить виновного по данным нельзя</t>
        </is>
      </c>
      <c r="Q1557" s="8" t="inlineStr">
        <is>
          <t>57173373,57173411,57173442</t>
        </is>
      </c>
    </row>
    <row r="1558">
      <c r="A1558" s="8" t="inlineStr">
        <is>
          <t>G07037</t>
        </is>
      </c>
      <c r="B1558" s="8" t="inlineStr">
        <is>
          <t>Жибек Авиакасса</t>
        </is>
      </c>
      <c r="C1558" s="8" t="inlineStr">
        <is>
          <t>2552670459</t>
        </is>
      </c>
      <c r="D1558" s="8" t="inlineStr">
        <is>
          <t>Сумма не сходится</t>
        </is>
      </c>
      <c r="E1558" s="8" t="inlineStr">
        <is>
          <t>Нужна проверка</t>
        </is>
      </c>
      <c r="F1558" s="8" t="inlineStr">
        <is>
          <t>C</t>
        </is>
      </c>
      <c r="G1558" s="14" t="n">
        <v>26700.56</v>
      </c>
      <c r="H1558" s="14" t="n">
        <v>-26815.05</v>
      </c>
      <c r="I1558" s="14" t="n">
        <v>26700.5625</v>
      </c>
      <c r="J1558" s="14" t="n">
        <v>-114.489999999998</v>
      </c>
      <c r="K1558" s="21" t="n">
        <v>46053.55277777778</v>
      </c>
      <c r="L1558" s="21" t="n">
        <v>46051</v>
      </c>
      <c r="M1558" s="8" t="inlineStr"/>
      <c r="N1558" s="8" t="inlineStr">
        <is>
          <t>Бухгалтер + менеджер субагента</t>
        </is>
      </c>
      <c r="O1558" s="8" t="inlineStr">
        <is>
          <t>d.mambetova</t>
        </is>
      </c>
      <c r="P1558" s="12" t="inlineStr">
        <is>
          <t>Реестр не подтверждает ни 1С, ни ETM (либо состав группы неоднозначен) — нужна проверка</t>
        </is>
      </c>
      <c r="Q1558" s="8" t="inlineStr">
        <is>
          <t>57060969</t>
        </is>
      </c>
    </row>
    <row r="1559">
      <c r="A1559" s="8" t="inlineStr">
        <is>
          <t>G02303</t>
        </is>
      </c>
      <c r="B1559" s="8" t="inlineStr">
        <is>
          <t>SkyWay Travel</t>
        </is>
      </c>
      <c r="C1559" s="8" t="inlineStr">
        <is>
          <t>2416943393</t>
        </is>
      </c>
      <c r="D1559" s="8" t="inlineStr">
        <is>
          <t>Сумма не сходится</t>
        </is>
      </c>
      <c r="E1559" s="8" t="inlineStr">
        <is>
          <t>Нужна проверка</t>
        </is>
      </c>
      <c r="F1559" s="8" t="inlineStr">
        <is>
          <t>C</t>
        </is>
      </c>
      <c r="G1559" s="14" t="n">
        <v>54041.54</v>
      </c>
      <c r="H1559" s="14" t="n">
        <v>-54155.92</v>
      </c>
      <c r="I1559" s="14" t="n">
        <v>54041.54</v>
      </c>
      <c r="J1559" s="14" t="n">
        <v>-114.3799999999974</v>
      </c>
      <c r="K1559" s="21" t="n">
        <v>46201.61856481482</v>
      </c>
      <c r="L1559" s="21" t="n">
        <v>46200</v>
      </c>
      <c r="M1559" s="8" t="inlineStr"/>
      <c r="N1559" s="8" t="inlineStr">
        <is>
          <t>Бухгалтер + менеджер субагента</t>
        </is>
      </c>
      <c r="O1559" s="8" t="inlineStr">
        <is>
          <t>r.sydykov</t>
        </is>
      </c>
      <c r="P1559" s="12" t="inlineStr">
        <is>
          <t>Реестр не подтверждает ни 1С, ни ETM (либо состав группы неоднозначен) — нужна проверка</t>
        </is>
      </c>
      <c r="Q1559" s="8" t="inlineStr">
        <is>
          <t>57405705</t>
        </is>
      </c>
    </row>
    <row r="1560">
      <c r="A1560" s="8" t="inlineStr">
        <is>
          <t>G01067</t>
        </is>
      </c>
      <c r="B1560" s="8" t="inlineStr">
        <is>
          <t>Karakol Express</t>
        </is>
      </c>
      <c r="C1560" s="8" t="inlineStr">
        <is>
          <t>2416941922</t>
        </is>
      </c>
      <c r="D1560" s="8" t="inlineStr">
        <is>
          <t>Сумма не сходится</t>
        </is>
      </c>
      <c r="E1560" s="8" t="inlineStr">
        <is>
          <t>Нужна проверка</t>
        </is>
      </c>
      <c r="F1560" s="8" t="inlineStr">
        <is>
          <t>C</t>
        </is>
      </c>
      <c r="G1560" s="14" t="n">
        <v>35259.36</v>
      </c>
      <c r="H1560" s="14" t="n">
        <v>-35148</v>
      </c>
      <c r="I1560" s="14" t="n">
        <v>35259.36</v>
      </c>
      <c r="J1560" s="14" t="n">
        <v>111.3600000000006</v>
      </c>
      <c r="K1560" s="21" t="n">
        <v>46214.78328703704</v>
      </c>
      <c r="L1560" s="21" t="n">
        <v>46212</v>
      </c>
      <c r="M1560" s="8" t="inlineStr"/>
      <c r="N1560" s="8" t="inlineStr">
        <is>
          <t>Бухгалтер + менеджер субагента</t>
        </is>
      </c>
      <c r="O1560" s="8" t="inlineStr">
        <is>
          <t>r.sydykov</t>
        </is>
      </c>
      <c r="P1560" s="12" t="inlineStr">
        <is>
          <t>Реестр не подтверждает ни 1С, ни ETM (либо состав группы неоднозначен) — нужна проверка</t>
        </is>
      </c>
      <c r="Q1560" s="8" t="inlineStr">
        <is>
          <t>57443690</t>
        </is>
      </c>
    </row>
    <row r="1561">
      <c r="A1561" s="8" t="inlineStr">
        <is>
          <t>G12539</t>
        </is>
      </c>
      <c r="B1561" s="8" t="inlineStr">
        <is>
          <t>Сагын кызы Б.</t>
        </is>
      </c>
      <c r="C1561" s="8" t="inlineStr">
        <is>
          <t>2420844961</t>
        </is>
      </c>
      <c r="D1561" s="8" t="inlineStr">
        <is>
          <t>Сумма не сходится</t>
        </is>
      </c>
      <c r="E1561" s="8" t="inlineStr">
        <is>
          <t>Нужна проверка</t>
        </is>
      </c>
      <c r="F1561" s="8" t="inlineStr">
        <is>
          <t>C</t>
        </is>
      </c>
      <c r="G1561" s="14" t="n">
        <v>28694.19</v>
      </c>
      <c r="H1561" s="14" t="n">
        <v>-28805.47</v>
      </c>
      <c r="I1561" s="14" t="n">
        <v>28694.1852</v>
      </c>
      <c r="J1561" s="14" t="n">
        <v>-111.2800000000025</v>
      </c>
      <c r="K1561" s="21" t="n">
        <v>46168.72237268519</v>
      </c>
      <c r="L1561" s="21" t="n">
        <v>46166</v>
      </c>
      <c r="M1561" s="8" t="inlineStr"/>
      <c r="N1561" s="8" t="inlineStr">
        <is>
          <t>Бухгалтер + менеджер субагента</t>
        </is>
      </c>
      <c r="O1561" s="8" t="inlineStr">
        <is>
          <t>n.abdyldaeva</t>
        </is>
      </c>
      <c r="P1561" s="12" t="inlineStr">
        <is>
          <t>Реестр не подтверждает ни 1С, ни ETM (либо состав группы неоднозначен) — нужна проверка</t>
        </is>
      </c>
      <c r="Q1561" s="8" t="inlineStr">
        <is>
          <t>57312982</t>
        </is>
      </c>
    </row>
    <row r="1562">
      <c r="A1562" s="8" t="inlineStr">
        <is>
          <t>G13658</t>
        </is>
      </c>
      <c r="B1562" s="8" t="inlineStr">
        <is>
          <t>ТАЛАС ЛАЙН</t>
        </is>
      </c>
      <c r="C1562" s="8" t="inlineStr">
        <is>
          <t>2416943082</t>
        </is>
      </c>
      <c r="D1562" s="8" t="inlineStr">
        <is>
          <t>Сумма не сходится</t>
        </is>
      </c>
      <c r="E1562" s="8" t="inlineStr">
        <is>
          <t>Нужна проверка</t>
        </is>
      </c>
      <c r="F1562" s="8" t="inlineStr">
        <is>
          <t>C</t>
        </is>
      </c>
      <c r="G1562" s="14" t="n">
        <v>41357.42</v>
      </c>
      <c r="H1562" s="14" t="n">
        <v>-41466.56</v>
      </c>
      <c r="I1562" s="14" t="n">
        <v>41357.42</v>
      </c>
      <c r="J1562" s="14" t="n">
        <v>-109.1399999999994</v>
      </c>
      <c r="K1562" s="21" t="n">
        <v>46140.69143518519</v>
      </c>
      <c r="L1562" s="21" t="n">
        <v>46138</v>
      </c>
      <c r="M1562" s="8" t="inlineStr"/>
      <c r="N1562" s="8" t="inlineStr">
        <is>
          <t>Бухгалтер + менеджер субагента</t>
        </is>
      </c>
      <c r="O1562" s="8" t="inlineStr">
        <is>
          <t>e.satarov</t>
        </is>
      </c>
      <c r="P1562" s="12" t="inlineStr">
        <is>
          <t>Реестр не подтверждает ни 1С, ни ETM (либо состав группы неоднозначен) — нужна проверка</t>
        </is>
      </c>
      <c r="Q1562" s="8" t="inlineStr">
        <is>
          <t>57230395</t>
        </is>
      </c>
    </row>
    <row r="1563">
      <c r="A1563" s="8" t="inlineStr">
        <is>
          <t>G05819</t>
        </is>
      </c>
      <c r="B1563" s="8" t="inlineStr">
        <is>
          <t>Асанов Кубат Чынаревич</t>
        </is>
      </c>
      <c r="C1563" s="8" t="inlineStr">
        <is>
          <t>2420843701</t>
        </is>
      </c>
      <c r="D1563" s="8" t="inlineStr">
        <is>
          <t>Сумма не сходится</t>
        </is>
      </c>
      <c r="E1563" s="8" t="inlineStr">
        <is>
          <t>Нужна проверка</t>
        </is>
      </c>
      <c r="F1563" s="8" t="inlineStr">
        <is>
          <t>C</t>
        </is>
      </c>
      <c r="G1563" s="14" t="n">
        <v>24583.11</v>
      </c>
      <c r="H1563" s="14" t="n">
        <v>-24474.09</v>
      </c>
      <c r="I1563" s="14" t="n"/>
      <c r="J1563" s="14" t="n">
        <v>109.0200000000004</v>
      </c>
      <c r="K1563" s="21" t="n">
        <v>46218.53539351852</v>
      </c>
      <c r="L1563" s="21" t="n">
        <v>46217</v>
      </c>
      <c r="M1563" s="8" t="inlineStr"/>
      <c r="N1563" s="8" t="inlineStr">
        <is>
          <t>Бухгалтер + менеджер субагента</t>
        </is>
      </c>
      <c r="O1563" s="8" t="inlineStr"/>
      <c r="P1563" s="12" t="inlineStr">
        <is>
          <t>Нет записи реестра (билет выписан субагентом сам) — определить виновного по данным нельзя</t>
        </is>
      </c>
      <c r="Q1563" s="8" t="inlineStr">
        <is>
          <t>57457537</t>
        </is>
      </c>
    </row>
    <row r="1564">
      <c r="A1564" s="8" t="inlineStr">
        <is>
          <t>G07925</t>
        </is>
      </c>
      <c r="B1564" s="8" t="inlineStr">
        <is>
          <t>ИП Бейшенова Д. О.</t>
        </is>
      </c>
      <c r="C1564" s="8" t="inlineStr">
        <is>
          <t>2420848209|2420848210</t>
        </is>
      </c>
      <c r="D1564" s="8" t="inlineStr">
        <is>
          <t>Сумма не сходится</t>
        </is>
      </c>
      <c r="E1564" s="8" t="inlineStr">
        <is>
          <t>Нужна проверка</t>
        </is>
      </c>
      <c r="F1564" s="8" t="inlineStr">
        <is>
          <t>C</t>
        </is>
      </c>
      <c r="G1564" s="14" t="n">
        <v>48857.88</v>
      </c>
      <c r="H1564" s="14" t="n">
        <v>-48749.96</v>
      </c>
      <c r="I1564" s="14" t="n"/>
      <c r="J1564" s="14" t="n">
        <v>107.9199999999983</v>
      </c>
      <c r="K1564" s="21" t="n">
        <v>46198.48925925926</v>
      </c>
      <c r="L1564" s="21" t="n">
        <v>46197</v>
      </c>
      <c r="M1564" s="8" t="inlineStr"/>
      <c r="N1564" s="8" t="inlineStr">
        <is>
          <t>Бухгалтер + менеджер субагента</t>
        </is>
      </c>
      <c r="O1564" s="8" t="inlineStr"/>
      <c r="P1564" s="12" t="inlineStr">
        <is>
          <t>Нет записи реестра (билет выписан субагентом сам) — определить виновного по данным нельзя</t>
        </is>
      </c>
      <c r="Q1564" s="8" t="inlineStr">
        <is>
          <t>57397440,57397409</t>
        </is>
      </c>
    </row>
    <row r="1565">
      <c r="A1565" s="8" t="inlineStr">
        <is>
          <t>G05476</t>
        </is>
      </c>
      <c r="B1565" s="8" t="inlineStr">
        <is>
          <t>Ак-Куу Тур</t>
        </is>
      </c>
      <c r="C1565" s="8" t="inlineStr">
        <is>
          <t>2416945908</t>
        </is>
      </c>
      <c r="D1565" s="8" t="inlineStr">
        <is>
          <t>Сумма не сходится</t>
        </is>
      </c>
      <c r="E1565" s="8" t="inlineStr">
        <is>
          <t>Нужна проверка</t>
        </is>
      </c>
      <c r="F1565" s="8" t="inlineStr">
        <is>
          <t>C</t>
        </is>
      </c>
      <c r="G1565" s="14" t="n">
        <v>32472</v>
      </c>
      <c r="H1565" s="14" t="n">
        <v>-32364.99</v>
      </c>
      <c r="I1565" s="14" t="n">
        <v>32472</v>
      </c>
      <c r="J1565" s="14" t="n">
        <v>107.0099999999984</v>
      </c>
      <c r="K1565" s="21" t="n">
        <v>46166.48422453704</v>
      </c>
      <c r="L1565" s="21" t="n">
        <v>46165</v>
      </c>
      <c r="M1565" s="8" t="inlineStr"/>
      <c r="N1565" s="8" t="inlineStr">
        <is>
          <t>Бухгалтер + менеджер субагента</t>
        </is>
      </c>
      <c r="O1565" s="8" t="inlineStr">
        <is>
          <t>r.sydykov</t>
        </is>
      </c>
      <c r="P1565" s="12" t="inlineStr">
        <is>
          <t>Реестр не подтверждает ни 1С, ни ETM (либо состав группы неоднозначен) — нужна проверка</t>
        </is>
      </c>
      <c r="Q1565" s="8" t="inlineStr">
        <is>
          <t>57311421</t>
        </is>
      </c>
    </row>
    <row r="1566">
      <c r="A1566" s="8" t="inlineStr">
        <is>
          <t>G07420</t>
        </is>
      </c>
      <c r="B1566" s="8" t="inlineStr">
        <is>
          <t>Жибек Эйр</t>
        </is>
      </c>
      <c r="C1566" s="8" t="inlineStr">
        <is>
          <t>2559099456|2559099459</t>
        </is>
      </c>
      <c r="D1566" s="8" t="inlineStr">
        <is>
          <t>Сумма не сходится</t>
        </is>
      </c>
      <c r="E1566" s="8" t="inlineStr">
        <is>
          <t>Нужна проверка</t>
        </is>
      </c>
      <c r="F1566" s="8" t="inlineStr">
        <is>
          <t>C</t>
        </is>
      </c>
      <c r="G1566" s="14" t="n">
        <v>84114.24000000001</v>
      </c>
      <c r="H1566" s="14" t="n">
        <v>-84007.32000000001</v>
      </c>
      <c r="I1566" s="14" t="n">
        <v>84114.24000000001</v>
      </c>
      <c r="J1566" s="14" t="n">
        <v>106.9199999999983</v>
      </c>
      <c r="K1566" s="21" t="n">
        <v>46045.57701388889</v>
      </c>
      <c r="L1566" s="21" t="n">
        <v>46044</v>
      </c>
      <c r="M1566" s="8" t="inlineStr"/>
      <c r="N1566" s="8" t="inlineStr">
        <is>
          <t>Бухгалтер + менеджер субагента</t>
        </is>
      </c>
      <c r="O1566" s="8" t="inlineStr">
        <is>
          <t>b.isakov</t>
        </is>
      </c>
      <c r="P1566" s="12" t="inlineStr">
        <is>
          <t>Реестр не подтверждает ни 1С, ни ETM (либо состав группы неоднозначен) — нужна проверка</t>
        </is>
      </c>
      <c r="Q1566" s="8" t="inlineStr">
        <is>
          <t>57044564,57044587</t>
        </is>
      </c>
    </row>
    <row r="1567">
      <c r="A1567" s="8" t="inlineStr">
        <is>
          <t>G12420</t>
        </is>
      </c>
      <c r="B1567" s="8" t="inlineStr">
        <is>
          <t>СОН-КУЛЬ ТУР</t>
        </is>
      </c>
      <c r="C1567" s="8" t="inlineStr">
        <is>
          <t>2416940815</t>
        </is>
      </c>
      <c r="D1567" s="8" t="inlineStr">
        <is>
          <t>Сумма не сходится</t>
        </is>
      </c>
      <c r="E1567" s="8" t="inlineStr">
        <is>
          <t>Нужна проверка</t>
        </is>
      </c>
      <c r="F1567" s="8" t="inlineStr">
        <is>
          <t>C</t>
        </is>
      </c>
      <c r="G1567" s="14" t="n">
        <v>30789.5</v>
      </c>
      <c r="H1567" s="14" t="n">
        <v>-30894.5</v>
      </c>
      <c r="I1567" s="14" t="n">
        <v>30789.5</v>
      </c>
      <c r="J1567" s="14" t="n">
        <v>-105</v>
      </c>
      <c r="K1567" s="21" t="n">
        <v>46178.52310185185</v>
      </c>
      <c r="L1567" s="21" t="n">
        <v>46176</v>
      </c>
      <c r="M1567" s="8" t="inlineStr"/>
      <c r="N1567" s="8" t="inlineStr">
        <is>
          <t>Бухгалтер + менеджер субагента</t>
        </is>
      </c>
      <c r="O1567" s="8" t="inlineStr">
        <is>
          <t>g.omurbekova</t>
        </is>
      </c>
      <c r="P1567" s="12" t="inlineStr">
        <is>
          <t>Реестр не подтверждает ни 1С, ни ETM (либо состав группы неоднозначен) — нужна проверка</t>
        </is>
      </c>
      <c r="Q1567" s="8" t="inlineStr">
        <is>
          <t>57338025</t>
        </is>
      </c>
    </row>
    <row r="1568">
      <c r="A1568" s="8" t="inlineStr">
        <is>
          <t>G14078</t>
        </is>
      </c>
      <c r="B1568" s="8" t="inlineStr">
        <is>
          <t>Урматов Эрлан Сагынович</t>
        </is>
      </c>
      <c r="C1568" s="8" t="inlineStr">
        <is>
          <t>2420848318</t>
        </is>
      </c>
      <c r="D1568" s="8" t="inlineStr">
        <is>
          <t>Сумма не сходится</t>
        </is>
      </c>
      <c r="E1568" s="8" t="inlineStr">
        <is>
          <t>Нужна проверка</t>
        </is>
      </c>
      <c r="F1568" s="8" t="inlineStr">
        <is>
          <t>C</t>
        </is>
      </c>
      <c r="G1568" s="14" t="n">
        <v>16189.31</v>
      </c>
      <c r="H1568" s="14" t="n">
        <v>-16293.43</v>
      </c>
      <c r="I1568" s="14" t="n"/>
      <c r="J1568" s="14" t="n">
        <v>-104.1200000000008</v>
      </c>
      <c r="K1568" s="21" t="n">
        <v>46089.53184027778</v>
      </c>
      <c r="L1568" s="21" t="n">
        <v>46088</v>
      </c>
      <c r="M1568" s="8" t="inlineStr"/>
      <c r="N1568" s="8" t="inlineStr">
        <is>
          <t>Бухгалтер + менеджер субагента</t>
        </is>
      </c>
      <c r="O1568" s="8" t="inlineStr"/>
      <c r="P1568" s="12" t="inlineStr">
        <is>
          <t>Нет записи реестра (билет выписан субагентом сам) — определить виновного по данным нельзя</t>
        </is>
      </c>
      <c r="Q1568" s="8" t="inlineStr">
        <is>
          <t>57130703</t>
        </is>
      </c>
    </row>
    <row r="1569">
      <c r="A1569" s="8" t="inlineStr">
        <is>
          <t>G01897</t>
        </is>
      </c>
      <c r="B1569" s="8" t="inlineStr">
        <is>
          <t>Karakol Express</t>
        </is>
      </c>
      <c r="C1569" s="8" t="inlineStr">
        <is>
          <t>2559099769</t>
        </is>
      </c>
      <c r="D1569" s="8" t="inlineStr">
        <is>
          <t>Сумма не сходится</t>
        </is>
      </c>
      <c r="E1569" s="8" t="inlineStr">
        <is>
          <t>Нужна проверка</t>
        </is>
      </c>
      <c r="F1569" s="8" t="inlineStr">
        <is>
          <t>C</t>
        </is>
      </c>
      <c r="G1569" s="14" t="n">
        <v>26071.04</v>
      </c>
      <c r="H1569" s="14" t="n">
        <v>-26174.4</v>
      </c>
      <c r="I1569" s="14" t="n">
        <v>26071.04</v>
      </c>
      <c r="J1569" s="14" t="n">
        <v>-103.3600000000006</v>
      </c>
      <c r="K1569" s="21" t="n">
        <v>46101.69936342593</v>
      </c>
      <c r="L1569" s="21" t="n">
        <v>46100</v>
      </c>
      <c r="M1569" s="8" t="inlineStr"/>
      <c r="N1569" s="8" t="inlineStr">
        <is>
          <t>Бухгалтер + менеджер субагента</t>
        </is>
      </c>
      <c r="O1569" s="8" t="inlineStr">
        <is>
          <t>n.abdyldaeva</t>
        </is>
      </c>
      <c r="P1569" s="12" t="inlineStr">
        <is>
          <t>Реестр не подтверждает ни 1С, ни ETM (либо состав группы неоднозначен) — нужна проверка</t>
        </is>
      </c>
      <c r="Q1569" s="8" t="inlineStr">
        <is>
          <t>57157355</t>
        </is>
      </c>
    </row>
    <row r="1570">
      <c r="A1570" s="8" t="inlineStr">
        <is>
          <t>G08491</t>
        </is>
      </c>
      <c r="B1570" s="8" t="inlineStr">
        <is>
          <t>ИП Токтосун кызы Н.</t>
        </is>
      </c>
      <c r="C1570" s="8" t="inlineStr">
        <is>
          <t>2416940860|2416940863</t>
        </is>
      </c>
      <c r="D1570" s="8" t="inlineStr">
        <is>
          <t>Сумма не сходится</t>
        </is>
      </c>
      <c r="E1570" s="8" t="inlineStr">
        <is>
          <t>Нужна проверка</t>
        </is>
      </c>
      <c r="F1570" s="8" t="inlineStr">
        <is>
          <t>C</t>
        </is>
      </c>
      <c r="G1570" s="14" t="n">
        <v>77188.28</v>
      </c>
      <c r="H1570" s="14" t="n">
        <v>-77291.36</v>
      </c>
      <c r="I1570" s="14" t="n">
        <v>77188.27</v>
      </c>
      <c r="J1570" s="14" t="n">
        <v>-103.0800000000017</v>
      </c>
      <c r="K1570" s="21" t="n">
        <v>46108.59127314815</v>
      </c>
      <c r="L1570" s="21" t="n">
        <v>46107</v>
      </c>
      <c r="M1570" s="8" t="inlineStr"/>
      <c r="N1570" s="8" t="inlineStr">
        <is>
          <t>Бухгалтер + менеджер субагента</t>
        </is>
      </c>
      <c r="O1570" s="8" t="inlineStr">
        <is>
          <t>g.omurbekova</t>
        </is>
      </c>
      <c r="P1570" s="12" t="inlineStr">
        <is>
          <t>Реестр не подтверждает ни 1С, ни ETM (либо состав группы неоднозначен) — нужна проверка</t>
        </is>
      </c>
      <c r="Q1570" s="8" t="inlineStr">
        <is>
          <t>57172024,57172061</t>
        </is>
      </c>
    </row>
    <row r="1571">
      <c r="A1571" s="8" t="inlineStr">
        <is>
          <t>G14882</t>
        </is>
      </c>
      <c r="B1571" s="8" t="inlineStr">
        <is>
          <t>Ыйык Авиакасса</t>
        </is>
      </c>
      <c r="C1571" s="8" t="inlineStr">
        <is>
          <t>2552669319</t>
        </is>
      </c>
      <c r="D1571" s="8" t="inlineStr">
        <is>
          <t>Сумма не сходится</t>
        </is>
      </c>
      <c r="E1571" s="8" t="inlineStr">
        <is>
          <t>Нужна проверка</t>
        </is>
      </c>
      <c r="F1571" s="8" t="inlineStr">
        <is>
          <t>C</t>
        </is>
      </c>
      <c r="G1571" s="14" t="n">
        <v>25298.51</v>
      </c>
      <c r="H1571" s="14" t="n">
        <v>-25401.35</v>
      </c>
      <c r="I1571" s="14" t="n">
        <v>25298.5125</v>
      </c>
      <c r="J1571" s="14" t="n">
        <v>-102.8400000000001</v>
      </c>
      <c r="K1571" s="21" t="n">
        <v>46115.63239583333</v>
      </c>
      <c r="L1571" s="21" t="n">
        <v>46114</v>
      </c>
      <c r="M1571" s="8" t="inlineStr"/>
      <c r="N1571" s="8" t="inlineStr">
        <is>
          <t>Бухгалтер + менеджер субагента</t>
        </is>
      </c>
      <c r="O1571" s="8" t="inlineStr">
        <is>
          <t>e.satarov</t>
        </is>
      </c>
      <c r="P1571" s="12" t="inlineStr">
        <is>
          <t>Реестр не подтверждает ни 1С, ни ETM (либо состав группы неоднозначен) — нужна проверка</t>
        </is>
      </c>
      <c r="Q1571" s="8" t="inlineStr">
        <is>
          <t>57186089</t>
        </is>
      </c>
    </row>
    <row r="1572">
      <c r="A1572" s="8" t="inlineStr">
        <is>
          <t>G06135</t>
        </is>
      </c>
      <c r="B1572" s="8" t="inlineStr">
        <is>
          <t>Байтур Трип</t>
        </is>
      </c>
      <c r="C1572" s="8" t="inlineStr">
        <is>
          <t>2552672546</t>
        </is>
      </c>
      <c r="D1572" s="8" t="inlineStr">
        <is>
          <t>Сумма не сходится</t>
        </is>
      </c>
      <c r="E1572" s="8" t="inlineStr">
        <is>
          <t>Нужна проверка</t>
        </is>
      </c>
      <c r="F1572" s="8" t="inlineStr">
        <is>
          <t>C</t>
        </is>
      </c>
      <c r="G1572" s="14" t="n">
        <v>32835.78</v>
      </c>
      <c r="H1572" s="14" t="n">
        <v>-32733.86</v>
      </c>
      <c r="I1572" s="14" t="n">
        <v>32835.7825</v>
      </c>
      <c r="J1572" s="14" t="n">
        <v>101.9199999999983</v>
      </c>
      <c r="K1572" s="21" t="n">
        <v>46158.74601851852</v>
      </c>
      <c r="L1572" s="21" t="n">
        <v>46156</v>
      </c>
      <c r="M1572" s="8" t="inlineStr"/>
      <c r="N1572" s="8" t="inlineStr">
        <is>
          <t>Бухгалтер + менеджер субагента</t>
        </is>
      </c>
      <c r="O1572" s="8" t="inlineStr">
        <is>
          <t>g.omurbekova</t>
        </is>
      </c>
      <c r="P1572" s="12" t="inlineStr">
        <is>
          <t>Реестр не подтверждает ни 1С, ни ETM (либо состав группы неоднозначен) — нужна проверка</t>
        </is>
      </c>
      <c r="Q1572" s="8" t="inlineStr">
        <is>
          <t>57284768</t>
        </is>
      </c>
    </row>
    <row r="1573">
      <c r="A1573" s="8" t="inlineStr">
        <is>
          <t>G08959</t>
        </is>
      </c>
      <c r="B1573" s="8" t="inlineStr">
        <is>
          <t>ИССЫК ТРИП</t>
        </is>
      </c>
      <c r="C1573" s="8" t="inlineStr">
        <is>
          <t>2420847149|2420847150</t>
        </is>
      </c>
      <c r="D1573" s="8" t="inlineStr">
        <is>
          <t>Сумма не сходится</t>
        </is>
      </c>
      <c r="E1573" s="8" t="inlineStr">
        <is>
          <t>Нужна проверка</t>
        </is>
      </c>
      <c r="F1573" s="8" t="inlineStr">
        <is>
          <t>C</t>
        </is>
      </c>
      <c r="G1573" s="14" t="n">
        <v>33477.84</v>
      </c>
      <c r="H1573" s="14" t="n">
        <v>-33578.24</v>
      </c>
      <c r="I1573" s="14" t="n">
        <v>33477.8468</v>
      </c>
      <c r="J1573" s="14" t="n">
        <v>-100.4000000000015</v>
      </c>
      <c r="K1573" s="21" t="n">
        <v>46196.5890162037</v>
      </c>
      <c r="L1573" s="21" t="n">
        <v>46194</v>
      </c>
      <c r="M1573" s="8" t="inlineStr"/>
      <c r="N1573" s="8" t="inlineStr">
        <is>
          <t>Бухгалтер + менеджер субагента</t>
        </is>
      </c>
      <c r="O1573" s="8" t="inlineStr">
        <is>
          <t>r.sydykov</t>
        </is>
      </c>
      <c r="P1573" s="12" t="inlineStr">
        <is>
          <t>Реестр не подтверждает ни 1С, ни ETM (либо состав группы неоднозначен) — нужна проверка</t>
        </is>
      </c>
      <c r="Q1573" s="8" t="inlineStr">
        <is>
          <t>57387259,57387267</t>
        </is>
      </c>
    </row>
    <row r="1574">
      <c r="A1574" s="8" t="inlineStr">
        <is>
          <t>G08962</t>
        </is>
      </c>
      <c r="B1574" s="8" t="inlineStr">
        <is>
          <t>ИССЫК ТРИП</t>
        </is>
      </c>
      <c r="C1574" s="8" t="inlineStr">
        <is>
          <t>2420847279</t>
        </is>
      </c>
      <c r="D1574" s="8" t="inlineStr">
        <is>
          <t>Сумма не сходится</t>
        </is>
      </c>
      <c r="E1574" s="8" t="inlineStr">
        <is>
          <t>Нужна проверка</t>
        </is>
      </c>
      <c r="F1574" s="8" t="inlineStr">
        <is>
          <t>C</t>
        </is>
      </c>
      <c r="G1574" s="14" t="n">
        <v>16707.87</v>
      </c>
      <c r="H1574" s="14" t="n">
        <v>-16608.54</v>
      </c>
      <c r="I1574" s="14" t="n"/>
      <c r="J1574" s="14" t="n">
        <v>99.32999999999811</v>
      </c>
      <c r="K1574" s="21" t="n">
        <v>46232.59773148148</v>
      </c>
      <c r="L1574" s="21" t="n">
        <v>46230</v>
      </c>
      <c r="M1574" s="8" t="inlineStr"/>
      <c r="N1574" s="8" t="inlineStr">
        <is>
          <t>Бухгалтер + менеджер субагента</t>
        </is>
      </c>
      <c r="O1574" s="8" t="inlineStr"/>
      <c r="P1574" s="12" t="inlineStr">
        <is>
          <t>Нет записи реестра (билет выписан субагентом сам) — определить виновного по данным нельзя</t>
        </is>
      </c>
      <c r="Q1574" s="8" t="inlineStr">
        <is>
          <t>57492791</t>
        </is>
      </c>
    </row>
    <row r="1575">
      <c r="A1575" s="8" t="inlineStr">
        <is>
          <t>G13909</t>
        </is>
      </c>
      <c r="B1575" s="8" t="inlineStr">
        <is>
          <t>ТЯНЬ-ШАНЬ ЭКСПРЕСС</t>
        </is>
      </c>
      <c r="C1575" s="8" t="inlineStr">
        <is>
          <t>2420847781|2420847782|2420847783</t>
        </is>
      </c>
      <c r="D1575" s="8" t="inlineStr">
        <is>
          <t>Сумма не сходится</t>
        </is>
      </c>
      <c r="E1575" s="8" t="inlineStr">
        <is>
          <t>Нужна проверка</t>
        </is>
      </c>
      <c r="F1575" s="8" t="inlineStr">
        <is>
          <t>C</t>
        </is>
      </c>
      <c r="G1575" s="14" t="n">
        <v>91250.46000000001</v>
      </c>
      <c r="H1575" s="14" t="n">
        <v>-91151.34</v>
      </c>
      <c r="I1575" s="14" t="n"/>
      <c r="J1575" s="14" t="n">
        <v>99.1200000000099</v>
      </c>
      <c r="K1575" s="21" t="n">
        <v>46147.49018518518</v>
      </c>
      <c r="L1575" s="21" t="n">
        <v>46146</v>
      </c>
      <c r="M1575" s="8" t="inlineStr"/>
      <c r="N1575" s="8" t="inlineStr">
        <is>
          <t>Бухгалтер + менеджер субагента</t>
        </is>
      </c>
      <c r="O1575" s="8" t="inlineStr"/>
      <c r="P1575" s="12" t="inlineStr">
        <is>
          <t>Нет записи реестра (билет выписан субагентом сам) — определить виновного по данным нельзя</t>
        </is>
      </c>
      <c r="Q1575" s="8" t="inlineStr">
        <is>
          <t>57252110</t>
        </is>
      </c>
    </row>
    <row r="1576">
      <c r="A1576" s="8" t="inlineStr">
        <is>
          <t>G12571</t>
        </is>
      </c>
      <c r="B1576" s="8" t="inlineStr">
        <is>
          <t>Сагын кызы Б.</t>
        </is>
      </c>
      <c r="C1576" s="8" t="inlineStr">
        <is>
          <t>2552670580</t>
        </is>
      </c>
      <c r="D1576" s="8" t="inlineStr">
        <is>
          <t>Сумма не сходится</t>
        </is>
      </c>
      <c r="E1576" s="8" t="inlineStr">
        <is>
          <t>Нужна проверка</t>
        </is>
      </c>
      <c r="F1576" s="8" t="inlineStr">
        <is>
          <t>C</t>
        </is>
      </c>
      <c r="G1576" s="14" t="n">
        <v>26500.54</v>
      </c>
      <c r="H1576" s="14" t="n">
        <v>-26599.35</v>
      </c>
      <c r="I1576" s="14" t="n"/>
      <c r="J1576" s="14" t="n">
        <v>-98.80999999999767</v>
      </c>
      <c r="K1576" s="21" t="n">
        <v>46234.3945949074</v>
      </c>
      <c r="L1576" s="21" t="n">
        <v>46233</v>
      </c>
      <c r="M1576" s="8" t="inlineStr"/>
      <c r="N1576" s="8" t="inlineStr">
        <is>
          <t>Бухгалтер + менеджер субагента</t>
        </is>
      </c>
      <c r="O1576" s="8" t="inlineStr"/>
      <c r="P1576" s="12" t="inlineStr">
        <is>
          <t>Нет записи реестра (билет выписан субагентом сам) — определить виновного по данным нельзя</t>
        </is>
      </c>
      <c r="Q1576" s="8" t="inlineStr">
        <is>
          <t>57500157</t>
        </is>
      </c>
    </row>
    <row r="1577">
      <c r="A1577" s="8" t="inlineStr">
        <is>
          <t>G00268</t>
        </is>
      </c>
      <c r="B1577" s="8" t="inlineStr">
        <is>
          <t>Bishkek Fly</t>
        </is>
      </c>
      <c r="C1577" s="8" t="inlineStr">
        <is>
          <t>2416943821|2416943822</t>
        </is>
      </c>
      <c r="D1577" s="8" t="inlineStr">
        <is>
          <t>Сумма не сходится</t>
        </is>
      </c>
      <c r="E1577" s="8" t="inlineStr">
        <is>
          <t>Нужна проверка</t>
        </is>
      </c>
      <c r="F1577" s="8" t="inlineStr">
        <is>
          <t>C</t>
        </is>
      </c>
      <c r="G1577" s="14" t="n">
        <v>73022.14</v>
      </c>
      <c r="H1577" s="14" t="n">
        <v>-72924.10000000001</v>
      </c>
      <c r="I1577" s="14" t="n">
        <v>73022.14</v>
      </c>
      <c r="J1577" s="14" t="n">
        <v>98.0399999999936</v>
      </c>
      <c r="K1577" s="21" t="n">
        <v>46038.5775462963</v>
      </c>
      <c r="L1577" s="21" t="n">
        <v>46036</v>
      </c>
      <c r="M1577" s="8" t="inlineStr"/>
      <c r="N1577" s="8" t="inlineStr">
        <is>
          <t>Бухгалтер + менеджер субагента</t>
        </is>
      </c>
      <c r="O1577" s="8" t="inlineStr">
        <is>
          <t>a.toktosunova</t>
        </is>
      </c>
      <c r="P1577" s="12" t="inlineStr">
        <is>
          <t>Реестр не подтверждает ни 1С, ни ETM (либо состав группы неоднозначен) — нужна проверка</t>
        </is>
      </c>
      <c r="Q1577" s="8" t="inlineStr">
        <is>
          <t>57027423,57027458</t>
        </is>
      </c>
    </row>
    <row r="1578">
      <c r="A1578" s="8" t="inlineStr">
        <is>
          <t>G03415</t>
        </is>
      </c>
      <c r="B1578" s="8" t="inlineStr">
        <is>
          <t>SkyWay Travel</t>
        </is>
      </c>
      <c r="C1578" s="8" t="inlineStr">
        <is>
          <t>2552668675</t>
        </is>
      </c>
      <c r="D1578" s="8" t="inlineStr">
        <is>
          <t>Сумма не сходится</t>
        </is>
      </c>
      <c r="E1578" s="8" t="inlineStr">
        <is>
          <t>Нужна проверка</t>
        </is>
      </c>
      <c r="F1578" s="8" t="inlineStr">
        <is>
          <t>C</t>
        </is>
      </c>
      <c r="G1578" s="14" t="n">
        <v>4994.190000000002</v>
      </c>
      <c r="H1578" s="14" t="n">
        <v>-5091.980000000003</v>
      </c>
      <c r="I1578" s="14" t="n"/>
      <c r="J1578" s="14" t="n">
        <v>-97.79000000000087</v>
      </c>
      <c r="K1578" s="21" t="n">
        <v>46079.76144675926</v>
      </c>
      <c r="L1578" s="21" t="n">
        <v>46078</v>
      </c>
      <c r="M1578" s="8" t="inlineStr"/>
      <c r="N1578" s="8" t="inlineStr">
        <is>
          <t>Бухгалтер + менеджер субагента</t>
        </is>
      </c>
      <c r="O1578" s="8" t="inlineStr"/>
      <c r="P1578" s="12" t="inlineStr">
        <is>
          <t>Нет записи реестра (билет выписан субагентом сам) — определить виновного по данным нельзя</t>
        </is>
      </c>
      <c r="Q1578" s="8" t="inlineStr">
        <is>
          <t>57108317,57189467</t>
        </is>
      </c>
    </row>
    <row r="1579">
      <c r="A1579" s="8" t="inlineStr">
        <is>
          <t>G08124</t>
        </is>
      </c>
      <c r="B1579" s="8" t="inlineStr">
        <is>
          <t>ИП Джолдошов Д. У.</t>
        </is>
      </c>
      <c r="C1579" s="8" t="inlineStr">
        <is>
          <t>2559103675</t>
        </is>
      </c>
      <c r="D1579" s="8" t="inlineStr">
        <is>
          <t>Сумма не сходится</t>
        </is>
      </c>
      <c r="E1579" s="8" t="inlineStr">
        <is>
          <t>Нужна проверка</t>
        </is>
      </c>
      <c r="F1579" s="8" t="inlineStr">
        <is>
          <t>C</t>
        </is>
      </c>
      <c r="G1579" s="14" t="n">
        <v>20355.9</v>
      </c>
      <c r="H1579" s="14" t="n">
        <v>-20452.26</v>
      </c>
      <c r="I1579" s="14" t="n"/>
      <c r="J1579" s="14" t="n">
        <v>-96.35999999999694</v>
      </c>
      <c r="K1579" s="21" t="n">
        <v>46102.73076388889</v>
      </c>
      <c r="L1579" s="21" t="n">
        <v>46101</v>
      </c>
      <c r="M1579" s="8" t="inlineStr"/>
      <c r="N1579" s="8" t="inlineStr">
        <is>
          <t>Бухгалтер + менеджер субагента</t>
        </is>
      </c>
      <c r="O1579" s="8" t="inlineStr"/>
      <c r="P1579" s="12" t="inlineStr">
        <is>
          <t>Нет записи реестра (билет выписан субагентом сам) — определить виновного по данным нельзя</t>
        </is>
      </c>
      <c r="Q1579" s="8" t="inlineStr">
        <is>
          <t>57161177</t>
        </is>
      </c>
    </row>
    <row r="1580">
      <c r="A1580" s="8" t="inlineStr">
        <is>
          <t>G14595</t>
        </is>
      </c>
      <c r="B1580" s="8" t="inlineStr">
        <is>
          <t>Чынарова Бурул Джолдошовна</t>
        </is>
      </c>
      <c r="C1580" s="8" t="inlineStr">
        <is>
          <t>2420848320</t>
        </is>
      </c>
      <c r="D1580" s="8" t="inlineStr">
        <is>
          <t>Сумма не сходится</t>
        </is>
      </c>
      <c r="E1580" s="8" t="inlineStr">
        <is>
          <t>Нужна проверка</t>
        </is>
      </c>
      <c r="F1580" s="8" t="inlineStr">
        <is>
          <t>C</t>
        </is>
      </c>
      <c r="G1580" s="14" t="n">
        <v>23746.72</v>
      </c>
      <c r="H1580" s="14" t="n">
        <v>-23843.07</v>
      </c>
      <c r="I1580" s="14" t="n"/>
      <c r="J1580" s="14" t="n">
        <v>-96.34999999999854</v>
      </c>
      <c r="K1580" s="21" t="n">
        <v>46076.50532407407</v>
      </c>
      <c r="L1580" s="21" t="n">
        <v>46074</v>
      </c>
      <c r="M1580" s="8" t="inlineStr"/>
      <c r="N1580" s="8" t="inlineStr">
        <is>
          <t>Бухгалтер + менеджер субагента</t>
        </is>
      </c>
      <c r="O1580" s="8" t="inlineStr"/>
      <c r="P1580" s="12" t="inlineStr">
        <is>
          <t>Нет записи реестра (билет выписан субагентом сам) — определить виновного по данным нельзя</t>
        </is>
      </c>
      <c r="Q1580" s="8" t="inlineStr">
        <is>
          <t>57102445</t>
        </is>
      </c>
    </row>
    <row r="1581">
      <c r="A1581" s="8" t="inlineStr">
        <is>
          <t>G03971</t>
        </is>
      </c>
      <c r="B1581" s="8" t="inlineStr">
        <is>
          <t>Sunrise Tours</t>
        </is>
      </c>
      <c r="C1581" s="8" t="inlineStr">
        <is>
          <t>2552668476</t>
        </is>
      </c>
      <c r="D1581" s="8" t="inlineStr">
        <is>
          <t>Сумма не сходится</t>
        </is>
      </c>
      <c r="E1581" s="8" t="inlineStr">
        <is>
          <t>Нужна проверка</t>
        </is>
      </c>
      <c r="F1581" s="8" t="inlineStr">
        <is>
          <t>C</t>
        </is>
      </c>
      <c r="G1581" s="14" t="n">
        <v>37138.24</v>
      </c>
      <c r="H1581" s="14" t="n">
        <v>-37042.24</v>
      </c>
      <c r="I1581" s="14" t="n">
        <v>37138.24</v>
      </c>
      <c r="J1581" s="14" t="n">
        <v>96</v>
      </c>
      <c r="K1581" s="21" t="n">
        <v>46230.70993055555</v>
      </c>
      <c r="L1581" s="21" t="n">
        <v>46229</v>
      </c>
      <c r="M1581" s="8" t="inlineStr"/>
      <c r="N1581" s="8" t="inlineStr">
        <is>
          <t>Бухгалтер + менеджер субагента</t>
        </is>
      </c>
      <c r="O1581" s="8" t="inlineStr">
        <is>
          <t>a.toktosunova</t>
        </is>
      </c>
      <c r="P1581" s="12" t="inlineStr">
        <is>
          <t>Реестр не подтверждает ни 1С, ни ETM (либо состав группы неоднозначен) — нужна проверка</t>
        </is>
      </c>
      <c r="Q1581" s="8" t="inlineStr">
        <is>
          <t>57488833</t>
        </is>
      </c>
    </row>
    <row r="1582">
      <c r="A1582" s="8" t="inlineStr">
        <is>
          <t>G12829</t>
        </is>
      </c>
      <c r="B1582" s="8" t="inlineStr">
        <is>
          <t>Салам Экспресс</t>
        </is>
      </c>
      <c r="C1582" s="8" t="inlineStr">
        <is>
          <t>2552668329</t>
        </is>
      </c>
      <c r="D1582" s="8" t="inlineStr">
        <is>
          <t>Сумма не сходится</t>
        </is>
      </c>
      <c r="E1582" s="8" t="inlineStr">
        <is>
          <t>Нужна проверка</t>
        </is>
      </c>
      <c r="F1582" s="8" t="inlineStr">
        <is>
          <t>C</t>
        </is>
      </c>
      <c r="G1582" s="14" t="n">
        <v>32373.76</v>
      </c>
      <c r="H1582" s="14" t="n">
        <v>-32278.35</v>
      </c>
      <c r="I1582" s="14" t="n"/>
      <c r="J1582" s="14" t="n">
        <v>95.40999999999985</v>
      </c>
      <c r="K1582" s="21" t="n">
        <v>46190.48300925926</v>
      </c>
      <c r="L1582" s="21" t="n">
        <v>46188</v>
      </c>
      <c r="M1582" s="8" t="inlineStr"/>
      <c r="N1582" s="8" t="inlineStr">
        <is>
          <t>Бухгалтер + менеджер субагента</t>
        </is>
      </c>
      <c r="O1582" s="8" t="inlineStr"/>
      <c r="P1582" s="12" t="inlineStr">
        <is>
          <t>Нет записи реестра (билет выписан субагентом сам) — определить виновного по данным нельзя</t>
        </is>
      </c>
      <c r="Q1582" s="8" t="inlineStr">
        <is>
          <t>57368779</t>
        </is>
      </c>
    </row>
    <row r="1583">
      <c r="A1583" s="8" t="inlineStr">
        <is>
          <t>G07616</t>
        </is>
      </c>
      <c r="B1583" s="8" t="inlineStr">
        <is>
          <t>Жумабек кызы Умут</t>
        </is>
      </c>
      <c r="C1583" s="8" t="inlineStr">
        <is>
          <t>2420848806</t>
        </is>
      </c>
      <c r="D1583" s="8" t="inlineStr">
        <is>
          <t>Сумма не сходится</t>
        </is>
      </c>
      <c r="E1583" s="8" t="inlineStr">
        <is>
          <t>Нужна проверка</t>
        </is>
      </c>
      <c r="F1583" s="8" t="inlineStr">
        <is>
          <t>C</t>
        </is>
      </c>
      <c r="G1583" s="14" t="n">
        <v>21534.72</v>
      </c>
      <c r="H1583" s="14" t="n">
        <v>-21629.46</v>
      </c>
      <c r="I1583" s="14" t="n">
        <v>21534.7216</v>
      </c>
      <c r="J1583" s="14" t="n">
        <v>-94.73999999999796</v>
      </c>
      <c r="K1583" s="21" t="n">
        <v>46134.4659375</v>
      </c>
      <c r="L1583" s="21" t="n">
        <v>46132</v>
      </c>
      <c r="M1583" s="8" t="inlineStr"/>
      <c r="N1583" s="8" t="inlineStr">
        <is>
          <t>Бухгалтер + менеджер субагента</t>
        </is>
      </c>
      <c r="O1583" s="8" t="inlineStr">
        <is>
          <t>k.dzhumaev</t>
        </is>
      </c>
      <c r="P1583" s="12" t="inlineStr">
        <is>
          <t>Реестр не подтверждает ни 1С, ни ETM (либо состав группы неоднозначен) — нужна проверка</t>
        </is>
      </c>
      <c r="Q1583" s="8" t="inlineStr">
        <is>
          <t>57218626</t>
        </is>
      </c>
    </row>
    <row r="1584">
      <c r="A1584" s="8" t="inlineStr">
        <is>
          <t>G10413</t>
        </is>
      </c>
      <c r="B1584" s="8" t="inlineStr">
        <is>
          <t>Манас Тревел</t>
        </is>
      </c>
      <c r="C1584" s="8" t="inlineStr">
        <is>
          <t>2552667568</t>
        </is>
      </c>
      <c r="D1584" s="8" t="inlineStr">
        <is>
          <t>Сумма не сходится</t>
        </is>
      </c>
      <c r="E1584" s="8" t="inlineStr">
        <is>
          <t>Нужна проверка</t>
        </is>
      </c>
      <c r="F1584" s="8" t="inlineStr">
        <is>
          <t>C</t>
        </is>
      </c>
      <c r="G1584" s="14" t="n">
        <v>36594.26</v>
      </c>
      <c r="H1584" s="14" t="n">
        <v>-36688.45</v>
      </c>
      <c r="I1584" s="14" t="n">
        <v>36594.2625</v>
      </c>
      <c r="J1584" s="14" t="n">
        <v>-94.18999999999505</v>
      </c>
      <c r="K1584" s="21" t="n">
        <v>46183.60695601852</v>
      </c>
      <c r="L1584" s="21" t="n">
        <v>46182</v>
      </c>
      <c r="M1584" s="8" t="inlineStr"/>
      <c r="N1584" s="8" t="inlineStr">
        <is>
          <t>Бухгалтер + менеджер субагента</t>
        </is>
      </c>
      <c r="O1584" s="8" t="inlineStr">
        <is>
          <t>g.omurbekova</t>
        </is>
      </c>
      <c r="P1584" s="12" t="inlineStr">
        <is>
          <t>Реестр не подтверждает ни 1С, ни ETM (либо состав группы неоднозначен) — нужна проверка</t>
        </is>
      </c>
      <c r="Q1584" s="8" t="inlineStr">
        <is>
          <t>57353651</t>
        </is>
      </c>
    </row>
    <row r="1585">
      <c r="A1585" s="8" t="inlineStr">
        <is>
          <t>G10448</t>
        </is>
      </c>
      <c r="B1585" s="8" t="inlineStr">
        <is>
          <t>Манас Тревел</t>
        </is>
      </c>
      <c r="C1585" s="8" t="inlineStr">
        <is>
          <t>2552672811</t>
        </is>
      </c>
      <c r="D1585" s="8" t="inlineStr">
        <is>
          <t>Сумма не сходится</t>
        </is>
      </c>
      <c r="E1585" s="8" t="inlineStr">
        <is>
          <t>Нужна проверка</t>
        </is>
      </c>
      <c r="F1585" s="8" t="inlineStr">
        <is>
          <t>C</t>
        </is>
      </c>
      <c r="G1585" s="14" t="n">
        <v>32665.85</v>
      </c>
      <c r="H1585" s="14" t="n">
        <v>-32571.82</v>
      </c>
      <c r="I1585" s="14" t="n">
        <v>32665.85</v>
      </c>
      <c r="J1585" s="14" t="n">
        <v>94.02999999999884</v>
      </c>
      <c r="K1585" s="21" t="n">
        <v>46187.5112037037</v>
      </c>
      <c r="L1585" s="21" t="n">
        <v>46185</v>
      </c>
      <c r="M1585" s="8" t="inlineStr"/>
      <c r="N1585" s="8" t="inlineStr">
        <is>
          <t>Бухгалтер + менеджер субагента</t>
        </is>
      </c>
      <c r="O1585" s="8" t="inlineStr">
        <is>
          <t>b.isakov</t>
        </is>
      </c>
      <c r="P1585" s="12" t="inlineStr">
        <is>
          <t>Реестр не подтверждает ни 1С, ни ETM (либо состав группы неоднозначен) — нужна проверка</t>
        </is>
      </c>
      <c r="Q1585" s="8" t="inlineStr">
        <is>
          <t>57363152</t>
        </is>
      </c>
    </row>
    <row r="1586">
      <c r="A1586" s="8" t="inlineStr">
        <is>
          <t>G12893</t>
        </is>
      </c>
      <c r="B1586" s="8" t="inlineStr">
        <is>
          <t>Сатар уулу Санжар</t>
        </is>
      </c>
      <c r="C1586" s="8" t="inlineStr">
        <is>
          <t>2416944503</t>
        </is>
      </c>
      <c r="D1586" s="8" t="inlineStr">
        <is>
          <t>Сумма не сходится</t>
        </is>
      </c>
      <c r="E1586" s="8" t="inlineStr">
        <is>
          <t>Нужна проверка</t>
        </is>
      </c>
      <c r="F1586" s="8" t="inlineStr">
        <is>
          <t>C</t>
        </is>
      </c>
      <c r="G1586" s="14" t="n">
        <v>36561.62</v>
      </c>
      <c r="H1586" s="14" t="n">
        <v>-36469.85</v>
      </c>
      <c r="I1586" s="14" t="n">
        <v>36561.62</v>
      </c>
      <c r="J1586" s="14" t="n">
        <v>91.77000000000407</v>
      </c>
      <c r="K1586" s="21" t="n">
        <v>46232.62563657408</v>
      </c>
      <c r="L1586" s="21" t="n">
        <v>46230</v>
      </c>
      <c r="M1586" s="8" t="inlineStr"/>
      <c r="N1586" s="8" t="inlineStr">
        <is>
          <t>Бухгалтер + менеджер субагента</t>
        </is>
      </c>
      <c r="O1586" s="8" t="inlineStr">
        <is>
          <t>k.dzhumaev</t>
        </is>
      </c>
      <c r="P1586" s="12" t="inlineStr">
        <is>
          <t>Реестр не подтверждает ни 1С, ни ETM (либо состав группы неоднозначен) — нужна проверка</t>
        </is>
      </c>
      <c r="Q1586" s="8" t="inlineStr">
        <is>
          <t>57492680</t>
        </is>
      </c>
    </row>
    <row r="1587">
      <c r="A1587" s="8" t="inlineStr">
        <is>
          <t>G10102</t>
        </is>
      </c>
      <c r="B1587" s="8" t="inlineStr">
        <is>
          <t>Манас Вояж</t>
        </is>
      </c>
      <c r="C1587" s="8" t="inlineStr">
        <is>
          <t>2416946097|2416946098|2416946099|2416946101</t>
        </is>
      </c>
      <c r="D1587" s="8" t="inlineStr">
        <is>
          <t>Сумма не сходится</t>
        </is>
      </c>
      <c r="E1587" s="8" t="inlineStr">
        <is>
          <t>Нужна проверка</t>
        </is>
      </c>
      <c r="F1587" s="8" t="inlineStr">
        <is>
          <t>C</t>
        </is>
      </c>
      <c r="G1587" s="14" t="n">
        <v>135463.96</v>
      </c>
      <c r="H1587" s="14" t="n">
        <v>-135555.52</v>
      </c>
      <c r="I1587" s="14" t="n"/>
      <c r="J1587" s="14" t="n">
        <v>-91.55999999999767</v>
      </c>
      <c r="K1587" s="21" t="n">
        <v>46150.63924768518</v>
      </c>
      <c r="L1587" s="21" t="n">
        <v>46148</v>
      </c>
      <c r="M1587" s="8" t="inlineStr"/>
      <c r="N1587" s="8" t="inlineStr">
        <is>
          <t>Бухгалтер + менеджер субагента</t>
        </is>
      </c>
      <c r="O1587" s="8" t="inlineStr"/>
      <c r="P1587" s="12" t="inlineStr">
        <is>
          <t>Нет записи реестра (билет выписан субагентом сам) — определить виновного по данным нельзя</t>
        </is>
      </c>
      <c r="Q1587" s="8" t="inlineStr">
        <is>
          <t>57260070,57260096,57260048,57260013</t>
        </is>
      </c>
    </row>
    <row r="1588">
      <c r="A1588" s="8" t="inlineStr">
        <is>
          <t>G06337</t>
        </is>
      </c>
      <c r="B1588" s="8" t="inlineStr">
        <is>
          <t>Джолдош уулу Руслан</t>
        </is>
      </c>
      <c r="C1588" s="8" t="inlineStr">
        <is>
          <t>2420845919|2420845921</t>
        </is>
      </c>
      <c r="D1588" s="8" t="inlineStr">
        <is>
          <t>Сумма не сходится</t>
        </is>
      </c>
      <c r="E1588" s="8" t="inlineStr">
        <is>
          <t>Нужна проверка</t>
        </is>
      </c>
      <c r="F1588" s="8" t="inlineStr">
        <is>
          <t>C</t>
        </is>
      </c>
      <c r="G1588" s="14" t="n">
        <v>39328.42</v>
      </c>
      <c r="H1588" s="14" t="n">
        <v>-39418.52</v>
      </c>
      <c r="I1588" s="14" t="n">
        <v>39328.425</v>
      </c>
      <c r="J1588" s="14" t="n">
        <v>-90.09999999999854</v>
      </c>
      <c r="K1588" s="21" t="n">
        <v>46204.38564814815</v>
      </c>
      <c r="L1588" s="21" t="n">
        <v>46203</v>
      </c>
      <c r="M1588" s="8" t="inlineStr"/>
      <c r="N1588" s="8" t="inlineStr">
        <is>
          <t>Бухгалтер + менеджер субагента</t>
        </is>
      </c>
      <c r="O1588" s="8" t="inlineStr">
        <is>
          <t>k.dzhumaev</t>
        </is>
      </c>
      <c r="P1588" s="12" t="inlineStr">
        <is>
          <t>Реестр не подтверждает ни 1С, ни ETM (либо состав группы неоднозначен) — нужна проверка</t>
        </is>
      </c>
      <c r="Q1588" s="8" t="inlineStr">
        <is>
          <t>57414784,57414817</t>
        </is>
      </c>
    </row>
    <row r="1589">
      <c r="A1589" s="8" t="inlineStr">
        <is>
          <t>G06314</t>
        </is>
      </c>
      <c r="B1589" s="8" t="inlineStr">
        <is>
          <t>Бирлик Трип</t>
        </is>
      </c>
      <c r="C1589" s="8" t="inlineStr">
        <is>
          <t>2552671463</t>
        </is>
      </c>
      <c r="D1589" s="8" t="inlineStr">
        <is>
          <t>Сумма не сходится</t>
        </is>
      </c>
      <c r="E1589" s="8" t="inlineStr">
        <is>
          <t>Нужна проверка</t>
        </is>
      </c>
      <c r="F1589" s="8" t="inlineStr">
        <is>
          <t>C</t>
        </is>
      </c>
      <c r="G1589" s="14" t="n">
        <v>30506.61</v>
      </c>
      <c r="H1589" s="14" t="n">
        <v>-30596.27</v>
      </c>
      <c r="I1589" s="14" t="n">
        <v>30506.615</v>
      </c>
      <c r="J1589" s="14" t="n">
        <v>-89.66000000000349</v>
      </c>
      <c r="K1589" s="21" t="n">
        <v>46067.72262731481</v>
      </c>
      <c r="L1589" s="21" t="n">
        <v>46066</v>
      </c>
      <c r="M1589" s="8" t="inlineStr"/>
      <c r="N1589" s="8" t="inlineStr">
        <is>
          <t>Бухгалтер + менеджер субагента</t>
        </is>
      </c>
      <c r="O1589" s="8" t="inlineStr">
        <is>
          <t>d.mambetova</t>
        </is>
      </c>
      <c r="P1589" s="12" t="inlineStr">
        <is>
          <t>Реестр не подтверждает ни 1С, ни ETM (либо состав группы неоднозначен) — нужна проверка</t>
        </is>
      </c>
      <c r="Q1589" s="8" t="inlineStr">
        <is>
          <t>57088959</t>
        </is>
      </c>
    </row>
    <row r="1590">
      <c r="A1590" s="8" t="inlineStr">
        <is>
          <t>G02372</t>
        </is>
      </c>
      <c r="B1590" s="8" t="inlineStr">
        <is>
          <t>SkyWay Travel</t>
        </is>
      </c>
      <c r="C1590" s="8" t="inlineStr">
        <is>
          <t>2416945288</t>
        </is>
      </c>
      <c r="D1590" s="8" t="inlineStr">
        <is>
          <t>Сумма не сходится</t>
        </is>
      </c>
      <c r="E1590" s="8" t="inlineStr">
        <is>
          <t>Нужна проверка</t>
        </is>
      </c>
      <c r="F1590" s="8" t="inlineStr">
        <is>
          <t>C</t>
        </is>
      </c>
      <c r="G1590" s="14" t="n">
        <v>22101.33</v>
      </c>
      <c r="H1590" s="14" t="n">
        <v>-22189.7</v>
      </c>
      <c r="I1590" s="14" t="n">
        <v>22101.325</v>
      </c>
      <c r="J1590" s="14" t="n">
        <v>-88.36999999999898</v>
      </c>
      <c r="K1590" s="21" t="n">
        <v>46123.42210648148</v>
      </c>
      <c r="L1590" s="21" t="n">
        <v>46122</v>
      </c>
      <c r="M1590" s="8" t="inlineStr"/>
      <c r="N1590" s="8" t="inlineStr">
        <is>
          <t>Бухгалтер + менеджер субагента</t>
        </is>
      </c>
      <c r="O1590" s="8" t="inlineStr">
        <is>
          <t>d.mambetova</t>
        </is>
      </c>
      <c r="P1590" s="12" t="inlineStr">
        <is>
          <t>Реестр не подтверждает ни 1С, ни ETM (либо состав группы неоднозначен) — нужна проверка</t>
        </is>
      </c>
      <c r="Q1590" s="8" t="inlineStr">
        <is>
          <t>57201065</t>
        </is>
      </c>
    </row>
    <row r="1591">
      <c r="A1591" s="8" t="inlineStr">
        <is>
          <t>G00319</t>
        </is>
      </c>
      <c r="B1591" s="8" t="inlineStr">
        <is>
          <t>Blue Bird Travel</t>
        </is>
      </c>
      <c r="C1591" s="8" t="inlineStr">
        <is>
          <t>2416941640</t>
        </is>
      </c>
      <c r="D1591" s="8" t="inlineStr">
        <is>
          <t>Сумма не сходится</t>
        </is>
      </c>
      <c r="E1591" s="8" t="inlineStr">
        <is>
          <t>Нужна проверка</t>
        </is>
      </c>
      <c r="F1591" s="8" t="inlineStr">
        <is>
          <t>C</t>
        </is>
      </c>
      <c r="G1591" s="14" t="n">
        <v>37512.96</v>
      </c>
      <c r="H1591" s="14" t="n">
        <v>-37601.07</v>
      </c>
      <c r="I1591" s="14" t="n">
        <v>37512.96</v>
      </c>
      <c r="J1591" s="14" t="n">
        <v>-88.11000000000058</v>
      </c>
      <c r="K1591" s="21" t="n">
        <v>46207.43347222222</v>
      </c>
      <c r="L1591" s="21" t="n">
        <v>46206</v>
      </c>
      <c r="M1591" s="8" t="inlineStr"/>
      <c r="N1591" s="8" t="inlineStr">
        <is>
          <t>Бухгалтер + менеджер субагента</t>
        </is>
      </c>
      <c r="O1591" s="8" t="inlineStr">
        <is>
          <t>g.omurbekova</t>
        </is>
      </c>
      <c r="P1591" s="12" t="inlineStr">
        <is>
          <t>Реестр не подтверждает ни 1С, ни ETM (либо состав группы неоднозначен) — нужна проверка</t>
        </is>
      </c>
      <c r="Q1591" s="8" t="inlineStr">
        <is>
          <t>57423888</t>
        </is>
      </c>
    </row>
    <row r="1592">
      <c r="A1592" s="8" t="inlineStr">
        <is>
          <t>G03481</t>
        </is>
      </c>
      <c r="B1592" s="8" t="inlineStr">
        <is>
          <t>SkyWay Travel</t>
        </is>
      </c>
      <c r="C1592" s="8" t="inlineStr">
        <is>
          <t>2552670423</t>
        </is>
      </c>
      <c r="D1592" s="8" t="inlineStr">
        <is>
          <t>Сумма не сходится</t>
        </is>
      </c>
      <c r="E1592" s="8" t="inlineStr">
        <is>
          <t>Нужна проверка</t>
        </is>
      </c>
      <c r="F1592" s="8" t="inlineStr">
        <is>
          <t>C</t>
        </is>
      </c>
      <c r="G1592" s="14" t="n">
        <v>24957.44</v>
      </c>
      <c r="H1592" s="14" t="n">
        <v>-24870.89</v>
      </c>
      <c r="I1592" s="14" t="n"/>
      <c r="J1592" s="14" t="n">
        <v>86.54999999999927</v>
      </c>
      <c r="K1592" s="21" t="n">
        <v>46191.36104166666</v>
      </c>
      <c r="L1592" s="21" t="n">
        <v>46190</v>
      </c>
      <c r="M1592" s="8" t="inlineStr"/>
      <c r="N1592" s="8" t="inlineStr">
        <is>
          <t>Бухгалтер + менеджер субагента</t>
        </is>
      </c>
      <c r="O1592" s="8" t="inlineStr"/>
      <c r="P1592" s="12" t="inlineStr">
        <is>
          <t>Нет записи реестра (билет выписан субагентом сам) — определить виновного по данным нельзя</t>
        </is>
      </c>
      <c r="Q1592" s="8" t="inlineStr">
        <is>
          <t>57376377</t>
        </is>
      </c>
    </row>
    <row r="1593">
      <c r="A1593" s="8" t="inlineStr">
        <is>
          <t>G10087</t>
        </is>
      </c>
      <c r="B1593" s="8" t="inlineStr">
        <is>
          <t>Мамбет уулу Чынгыз</t>
        </is>
      </c>
      <c r="C1593" s="8" t="inlineStr">
        <is>
          <t>2559100918</t>
        </is>
      </c>
      <c r="D1593" s="8" t="inlineStr">
        <is>
          <t>Сумма не сходится</t>
        </is>
      </c>
      <c r="E1593" s="8" t="inlineStr">
        <is>
          <t>Нужна проверка</t>
        </is>
      </c>
      <c r="F1593" s="8" t="inlineStr">
        <is>
          <t>C</t>
        </is>
      </c>
      <c r="G1593" s="14" t="n">
        <v>34785.44</v>
      </c>
      <c r="H1593" s="14" t="n">
        <v>-34700.08</v>
      </c>
      <c r="I1593" s="14" t="n"/>
      <c r="J1593" s="14" t="n">
        <v>85.36000000000058</v>
      </c>
      <c r="K1593" s="21" t="n">
        <v>46026.52862268518</v>
      </c>
      <c r="L1593" s="21" t="n">
        <v>46024</v>
      </c>
      <c r="M1593" s="8" t="inlineStr"/>
      <c r="N1593" s="8" t="inlineStr">
        <is>
          <t>Бухгалтер + менеджер субагента</t>
        </is>
      </c>
      <c r="O1593" s="8" t="inlineStr"/>
      <c r="P1593" s="12" t="inlineStr">
        <is>
          <t>Нет записи реестра (билет выписан субагентом сам) — определить виновного по данным нельзя</t>
        </is>
      </c>
      <c r="Q1593" s="8" t="inlineStr">
        <is>
          <t>57003102</t>
        </is>
      </c>
    </row>
    <row r="1594">
      <c r="A1594" s="8" t="inlineStr">
        <is>
          <t>G15430</t>
        </is>
      </c>
      <c r="B1594" s="8" t="inlineStr">
        <is>
          <t>Эсенбеков Кубат Элдияревич</t>
        </is>
      </c>
      <c r="C1594" s="8" t="inlineStr">
        <is>
          <t>2559098662</t>
        </is>
      </c>
      <c r="D1594" s="8" t="inlineStr">
        <is>
          <t>Сумма не сходится</t>
        </is>
      </c>
      <c r="E1594" s="8" t="inlineStr">
        <is>
          <t>Нужна проверка</t>
        </is>
      </c>
      <c r="F1594" s="8" t="inlineStr">
        <is>
          <t>C</t>
        </is>
      </c>
      <c r="G1594" s="14" t="n">
        <v>21825.76</v>
      </c>
      <c r="H1594" s="14" t="n">
        <v>-21911.1</v>
      </c>
      <c r="I1594" s="14" t="n"/>
      <c r="J1594" s="14" t="n">
        <v>-85.34000000000015</v>
      </c>
      <c r="K1594" s="21" t="n">
        <v>46101.44327546296</v>
      </c>
      <c r="L1594" s="21" t="n">
        <v>46099</v>
      </c>
      <c r="M1594" s="8" t="inlineStr"/>
      <c r="N1594" s="8" t="inlineStr">
        <is>
          <t>Бухгалтер + менеджер субагента</t>
        </is>
      </c>
      <c r="O1594" s="8" t="inlineStr"/>
      <c r="P1594" s="12" t="inlineStr">
        <is>
          <t>Нет записи реестра (билет выписан субагентом сам) — определить виновного по данным нельзя</t>
        </is>
      </c>
      <c r="Q1594" s="8" t="inlineStr">
        <is>
          <t>57154939</t>
        </is>
      </c>
    </row>
    <row r="1595">
      <c r="A1595" s="8" t="inlineStr">
        <is>
          <t>G06906</t>
        </is>
      </c>
      <c r="B1595" s="8" t="inlineStr">
        <is>
          <t>Жибек Авиакасса</t>
        </is>
      </c>
      <c r="C1595" s="8" t="inlineStr">
        <is>
          <t>2420848487|2420848489</t>
        </is>
      </c>
      <c r="D1595" s="8" t="inlineStr">
        <is>
          <t>Сумма не сходится</t>
        </is>
      </c>
      <c r="E1595" s="8" t="inlineStr">
        <is>
          <t>Нужна проверка</t>
        </is>
      </c>
      <c r="F1595" s="8" t="inlineStr">
        <is>
          <t>C</t>
        </is>
      </c>
      <c r="G1595" s="14" t="n">
        <v>50566.1</v>
      </c>
      <c r="H1595" s="14" t="n">
        <v>-50480.8</v>
      </c>
      <c r="I1595" s="14" t="n">
        <v>50566.1032</v>
      </c>
      <c r="J1595" s="14" t="n">
        <v>85.29999999999563</v>
      </c>
      <c r="K1595" s="21" t="n">
        <v>46102.39232638889</v>
      </c>
      <c r="L1595" s="21" t="n">
        <v>46101</v>
      </c>
      <c r="M1595" s="8" t="inlineStr"/>
      <c r="N1595" s="8" t="inlineStr">
        <is>
          <t>Бухгалтер + менеджер субагента</t>
        </is>
      </c>
      <c r="O1595" s="8" t="inlineStr">
        <is>
          <t>n.abdyldaeva</t>
        </is>
      </c>
      <c r="P1595" s="12" t="inlineStr">
        <is>
          <t>Реестр не подтверждает ни 1С, ни ETM (либо состав группы неоднозначен) — нужна проверка</t>
        </is>
      </c>
      <c r="Q1595" s="8" t="inlineStr">
        <is>
          <t>57161330,57161339</t>
        </is>
      </c>
    </row>
    <row r="1596">
      <c r="A1596" s="8" t="inlineStr">
        <is>
          <t>G07746</t>
        </is>
      </c>
      <c r="B1596" s="8" t="inlineStr">
        <is>
          <t>ИП Абдыраманова Ж. Д.</t>
        </is>
      </c>
      <c r="C1596" s="8" t="inlineStr">
        <is>
          <t>2416940853</t>
        </is>
      </c>
      <c r="D1596" s="8" t="inlineStr">
        <is>
          <t>Сумма не сходится</t>
        </is>
      </c>
      <c r="E1596" s="8" t="inlineStr">
        <is>
          <t>Нужна проверка</t>
        </is>
      </c>
      <c r="F1596" s="8" t="inlineStr">
        <is>
          <t>C</t>
        </is>
      </c>
      <c r="G1596" s="14" t="n">
        <v>28078.4</v>
      </c>
      <c r="H1596" s="14" t="n">
        <v>-27994.68</v>
      </c>
      <c r="I1596" s="14" t="n">
        <v>28078.4</v>
      </c>
      <c r="J1596" s="14" t="n">
        <v>83.72000000000116</v>
      </c>
      <c r="K1596" s="21" t="n">
        <v>46092.3371875</v>
      </c>
      <c r="L1596" s="21" t="n">
        <v>46091</v>
      </c>
      <c r="M1596" s="8" t="inlineStr"/>
      <c r="N1596" s="8" t="inlineStr">
        <is>
          <t>Бухгалтер + менеджер субагента</t>
        </is>
      </c>
      <c r="O1596" s="8" t="inlineStr">
        <is>
          <t>g.omurbekova</t>
        </is>
      </c>
      <c r="P1596" s="12" t="inlineStr">
        <is>
          <t>Реестр не подтверждает ни 1С, ни ETM (либо состав группы неоднозначен) — нужна проверка</t>
        </is>
      </c>
      <c r="Q1596" s="8" t="inlineStr">
        <is>
          <t>57136099</t>
        </is>
      </c>
    </row>
    <row r="1597">
      <c r="A1597" s="8" t="inlineStr">
        <is>
          <t>G02441</t>
        </is>
      </c>
      <c r="B1597" s="8" t="inlineStr">
        <is>
          <t>SkyWay Travel</t>
        </is>
      </c>
      <c r="C1597" s="8" t="inlineStr">
        <is>
          <t>2420843890</t>
        </is>
      </c>
      <c r="D1597" s="8" t="inlineStr">
        <is>
          <t>Сумма не сходится</t>
        </is>
      </c>
      <c r="E1597" s="8" t="inlineStr">
        <is>
          <t>Нужна проверка</t>
        </is>
      </c>
      <c r="F1597" s="8" t="inlineStr">
        <is>
          <t>C</t>
        </is>
      </c>
      <c r="G1597" s="14" t="n">
        <v>24989.97</v>
      </c>
      <c r="H1597" s="14" t="n">
        <v>-25073.31</v>
      </c>
      <c r="I1597" s="14" t="n">
        <v>24989.9739</v>
      </c>
      <c r="J1597" s="14" t="n">
        <v>-83.34000000000015</v>
      </c>
      <c r="K1597" s="21" t="n">
        <v>46067.58614583333</v>
      </c>
      <c r="L1597" s="21" t="n">
        <v>46066</v>
      </c>
      <c r="M1597" s="8" t="inlineStr"/>
      <c r="N1597" s="8" t="inlineStr">
        <is>
          <t>Бухгалтер + менеджер субагента</t>
        </is>
      </c>
      <c r="O1597" s="8" t="inlineStr">
        <is>
          <t>e.satarov</t>
        </is>
      </c>
      <c r="P1597" s="12" t="inlineStr">
        <is>
          <t>Реестр не подтверждает ни 1С, ни ETM (либо состав группы неоднозначен) — нужна проверка</t>
        </is>
      </c>
      <c r="Q1597" s="8" t="inlineStr">
        <is>
          <t>57088503</t>
        </is>
      </c>
    </row>
    <row r="1598">
      <c r="A1598" s="8" t="inlineStr">
        <is>
          <t>G08927</t>
        </is>
      </c>
      <c r="B1598" s="8" t="inlineStr">
        <is>
          <t>ИССЫК ТРИП</t>
        </is>
      </c>
      <c r="C1598" s="8" t="inlineStr">
        <is>
          <t>2420844907|2420844909|2420844911|2420844913</t>
        </is>
      </c>
      <c r="D1598" s="8" t="inlineStr">
        <is>
          <t>Сумма не сходится</t>
        </is>
      </c>
      <c r="E1598" s="8" t="inlineStr">
        <is>
          <t>Нужна проверка</t>
        </is>
      </c>
      <c r="F1598" s="8" t="inlineStr">
        <is>
          <t>C</t>
        </is>
      </c>
      <c r="G1598" s="14" t="n">
        <v>78993.92</v>
      </c>
      <c r="H1598" s="14" t="n">
        <v>-78911</v>
      </c>
      <c r="I1598" s="14" t="n">
        <v>78993.90399999999</v>
      </c>
      <c r="J1598" s="14" t="n">
        <v>82.91999999999825</v>
      </c>
      <c r="K1598" s="21" t="n">
        <v>46203.4709375</v>
      </c>
      <c r="L1598" s="21" t="n">
        <v>46202</v>
      </c>
      <c r="M1598" s="8" t="inlineStr"/>
      <c r="N1598" s="8" t="inlineStr">
        <is>
          <t>Бухгалтер + менеджер субагента</t>
        </is>
      </c>
      <c r="O1598" s="8" t="inlineStr">
        <is>
          <t>e.satarov</t>
        </is>
      </c>
      <c r="P1598" s="12" t="inlineStr">
        <is>
          <t>Реестр не подтверждает ни 1С, ни ETM (либо состав группы неоднозначен) — нужна проверка</t>
        </is>
      </c>
      <c r="Q1598" s="8" t="inlineStr">
        <is>
          <t>57411388,57411392,57411362,57411403</t>
        </is>
      </c>
    </row>
    <row r="1599">
      <c r="A1599" s="8" t="inlineStr">
        <is>
          <t>G11293</t>
        </is>
      </c>
      <c r="B1599" s="8" t="inlineStr">
        <is>
          <t>ОсОО Алтын Эйр</t>
        </is>
      </c>
      <c r="C1599" s="8" t="inlineStr">
        <is>
          <t>2559099994</t>
        </is>
      </c>
      <c r="D1599" s="8" t="inlineStr">
        <is>
          <t>Сумма не сходится</t>
        </is>
      </c>
      <c r="E1599" s="8" t="inlineStr">
        <is>
          <t>Нужна проверка</t>
        </is>
      </c>
      <c r="F1599" s="8" t="inlineStr">
        <is>
          <t>C</t>
        </is>
      </c>
      <c r="G1599" s="14" t="n">
        <v>25041.85</v>
      </c>
      <c r="H1599" s="14" t="n">
        <v>-25122.77</v>
      </c>
      <c r="I1599" s="14" t="n"/>
      <c r="J1599" s="14" t="n">
        <v>-80.92000000000189</v>
      </c>
      <c r="K1599" s="21" t="n">
        <v>46132.52332175926</v>
      </c>
      <c r="L1599" s="21" t="n">
        <v>46131</v>
      </c>
      <c r="M1599" s="8" t="inlineStr"/>
      <c r="N1599" s="8" t="inlineStr">
        <is>
          <t>Бухгалтер + менеджер субагента</t>
        </is>
      </c>
      <c r="O1599" s="8" t="inlineStr"/>
      <c r="P1599" s="12" t="inlineStr">
        <is>
          <t>Нет записи реестра (билет выписан субагентом сам) — определить виновного по данным нельзя</t>
        </is>
      </c>
      <c r="Q1599" s="8" t="inlineStr">
        <is>
          <t>57215514</t>
        </is>
      </c>
    </row>
    <row r="1600">
      <c r="A1600" s="8" t="inlineStr">
        <is>
          <t>G00975</t>
        </is>
      </c>
      <c r="B1600" s="8" t="inlineStr">
        <is>
          <t>Jailoo Trip</t>
        </is>
      </c>
      <c r="C1600" s="8" t="inlineStr">
        <is>
          <t>2420848864</t>
        </is>
      </c>
      <c r="D1600" s="8" t="inlineStr">
        <is>
          <t>Сумма не сходится</t>
        </is>
      </c>
      <c r="E1600" s="8" t="inlineStr">
        <is>
          <t>Нужна проверка</t>
        </is>
      </c>
      <c r="F1600" s="8" t="inlineStr">
        <is>
          <t>C</t>
        </is>
      </c>
      <c r="G1600" s="14" t="n">
        <v>25310.37</v>
      </c>
      <c r="H1600" s="14" t="n">
        <v>-25229.69</v>
      </c>
      <c r="I1600" s="14" t="n">
        <v>25310.368</v>
      </c>
      <c r="J1600" s="14" t="n">
        <v>80.68000000000029</v>
      </c>
      <c r="K1600" s="21" t="n">
        <v>46214.82228009259</v>
      </c>
      <c r="L1600" s="21" t="n">
        <v>46212</v>
      </c>
      <c r="M1600" s="8" t="inlineStr"/>
      <c r="N1600" s="8" t="inlineStr">
        <is>
          <t>Бухгалтер + менеджер субагента</t>
        </is>
      </c>
      <c r="O1600" s="8" t="inlineStr">
        <is>
          <t>n.abdyldaeva</t>
        </is>
      </c>
      <c r="P1600" s="12" t="inlineStr">
        <is>
          <t>Реестр не подтверждает ни 1С, ни ETM (либо состав группы неоднозначен) — нужна проверка</t>
        </is>
      </c>
      <c r="Q1600" s="8" t="inlineStr">
        <is>
          <t>57446275</t>
        </is>
      </c>
    </row>
    <row r="1601">
      <c r="A1601" s="8" t="inlineStr">
        <is>
          <t>G14968</t>
        </is>
      </c>
      <c r="B1601" s="8" t="inlineStr">
        <is>
          <t>Ыйык Тур</t>
        </is>
      </c>
      <c r="C1601" s="8" t="inlineStr">
        <is>
          <t>2420845829</t>
        </is>
      </c>
      <c r="D1601" s="8" t="inlineStr">
        <is>
          <t>Сумма не сходится</t>
        </is>
      </c>
      <c r="E1601" s="8" t="inlineStr">
        <is>
          <t>Нужна проверка</t>
        </is>
      </c>
      <c r="F1601" s="8" t="inlineStr">
        <is>
          <t>C</t>
        </is>
      </c>
      <c r="G1601" s="14" t="n">
        <v>17604.78</v>
      </c>
      <c r="H1601" s="14" t="n">
        <v>-17682.18</v>
      </c>
      <c r="I1601" s="14" t="n">
        <v>17604.7802</v>
      </c>
      <c r="J1601" s="14" t="n">
        <v>-77.40000000000146</v>
      </c>
      <c r="K1601" s="21" t="n">
        <v>46133.35040509259</v>
      </c>
      <c r="L1601" s="21" t="n">
        <v>46131</v>
      </c>
      <c r="M1601" s="8" t="inlineStr"/>
      <c r="N1601" s="8" t="inlineStr">
        <is>
          <t>Бухгалтер + менеджер субагента</t>
        </is>
      </c>
      <c r="O1601" s="8" t="inlineStr">
        <is>
          <t>n.abdyldaeva</t>
        </is>
      </c>
      <c r="P1601" s="12" t="inlineStr">
        <is>
          <t>Реестр не подтверждает ни 1С, ни ETM (либо состав группы неоднозначен) — нужна проверка</t>
        </is>
      </c>
      <c r="Q1601" s="8" t="inlineStr">
        <is>
          <t>57215753</t>
        </is>
      </c>
    </row>
    <row r="1602">
      <c r="A1602" s="8" t="inlineStr">
        <is>
          <t>G01901</t>
        </is>
      </c>
      <c r="B1602" s="8" t="inlineStr">
        <is>
          <t>Karakol Express</t>
        </is>
      </c>
      <c r="C1602" s="8" t="inlineStr">
        <is>
          <t>2559100170</t>
        </is>
      </c>
      <c r="D1602" s="8" t="inlineStr">
        <is>
          <t>Сумма не сходится</t>
        </is>
      </c>
      <c r="E1602" s="8" t="inlineStr">
        <is>
          <t>Нужна проверка</t>
        </is>
      </c>
      <c r="F1602" s="8" t="inlineStr">
        <is>
          <t>C</t>
        </is>
      </c>
      <c r="G1602" s="14" t="n">
        <v>17127</v>
      </c>
      <c r="H1602" s="14" t="n">
        <v>-17051.76</v>
      </c>
      <c r="I1602" s="14" t="n"/>
      <c r="J1602" s="14" t="n">
        <v>75.2400000000016</v>
      </c>
      <c r="K1602" s="21" t="n">
        <v>46095.69385416667</v>
      </c>
      <c r="L1602" s="21" t="n">
        <v>46094</v>
      </c>
      <c r="M1602" s="8" t="inlineStr"/>
      <c r="N1602" s="8" t="inlineStr">
        <is>
          <t>Бухгалтер + менеджер субагента</t>
        </is>
      </c>
      <c r="O1602" s="8" t="inlineStr"/>
      <c r="P1602" s="12" t="inlineStr">
        <is>
          <t>Нет записи реестра (билет выписан субагентом сам) — определить виновного по данным нельзя</t>
        </is>
      </c>
      <c r="Q1602" s="8" t="inlineStr">
        <is>
          <t>57145037</t>
        </is>
      </c>
    </row>
    <row r="1603">
      <c r="A1603" s="8" t="inlineStr">
        <is>
          <t>G02322</t>
        </is>
      </c>
      <c r="B1603" s="8" t="inlineStr">
        <is>
          <t>SkyWay Travel</t>
        </is>
      </c>
      <c r="C1603" s="8" t="inlineStr">
        <is>
          <t>2416943871</t>
        </is>
      </c>
      <c r="D1603" s="8" t="inlineStr">
        <is>
          <t>Сумма не сходится</t>
        </is>
      </c>
      <c r="E1603" s="8" t="inlineStr">
        <is>
          <t>Нужна проверка</t>
        </is>
      </c>
      <c r="F1603" s="8" t="inlineStr">
        <is>
          <t>C</t>
        </is>
      </c>
      <c r="G1603" s="14" t="n">
        <v>17932.6</v>
      </c>
      <c r="H1603" s="14" t="n">
        <v>-18007.34</v>
      </c>
      <c r="I1603" s="14" t="n">
        <v>17932.6</v>
      </c>
      <c r="J1603" s="14" t="n">
        <v>-74.7400000000016</v>
      </c>
      <c r="K1603" s="21" t="n">
        <v>46043.41224537037</v>
      </c>
      <c r="L1603" s="21" t="n">
        <v>46042</v>
      </c>
      <c r="M1603" s="8" t="inlineStr"/>
      <c r="N1603" s="8" t="inlineStr">
        <is>
          <t>Бухгалтер + менеджер субагента</t>
        </is>
      </c>
      <c r="O1603" s="8" t="inlineStr">
        <is>
          <t>a.toktosunova</t>
        </is>
      </c>
      <c r="P1603" s="12" t="inlineStr">
        <is>
          <t>Реестр не подтверждает ни 1С, ни ETM (либо состав группы неоднозначен) — нужна проверка</t>
        </is>
      </c>
      <c r="Q1603" s="8" t="inlineStr">
        <is>
          <t>57040987</t>
        </is>
      </c>
    </row>
    <row r="1604">
      <c r="A1604" s="8" t="inlineStr">
        <is>
          <t>G10694</t>
        </is>
      </c>
      <c r="B1604" s="8" t="inlineStr">
        <is>
          <t>Манас Туризм</t>
        </is>
      </c>
      <c r="C1604" s="8" t="inlineStr">
        <is>
          <t>2552669060</t>
        </is>
      </c>
      <c r="D1604" s="8" t="inlineStr">
        <is>
          <t>Сумма не сходится</t>
        </is>
      </c>
      <c r="E1604" s="8" t="inlineStr">
        <is>
          <t>Нужна проверка</t>
        </is>
      </c>
      <c r="F1604" s="8" t="inlineStr">
        <is>
          <t>C</t>
        </is>
      </c>
      <c r="G1604" s="14" t="n">
        <v>38552.96</v>
      </c>
      <c r="H1604" s="14" t="n">
        <v>-38478.94</v>
      </c>
      <c r="I1604" s="14" t="n"/>
      <c r="J1604" s="14" t="n">
        <v>74.0199999999968</v>
      </c>
      <c r="K1604" s="21" t="n">
        <v>46107.67121527778</v>
      </c>
      <c r="L1604" s="21" t="n">
        <v>46106</v>
      </c>
      <c r="M1604" s="8" t="inlineStr"/>
      <c r="N1604" s="8" t="inlineStr">
        <is>
          <t>Бухгалтер + менеджер субагента</t>
        </is>
      </c>
      <c r="O1604" s="8" t="inlineStr"/>
      <c r="P1604" s="12" t="inlineStr">
        <is>
          <t>Нет записи реестра (билет выписан субагентом сам) — определить виновного по данным нельзя</t>
        </is>
      </c>
      <c r="Q1604" s="8" t="inlineStr">
        <is>
          <t>57170103</t>
        </is>
      </c>
    </row>
    <row r="1605">
      <c r="A1605" s="8" t="inlineStr">
        <is>
          <t>G00254</t>
        </is>
      </c>
      <c r="B1605" s="8" t="inlineStr">
        <is>
          <t>Aylana Tour</t>
        </is>
      </c>
      <c r="C1605" s="8" t="inlineStr">
        <is>
          <t>2559100180</t>
        </is>
      </c>
      <c r="D1605" s="8" t="inlineStr">
        <is>
          <t>Сумма не сходится</t>
        </is>
      </c>
      <c r="E1605" s="8" t="inlineStr">
        <is>
          <t>Нужна проверка</t>
        </is>
      </c>
      <c r="F1605" s="8" t="inlineStr">
        <is>
          <t>C</t>
        </is>
      </c>
      <c r="G1605" s="14" t="n">
        <v>28947.42</v>
      </c>
      <c r="H1605" s="14" t="n">
        <v>-28875.15</v>
      </c>
      <c r="I1605" s="14" t="n"/>
      <c r="J1605" s="14" t="n">
        <v>72.27000000000044</v>
      </c>
      <c r="K1605" s="21" t="n">
        <v>46157.35930555555</v>
      </c>
      <c r="L1605" s="21" t="n">
        <v>46156</v>
      </c>
      <c r="M1605" s="8" t="inlineStr"/>
      <c r="N1605" s="8" t="inlineStr">
        <is>
          <t>Бухгалтер + менеджер субагента</t>
        </is>
      </c>
      <c r="O1605" s="8" t="inlineStr"/>
      <c r="P1605" s="12" t="inlineStr">
        <is>
          <t>Нет записи реестра (билет выписан субагентом сам) — определить виновного по данным нельзя</t>
        </is>
      </c>
      <c r="Q1605" s="8" t="inlineStr">
        <is>
          <t>57283297</t>
        </is>
      </c>
    </row>
    <row r="1606">
      <c r="A1606" s="8" t="inlineStr">
        <is>
          <t>G08448</t>
        </is>
      </c>
      <c r="B1606" s="8" t="inlineStr">
        <is>
          <t>ИП Муратов Э. У.</t>
        </is>
      </c>
      <c r="C1606" s="8" t="inlineStr">
        <is>
          <t>2552668581</t>
        </is>
      </c>
      <c r="D1606" s="8" t="inlineStr">
        <is>
          <t>Сумма не сходится</t>
        </is>
      </c>
      <c r="E1606" s="8" t="inlineStr">
        <is>
          <t>Нужна проверка</t>
        </is>
      </c>
      <c r="F1606" s="8" t="inlineStr">
        <is>
          <t>C</t>
        </is>
      </c>
      <c r="G1606" s="14" t="n">
        <v>33395.68</v>
      </c>
      <c r="H1606" s="14" t="n">
        <v>-33467.92</v>
      </c>
      <c r="I1606" s="14" t="n">
        <v>33395.68</v>
      </c>
      <c r="J1606" s="14" t="n">
        <v>-72.23999999999796</v>
      </c>
      <c r="K1606" s="21" t="n">
        <v>46158.39326388889</v>
      </c>
      <c r="L1606" s="21" t="n">
        <v>46157</v>
      </c>
      <c r="M1606" s="8" t="inlineStr"/>
      <c r="N1606" s="8" t="inlineStr">
        <is>
          <t>Бухгалтер + менеджер субагента</t>
        </is>
      </c>
      <c r="O1606" s="8" t="inlineStr">
        <is>
          <t>g.omurbekova</t>
        </is>
      </c>
      <c r="P1606" s="12" t="inlineStr">
        <is>
          <t>Реестр не подтверждает ни 1С, ни ETM (либо состав группы неоднозначен) — нужна проверка</t>
        </is>
      </c>
      <c r="Q1606" s="8" t="inlineStr">
        <is>
          <t>57286071</t>
        </is>
      </c>
    </row>
    <row r="1607">
      <c r="A1607" s="8" t="inlineStr">
        <is>
          <t>G03770</t>
        </is>
      </c>
      <c r="B1607" s="8" t="inlineStr">
        <is>
          <t>SkyWay Travel</t>
        </is>
      </c>
      <c r="C1607" s="8" t="inlineStr">
        <is>
          <t>2559103473</t>
        </is>
      </c>
      <c r="D1607" s="8" t="inlineStr">
        <is>
          <t>Сумма не сходится</t>
        </is>
      </c>
      <c r="E1607" s="8" t="inlineStr">
        <is>
          <t>Нужна проверка</t>
        </is>
      </c>
      <c r="F1607" s="8" t="inlineStr">
        <is>
          <t>C</t>
        </is>
      </c>
      <c r="G1607" s="14" t="n">
        <v>42003.31</v>
      </c>
      <c r="H1607" s="14" t="n">
        <v>-42074.83</v>
      </c>
      <c r="I1607" s="14" t="n"/>
      <c r="J1607" s="14" t="n">
        <v>-71.52000000000407</v>
      </c>
      <c r="K1607" s="21" t="n">
        <v>46226.73387731481</v>
      </c>
      <c r="L1607" s="21" t="n">
        <v>46225</v>
      </c>
      <c r="M1607" s="8" t="inlineStr"/>
      <c r="N1607" s="8" t="inlineStr">
        <is>
          <t>Бухгалтер + менеджер субагента</t>
        </is>
      </c>
      <c r="O1607" s="8" t="inlineStr"/>
      <c r="P1607" s="12" t="inlineStr">
        <is>
          <t>Нет записи реестра (билет выписан субагентом сам) — определить виновного по данным нельзя</t>
        </is>
      </c>
      <c r="Q1607" s="8" t="inlineStr">
        <is>
          <t>57480035</t>
        </is>
      </c>
    </row>
    <row r="1608">
      <c r="A1608" s="8" t="inlineStr">
        <is>
          <t>G12741</t>
        </is>
      </c>
      <c r="B1608" s="8" t="inlineStr">
        <is>
          <t>Салам Экспресс</t>
        </is>
      </c>
      <c r="C1608" s="8" t="inlineStr">
        <is>
          <t>2420845232|2420845233</t>
        </is>
      </c>
      <c r="D1608" s="8" t="inlineStr">
        <is>
          <t>Сумма не сходится</t>
        </is>
      </c>
      <c r="E1608" s="8" t="inlineStr">
        <is>
          <t>Нужна проверка</t>
        </is>
      </c>
      <c r="F1608" s="8" t="inlineStr">
        <is>
          <t>C</t>
        </is>
      </c>
      <c r="G1608" s="14" t="n">
        <v>31595.88</v>
      </c>
      <c r="H1608" s="14" t="n">
        <v>-31665.58</v>
      </c>
      <c r="I1608" s="14" t="n"/>
      <c r="J1608" s="14" t="n">
        <v>-69.70000000000073</v>
      </c>
      <c r="K1608" s="21" t="n">
        <v>46208.67644675926</v>
      </c>
      <c r="L1608" s="21" t="n">
        <v>46206</v>
      </c>
      <c r="M1608" s="8" t="inlineStr"/>
      <c r="N1608" s="8" t="inlineStr">
        <is>
          <t>Бухгалтер + менеджер субагента</t>
        </is>
      </c>
      <c r="O1608" s="8" t="inlineStr"/>
      <c r="P1608" s="12" t="inlineStr">
        <is>
          <t>Нет записи реестра (билет выписан субагентом сам) — определить виновного по данным нельзя</t>
        </is>
      </c>
      <c r="Q1608" s="8" t="inlineStr">
        <is>
          <t>57424936</t>
        </is>
      </c>
    </row>
    <row r="1609">
      <c r="A1609" s="8" t="inlineStr">
        <is>
          <t>G13392</t>
        </is>
      </c>
      <c r="B1609" s="8" t="inlineStr">
        <is>
          <t>Сатарова А. О.</t>
        </is>
      </c>
      <c r="C1609" s="8" t="inlineStr">
        <is>
          <t>2420847144</t>
        </is>
      </c>
      <c r="D1609" s="8" t="inlineStr">
        <is>
          <t>Сумма не сходится</t>
        </is>
      </c>
      <c r="E1609" s="8" t="inlineStr">
        <is>
          <t>Нужна проверка</t>
        </is>
      </c>
      <c r="F1609" s="8" t="inlineStr">
        <is>
          <t>C</t>
        </is>
      </c>
      <c r="G1609" s="14" t="n">
        <v>26624.69</v>
      </c>
      <c r="H1609" s="14" t="n">
        <v>-26555.21</v>
      </c>
      <c r="I1609" s="14" t="n"/>
      <c r="J1609" s="14" t="n">
        <v>69.47999999999956</v>
      </c>
      <c r="K1609" s="21" t="n">
        <v>46213.64402777778</v>
      </c>
      <c r="L1609" s="21" t="n">
        <v>46212</v>
      </c>
      <c r="M1609" s="8" t="inlineStr"/>
      <c r="N1609" s="8" t="inlineStr">
        <is>
          <t>Бухгалтер + менеджер субагента</t>
        </is>
      </c>
      <c r="O1609" s="8" t="inlineStr"/>
      <c r="P1609" s="12" t="inlineStr">
        <is>
          <t>Нет записи реестра (билет выписан субагентом сам) — определить виновного по данным нельзя</t>
        </is>
      </c>
      <c r="Q1609" s="8" t="inlineStr">
        <is>
          <t>57445556</t>
        </is>
      </c>
    </row>
    <row r="1610">
      <c r="A1610" s="8" t="inlineStr">
        <is>
          <t>G14852</t>
        </is>
      </c>
      <c r="B1610" s="8" t="inlineStr">
        <is>
          <t>Ыйык Авиакасса</t>
        </is>
      </c>
      <c r="C1610" s="8" t="inlineStr">
        <is>
          <t>2420844568</t>
        </is>
      </c>
      <c r="D1610" s="8" t="inlineStr">
        <is>
          <t>Сумма не сходится</t>
        </is>
      </c>
      <c r="E1610" s="8" t="inlineStr">
        <is>
          <t>Нужна проверка</t>
        </is>
      </c>
      <c r="F1610" s="8" t="inlineStr">
        <is>
          <t>C</t>
        </is>
      </c>
      <c r="G1610" s="14" t="n">
        <v>15848.32</v>
      </c>
      <c r="H1610" s="14" t="n">
        <v>-15779.36</v>
      </c>
      <c r="I1610" s="14" t="n">
        <v>15848.3152</v>
      </c>
      <c r="J1610" s="14" t="n">
        <v>68.95999999999913</v>
      </c>
      <c r="K1610" s="21" t="n">
        <v>46188.46541666667</v>
      </c>
      <c r="L1610" s="21" t="n">
        <v>46187</v>
      </c>
      <c r="M1610" s="8" t="inlineStr"/>
      <c r="N1610" s="8" t="inlineStr">
        <is>
          <t>Бухгалтер + менеджер субагента</t>
        </is>
      </c>
      <c r="O1610" s="8" t="inlineStr">
        <is>
          <t>b.isakov</t>
        </is>
      </c>
      <c r="P1610" s="12" t="inlineStr">
        <is>
          <t>Реестр не подтверждает ни 1С, ни ETM (либо состав группы неоднозначен) — нужна проверка</t>
        </is>
      </c>
      <c r="Q1610" s="8" t="inlineStr">
        <is>
          <t>57366792</t>
        </is>
      </c>
    </row>
    <row r="1611">
      <c r="A1611" s="8" t="inlineStr">
        <is>
          <t>G11147</t>
        </is>
      </c>
      <c r="B1611" s="8" t="inlineStr">
        <is>
          <t>ОсОО Ала-Тоо Эйр</t>
        </is>
      </c>
      <c r="C1611" s="8" t="inlineStr">
        <is>
          <t>2559100821</t>
        </is>
      </c>
      <c r="D1611" s="8" t="inlineStr">
        <is>
          <t>Сумма не сходится</t>
        </is>
      </c>
      <c r="E1611" s="8" t="inlineStr">
        <is>
          <t>Нужна проверка</t>
        </is>
      </c>
      <c r="F1611" s="8" t="inlineStr">
        <is>
          <t>C</t>
        </is>
      </c>
      <c r="G1611" s="14" t="n">
        <v>60860</v>
      </c>
      <c r="H1611" s="14" t="n">
        <v>-60928</v>
      </c>
      <c r="I1611" s="14" t="n">
        <v>60860</v>
      </c>
      <c r="J1611" s="14" t="n">
        <v>-68</v>
      </c>
      <c r="K1611" s="21" t="n">
        <v>46196.66818287037</v>
      </c>
      <c r="L1611" s="21" t="n">
        <v>46195</v>
      </c>
      <c r="M1611" s="8" t="inlineStr"/>
      <c r="N1611" s="8" t="inlineStr">
        <is>
          <t>Бухгалтер + менеджер субагента</t>
        </is>
      </c>
      <c r="O1611" s="8" t="inlineStr">
        <is>
          <t>a.toktosunova</t>
        </is>
      </c>
      <c r="P1611" s="12" t="inlineStr">
        <is>
          <t>Реестр не подтверждает ни 1С, ни ETM (либо состав группы неоднозначен) — нужна проверка</t>
        </is>
      </c>
      <c r="Q1611" s="8" t="inlineStr">
        <is>
          <t>57389633</t>
        </is>
      </c>
    </row>
    <row r="1612">
      <c r="A1612" s="8" t="inlineStr">
        <is>
          <t>G04528</t>
        </is>
      </c>
      <c r="B1612" s="8" t="inlineStr">
        <is>
          <t>Абдылда уулу Б.</t>
        </is>
      </c>
      <c r="C1612" s="8" t="inlineStr">
        <is>
          <t>2559102338</t>
        </is>
      </c>
      <c r="D1612" s="8" t="inlineStr">
        <is>
          <t>Сумма не сходится</t>
        </is>
      </c>
      <c r="E1612" s="8" t="inlineStr">
        <is>
          <t>Нужна проверка</t>
        </is>
      </c>
      <c r="F1612" s="8" t="inlineStr">
        <is>
          <t>C</t>
        </is>
      </c>
      <c r="G1612" s="14" t="n">
        <v>21131.65</v>
      </c>
      <c r="H1612" s="14" t="n">
        <v>-21198.64</v>
      </c>
      <c r="I1612" s="14" t="n"/>
      <c r="J1612" s="14" t="n">
        <v>-66.98999999999796</v>
      </c>
      <c r="K1612" s="21" t="n">
        <v>46115.63164351852</v>
      </c>
      <c r="L1612" s="21" t="n">
        <v>46113</v>
      </c>
      <c r="M1612" s="8" t="inlineStr"/>
      <c r="N1612" s="8" t="inlineStr">
        <is>
          <t>Бухгалтер + менеджер субагента</t>
        </is>
      </c>
      <c r="O1612" s="8" t="inlineStr"/>
      <c r="P1612" s="12" t="inlineStr">
        <is>
          <t>Нет записи реестра (билет выписан субагентом сам) — определить виновного по данным нельзя</t>
        </is>
      </c>
      <c r="Q1612" s="8" t="inlineStr">
        <is>
          <t>57184910</t>
        </is>
      </c>
    </row>
    <row r="1613">
      <c r="A1613" s="8" t="inlineStr">
        <is>
          <t>G12541</t>
        </is>
      </c>
      <c r="B1613" s="8" t="inlineStr">
        <is>
          <t>Сагын кызы Б.</t>
        </is>
      </c>
      <c r="C1613" s="8" t="inlineStr">
        <is>
          <t>2420846071</t>
        </is>
      </c>
      <c r="D1613" s="8" t="inlineStr">
        <is>
          <t>Сумма не сходится</t>
        </is>
      </c>
      <c r="E1613" s="8" t="inlineStr">
        <is>
          <t>Нужна проверка</t>
        </is>
      </c>
      <c r="F1613" s="8" t="inlineStr">
        <is>
          <t>C</t>
        </is>
      </c>
      <c r="G1613" s="14" t="n">
        <v>17006.99</v>
      </c>
      <c r="H1613" s="14" t="n">
        <v>-17073.39</v>
      </c>
      <c r="I1613" s="14" t="n">
        <v>17006.9908</v>
      </c>
      <c r="J1613" s="14" t="n">
        <v>-66.39999999999782</v>
      </c>
      <c r="K1613" s="21" t="n">
        <v>46155.60409722223</v>
      </c>
      <c r="L1613" s="21" t="n">
        <v>46153</v>
      </c>
      <c r="M1613" s="8" t="inlineStr"/>
      <c r="N1613" s="8" t="inlineStr">
        <is>
          <t>Бухгалтер + менеджер субагента</t>
        </is>
      </c>
      <c r="O1613" s="8" t="inlineStr">
        <is>
          <t>a.toktosunova</t>
        </is>
      </c>
      <c r="P1613" s="12" t="inlineStr">
        <is>
          <t>Реестр не подтверждает ни 1С, ни ETM (либо состав группы неоднозначен) — нужна проверка</t>
        </is>
      </c>
      <c r="Q1613" s="8" t="inlineStr">
        <is>
          <t>57273074</t>
        </is>
      </c>
    </row>
    <row r="1614">
      <c r="A1614" s="8" t="inlineStr">
        <is>
          <t>G11156</t>
        </is>
      </c>
      <c r="B1614" s="8" t="inlineStr">
        <is>
          <t>ОсОО Алтын Эйр</t>
        </is>
      </c>
      <c r="C1614" s="8" t="inlineStr">
        <is>
          <t>2416941752|2416941753</t>
        </is>
      </c>
      <c r="D1614" s="8" t="inlineStr">
        <is>
          <t>Сумма не сходится</t>
        </is>
      </c>
      <c r="E1614" s="8" t="inlineStr">
        <is>
          <t>Нужна проверка</t>
        </is>
      </c>
      <c r="F1614" s="8" t="inlineStr">
        <is>
          <t>C</t>
        </is>
      </c>
      <c r="G1614" s="14" t="n">
        <v>7238.149999999994</v>
      </c>
      <c r="H1614" s="14" t="n">
        <v>-7303.589999999997</v>
      </c>
      <c r="I1614" s="14" t="n"/>
      <c r="J1614" s="14" t="n">
        <v>-65.44000000000233</v>
      </c>
      <c r="K1614" s="21" t="n">
        <v>46083.70965277778</v>
      </c>
      <c r="L1614" s="21" t="n">
        <v>46082</v>
      </c>
      <c r="M1614" s="8" t="inlineStr"/>
      <c r="N1614" s="8" t="inlineStr">
        <is>
          <t>Бухгалтер + менеджер субагента</t>
        </is>
      </c>
      <c r="O1614" s="8" t="inlineStr"/>
      <c r="P1614" s="12" t="inlineStr">
        <is>
          <t>Нет записи реестра (билет выписан субагентом сам) — определить виновного по данным нельзя</t>
        </is>
      </c>
      <c r="Q1614" s="8" t="inlineStr">
        <is>
          <t>57116093,57116066,57223171</t>
        </is>
      </c>
    </row>
    <row r="1615">
      <c r="A1615" s="8" t="inlineStr">
        <is>
          <t>G07204</t>
        </is>
      </c>
      <c r="B1615" s="8" t="inlineStr">
        <is>
          <t>Жибек Эйр</t>
        </is>
      </c>
      <c r="C1615" s="8" t="inlineStr">
        <is>
          <t>2420848836</t>
        </is>
      </c>
      <c r="D1615" s="8" t="inlineStr">
        <is>
          <t>Сумма не сходится</t>
        </is>
      </c>
      <c r="E1615" s="8" t="inlineStr">
        <is>
          <t>Нужна проверка</t>
        </is>
      </c>
      <c r="F1615" s="8" t="inlineStr">
        <is>
          <t>C</t>
        </is>
      </c>
      <c r="G1615" s="14" t="n">
        <v>18998.16</v>
      </c>
      <c r="H1615" s="14" t="n">
        <v>-18933.09</v>
      </c>
      <c r="I1615" s="14" t="n">
        <v>18998.1645</v>
      </c>
      <c r="J1615" s="14" t="n">
        <v>65.06999999999971</v>
      </c>
      <c r="K1615" s="21" t="n">
        <v>46212.44825231482</v>
      </c>
      <c r="L1615" s="21" t="n">
        <v>46210</v>
      </c>
      <c r="M1615" s="8" t="inlineStr"/>
      <c r="N1615" s="8" t="inlineStr">
        <is>
          <t>Бухгалтер + менеджер субагента</t>
        </is>
      </c>
      <c r="O1615" s="8" t="inlineStr">
        <is>
          <t>b.isakov</t>
        </is>
      </c>
      <c r="P1615" s="12" t="inlineStr">
        <is>
          <t>Реестр не подтверждает ни 1С, ни ETM (либо состав группы неоднозначен) — нужна проверка</t>
        </is>
      </c>
      <c r="Q1615" s="8" t="inlineStr">
        <is>
          <t>57438906</t>
        </is>
      </c>
    </row>
    <row r="1616">
      <c r="A1616" s="8" t="inlineStr">
        <is>
          <t>G08708</t>
        </is>
      </c>
      <c r="B1616" s="8" t="inlineStr">
        <is>
          <t>ИП Токтосун кызы Н.</t>
        </is>
      </c>
      <c r="C1616" s="8" t="inlineStr">
        <is>
          <t>2559101778</t>
        </is>
      </c>
      <c r="D1616" s="8" t="inlineStr">
        <is>
          <t>Сумма не сходится</t>
        </is>
      </c>
      <c r="E1616" s="8" t="inlineStr">
        <is>
          <t>Нужна проверка</t>
        </is>
      </c>
      <c r="F1616" s="8" t="inlineStr">
        <is>
          <t>C</t>
        </is>
      </c>
      <c r="G1616" s="14" t="n">
        <v>36137.43</v>
      </c>
      <c r="H1616" s="14" t="n">
        <v>-36201.27</v>
      </c>
      <c r="I1616" s="14" t="n">
        <v>36137.43</v>
      </c>
      <c r="J1616" s="14" t="n">
        <v>-63.83999999999651</v>
      </c>
      <c r="K1616" s="21" t="n">
        <v>46211.64579861111</v>
      </c>
      <c r="L1616" s="21" t="n">
        <v>46210</v>
      </c>
      <c r="M1616" s="8" t="inlineStr"/>
      <c r="N1616" s="8" t="inlineStr">
        <is>
          <t>Бухгалтер + менеджер субагента</t>
        </is>
      </c>
      <c r="O1616" s="8" t="inlineStr">
        <is>
          <t>d.mambetova</t>
        </is>
      </c>
      <c r="P1616" s="12" t="inlineStr">
        <is>
          <t>Реестр не подтверждает ни 1С, ни ETM (либо состав группы неоднозначен) — нужна проверка</t>
        </is>
      </c>
      <c r="Q1616" s="8" t="inlineStr">
        <is>
          <t>57437819</t>
        </is>
      </c>
    </row>
    <row r="1617">
      <c r="A1617" s="8" t="inlineStr">
        <is>
          <t>G14967</t>
        </is>
      </c>
      <c r="B1617" s="8" t="inlineStr">
        <is>
          <t>Ыйык Тур</t>
        </is>
      </c>
      <c r="C1617" s="8" t="inlineStr">
        <is>
          <t>2420845806</t>
        </is>
      </c>
      <c r="D1617" s="8" t="inlineStr">
        <is>
          <t>Сумма не сходится</t>
        </is>
      </c>
      <c r="E1617" s="8" t="inlineStr">
        <is>
          <t>Нужна проверка</t>
        </is>
      </c>
      <c r="F1617" s="8" t="inlineStr">
        <is>
          <t>C</t>
        </is>
      </c>
      <c r="G1617" s="14" t="n">
        <v>30440.71</v>
      </c>
      <c r="H1617" s="14" t="n">
        <v>-30376.89</v>
      </c>
      <c r="I1617" s="14" t="n">
        <v>30440.7082</v>
      </c>
      <c r="J1617" s="14" t="n">
        <v>63.81999999999971</v>
      </c>
      <c r="K1617" s="21" t="n">
        <v>46211.605625</v>
      </c>
      <c r="L1617" s="21" t="n">
        <v>46209</v>
      </c>
      <c r="M1617" s="8" t="inlineStr"/>
      <c r="N1617" s="8" t="inlineStr">
        <is>
          <t>Бухгалтер + менеджер субагента</t>
        </is>
      </c>
      <c r="O1617" s="8" t="inlineStr">
        <is>
          <t>r.sydykov</t>
        </is>
      </c>
      <c r="P1617" s="12" t="inlineStr">
        <is>
          <t>Реестр не подтверждает ни 1С, ни ETM (либо состав группы неоднозначен) — нужна проверка</t>
        </is>
      </c>
      <c r="Q1617" s="8" t="inlineStr">
        <is>
          <t>57434591</t>
        </is>
      </c>
    </row>
    <row r="1618">
      <c r="A1618" s="8" t="inlineStr">
        <is>
          <t>G07066</t>
        </is>
      </c>
      <c r="B1618" s="8" t="inlineStr">
        <is>
          <t>Жибек Авиакасса</t>
        </is>
      </c>
      <c r="C1618" s="8" t="inlineStr">
        <is>
          <t>2559103410</t>
        </is>
      </c>
      <c r="D1618" s="8" t="inlineStr">
        <is>
          <t>Сумма не сходится</t>
        </is>
      </c>
      <c r="E1618" s="8" t="inlineStr">
        <is>
          <t>Нужна проверка</t>
        </is>
      </c>
      <c r="F1618" s="8" t="inlineStr">
        <is>
          <t>C</t>
        </is>
      </c>
      <c r="G1618" s="14" t="n">
        <v>34285.89</v>
      </c>
      <c r="H1618" s="14" t="n">
        <v>-34222.61</v>
      </c>
      <c r="I1618" s="14" t="n">
        <v>34285.895</v>
      </c>
      <c r="J1618" s="14" t="n">
        <v>63.27999999999884</v>
      </c>
      <c r="K1618" s="21" t="n">
        <v>46082.61679398148</v>
      </c>
      <c r="L1618" s="21" t="n">
        <v>46081</v>
      </c>
      <c r="M1618" s="8" t="inlineStr"/>
      <c r="N1618" s="8" t="inlineStr">
        <is>
          <t>Бухгалтер + менеджер субагента</t>
        </is>
      </c>
      <c r="O1618" s="8" t="inlineStr">
        <is>
          <t>d.mambetova</t>
        </is>
      </c>
      <c r="P1618" s="12" t="inlineStr">
        <is>
          <t>Реестр не подтверждает ни 1С, ни ETM (либо состав группы неоднозначен) — нужна проверка</t>
        </is>
      </c>
      <c r="Q1618" s="8" t="inlineStr">
        <is>
          <t>57115527</t>
        </is>
      </c>
    </row>
    <row r="1619">
      <c r="A1619" s="8" t="inlineStr">
        <is>
          <t>G14910</t>
        </is>
      </c>
      <c r="B1619" s="8" t="inlineStr">
        <is>
          <t>Ыйык Тур</t>
        </is>
      </c>
      <c r="C1619" s="8" t="inlineStr">
        <is>
          <t>2416942454</t>
        </is>
      </c>
      <c r="D1619" s="8" t="inlineStr">
        <is>
          <t>Сумма не сходится</t>
        </is>
      </c>
      <c r="E1619" s="8" t="inlineStr">
        <is>
          <t>Нужна проверка</t>
        </is>
      </c>
      <c r="F1619" s="8" t="inlineStr">
        <is>
          <t>C</t>
        </is>
      </c>
      <c r="G1619" s="14" t="n">
        <v>22128.69</v>
      </c>
      <c r="H1619" s="14" t="n">
        <v>-22190.96</v>
      </c>
      <c r="I1619" s="14" t="n">
        <v>22128.69</v>
      </c>
      <c r="J1619" s="14" t="n">
        <v>-62.27000000000044</v>
      </c>
      <c r="K1619" s="21" t="n">
        <v>46161.79152777778</v>
      </c>
      <c r="L1619" s="21" t="n">
        <v>46160</v>
      </c>
      <c r="M1619" s="8" t="inlineStr"/>
      <c r="N1619" s="8" t="inlineStr">
        <is>
          <t>Бухгалтер + менеджер субагента</t>
        </is>
      </c>
      <c r="O1619" s="8" t="inlineStr">
        <is>
          <t>g.omurbekova</t>
        </is>
      </c>
      <c r="P1619" s="12" t="inlineStr">
        <is>
          <t>Реестр не подтверждает ни 1С, ни ETM (либо состав группы неоднозначен) — нужна проверка</t>
        </is>
      </c>
      <c r="Q1619" s="8" t="inlineStr">
        <is>
          <t>57295171</t>
        </is>
      </c>
    </row>
    <row r="1620">
      <c r="A1620" s="8" t="inlineStr">
        <is>
          <t>G10093</t>
        </is>
      </c>
      <c r="B1620" s="8" t="inlineStr">
        <is>
          <t>Манас Вояж</t>
        </is>
      </c>
      <c r="C1620" s="8" t="inlineStr">
        <is>
          <t>2416941177|2416941178|2416941181</t>
        </is>
      </c>
      <c r="D1620" s="8" t="inlineStr">
        <is>
          <t>Сумма не сходится</t>
        </is>
      </c>
      <c r="E1620" s="8" t="inlineStr">
        <is>
          <t>Нужна проверка</t>
        </is>
      </c>
      <c r="F1620" s="8" t="inlineStr">
        <is>
          <t>C</t>
        </is>
      </c>
      <c r="G1620" s="14" t="n">
        <v>92400.39</v>
      </c>
      <c r="H1620" s="14" t="n">
        <v>-92338.59</v>
      </c>
      <c r="I1620" s="14" t="n">
        <v>92400.405</v>
      </c>
      <c r="J1620" s="14" t="n">
        <v>61.80000000000291</v>
      </c>
      <c r="K1620" s="21" t="n">
        <v>46168.43460648148</v>
      </c>
      <c r="L1620" s="21" t="n">
        <v>46167</v>
      </c>
      <c r="M1620" s="8" t="inlineStr"/>
      <c r="N1620" s="8" t="inlineStr">
        <is>
          <t>Бухгалтер + менеджер субагента</t>
        </is>
      </c>
      <c r="O1620" s="8" t="inlineStr">
        <is>
          <t>g.omurbekova</t>
        </is>
      </c>
      <c r="P1620" s="12" t="inlineStr">
        <is>
          <t>Реестр не подтверждает ни 1С, ни ETM (либо состав группы неоднозначен) — нужна проверка</t>
        </is>
      </c>
      <c r="Q1620" s="8" t="inlineStr">
        <is>
          <t>57314707</t>
        </is>
      </c>
    </row>
    <row r="1621">
      <c r="A1621" s="8" t="inlineStr">
        <is>
          <t>G00266</t>
        </is>
      </c>
      <c r="B1621" s="8" t="inlineStr">
        <is>
          <t>Bishkek Fly</t>
        </is>
      </c>
      <c r="C1621" s="8" t="inlineStr">
        <is>
          <t>2416942669</t>
        </is>
      </c>
      <c r="D1621" s="8" t="inlineStr">
        <is>
          <t>Сумма не сходится</t>
        </is>
      </c>
      <c r="E1621" s="8" t="inlineStr">
        <is>
          <t>Нужна проверка</t>
        </is>
      </c>
      <c r="F1621" s="8" t="inlineStr">
        <is>
          <t>C</t>
        </is>
      </c>
      <c r="G1621" s="14" t="n">
        <v>24950.33</v>
      </c>
      <c r="H1621" s="14" t="n">
        <v>-25010.94</v>
      </c>
      <c r="I1621" s="14" t="n"/>
      <c r="J1621" s="14" t="n">
        <v>-60.60999999999694</v>
      </c>
      <c r="K1621" s="21" t="n">
        <v>46123.6680324074</v>
      </c>
      <c r="L1621" s="21" t="n">
        <v>46121</v>
      </c>
      <c r="M1621" s="8" t="inlineStr"/>
      <c r="N1621" s="8" t="inlineStr">
        <is>
          <t>Бухгалтер + менеджер субагента</t>
        </is>
      </c>
      <c r="O1621" s="8" t="inlineStr"/>
      <c r="P1621" s="12" t="inlineStr">
        <is>
          <t>Нет записи реестра (билет выписан субагентом сам) — определить виновного по данным нельзя</t>
        </is>
      </c>
      <c r="Q1621" s="8" t="inlineStr">
        <is>
          <t>57198571</t>
        </is>
      </c>
    </row>
    <row r="1622">
      <c r="A1622" s="8" t="inlineStr">
        <is>
          <t>G14372</t>
        </is>
      </c>
      <c r="B1622" s="8" t="inlineStr">
        <is>
          <t>ЧОЛПОН ЭЙР</t>
        </is>
      </c>
      <c r="C1622" s="8" t="inlineStr">
        <is>
          <t>2420847371</t>
        </is>
      </c>
      <c r="D1622" s="8" t="inlineStr">
        <is>
          <t>Сумма не сходится</t>
        </is>
      </c>
      <c r="E1622" s="8" t="inlineStr">
        <is>
          <t>Нужна проверка</t>
        </is>
      </c>
      <c r="F1622" s="8" t="inlineStr">
        <is>
          <t>C</t>
        </is>
      </c>
      <c r="G1622" s="14" t="n">
        <v>18258.24</v>
      </c>
      <c r="H1622" s="14" t="n">
        <v>-18318.78</v>
      </c>
      <c r="I1622" s="14" t="n">
        <v>18258.242</v>
      </c>
      <c r="J1622" s="14" t="n">
        <v>-60.53999999999724</v>
      </c>
      <c r="K1622" s="21" t="n">
        <v>46166.72903935185</v>
      </c>
      <c r="L1622" s="21" t="n">
        <v>46165</v>
      </c>
      <c r="M1622" s="8" t="inlineStr"/>
      <c r="N1622" s="8" t="inlineStr">
        <is>
          <t>Бухгалтер + менеджер субагента</t>
        </is>
      </c>
      <c r="O1622" s="8" t="inlineStr">
        <is>
          <t>a.toktosunova</t>
        </is>
      </c>
      <c r="P1622" s="12" t="inlineStr">
        <is>
          <t>Реестр не подтверждает ни 1С, ни ETM (либо состав группы неоднозначен) — нужна проверка</t>
        </is>
      </c>
      <c r="Q1622" s="8" t="inlineStr">
        <is>
          <t>57311172</t>
        </is>
      </c>
    </row>
    <row r="1623">
      <c r="A1623" s="8" t="inlineStr">
        <is>
          <t>G00895</t>
        </is>
      </c>
      <c r="B1623" s="8" t="inlineStr">
        <is>
          <t>Issyk-Kul Air</t>
        </is>
      </c>
      <c r="C1623" s="8" t="inlineStr">
        <is>
          <t>2416942488</t>
        </is>
      </c>
      <c r="D1623" s="8" t="inlineStr">
        <is>
          <t>Сумма не сходится</t>
        </is>
      </c>
      <c r="E1623" s="8" t="inlineStr">
        <is>
          <t>Нужна проверка</t>
        </is>
      </c>
      <c r="F1623" s="8" t="inlineStr">
        <is>
          <t>C</t>
        </is>
      </c>
      <c r="G1623" s="14" t="n">
        <v>24056.76</v>
      </c>
      <c r="H1623" s="14" t="n">
        <v>-23996.7</v>
      </c>
      <c r="I1623" s="14" t="n">
        <v>24056.76</v>
      </c>
      <c r="J1623" s="14" t="n">
        <v>60.05999999999767</v>
      </c>
      <c r="K1623" s="21" t="n">
        <v>46157.77719907407</v>
      </c>
      <c r="L1623" s="21" t="n">
        <v>46156</v>
      </c>
      <c r="M1623" s="8" t="inlineStr"/>
      <c r="N1623" s="8" t="inlineStr">
        <is>
          <t>Бухгалтер + менеджер субагента</t>
        </is>
      </c>
      <c r="O1623" s="8" t="inlineStr">
        <is>
          <t>g.omurbekova</t>
        </is>
      </c>
      <c r="P1623" s="12" t="inlineStr">
        <is>
          <t>Реестр не подтверждает ни 1С, ни ETM (либо состав группы неоднозначен) — нужна проверка</t>
        </is>
      </c>
      <c r="Q1623" s="8" t="inlineStr">
        <is>
          <t>57283213</t>
        </is>
      </c>
    </row>
    <row r="1624">
      <c r="A1624" s="8" t="inlineStr">
        <is>
          <t>G05334</t>
        </is>
      </c>
      <c r="B1624" s="8" t="inlineStr">
        <is>
          <t>Ак-Куу Авиа</t>
        </is>
      </c>
      <c r="C1624" s="8" t="inlineStr">
        <is>
          <t>2552671533</t>
        </is>
      </c>
      <c r="D1624" s="8" t="inlineStr">
        <is>
          <t>Сумма не сходится</t>
        </is>
      </c>
      <c r="E1624" s="8" t="inlineStr">
        <is>
          <t>Нужна проверка</t>
        </is>
      </c>
      <c r="F1624" s="8" t="inlineStr">
        <is>
          <t>C</t>
        </is>
      </c>
      <c r="G1624" s="14" t="n">
        <v>41178.09</v>
      </c>
      <c r="H1624" s="14" t="n">
        <v>-41118.21</v>
      </c>
      <c r="I1624" s="14" t="n">
        <v>41178.09</v>
      </c>
      <c r="J1624" s="14" t="n">
        <v>59.87999999999738</v>
      </c>
      <c r="K1624" s="21" t="n">
        <v>46162.81410879629</v>
      </c>
      <c r="L1624" s="21" t="n">
        <v>46161</v>
      </c>
      <c r="M1624" s="8" t="inlineStr"/>
      <c r="N1624" s="8" t="inlineStr">
        <is>
          <t>Бухгалтер + менеджер субагента</t>
        </is>
      </c>
      <c r="O1624" s="8" t="inlineStr">
        <is>
          <t>b.isakov</t>
        </is>
      </c>
      <c r="P1624" s="12" t="inlineStr">
        <is>
          <t>Реестр не подтверждает ни 1С, ни ETM (либо состав группы неоднозначен) — нужна проверка</t>
        </is>
      </c>
      <c r="Q1624" s="8" t="inlineStr">
        <is>
          <t>57299624</t>
        </is>
      </c>
    </row>
    <row r="1625">
      <c r="A1625" s="8" t="inlineStr">
        <is>
          <t>G12607</t>
        </is>
      </c>
      <c r="B1625" s="8" t="inlineStr">
        <is>
          <t>Салам Авиакасса</t>
        </is>
      </c>
      <c r="C1625" s="8" t="inlineStr">
        <is>
          <t>2420847637</t>
        </is>
      </c>
      <c r="D1625" s="8" t="inlineStr">
        <is>
          <t>Сумма не сходится</t>
        </is>
      </c>
      <c r="E1625" s="8" t="inlineStr">
        <is>
          <t>Нужна проверка</t>
        </is>
      </c>
      <c r="F1625" s="8" t="inlineStr">
        <is>
          <t>C</t>
        </is>
      </c>
      <c r="G1625" s="14" t="n">
        <v>15471.37</v>
      </c>
      <c r="H1625" s="14" t="n">
        <v>-15411.57</v>
      </c>
      <c r="I1625" s="14" t="n"/>
      <c r="J1625" s="14" t="n">
        <v>59.80000000000109</v>
      </c>
      <c r="K1625" s="21" t="n">
        <v>46187.63923611111</v>
      </c>
      <c r="L1625" s="21" t="n">
        <v>46186</v>
      </c>
      <c r="M1625" s="8" t="inlineStr"/>
      <c r="N1625" s="8" t="inlineStr">
        <is>
          <t>Бухгалтер + менеджер субагента</t>
        </is>
      </c>
      <c r="O1625" s="8" t="inlineStr"/>
      <c r="P1625" s="12" t="inlineStr">
        <is>
          <t>Нет записи реестра (билет выписан субагентом сам) — определить виновного по данным нельзя</t>
        </is>
      </c>
      <c r="Q1625" s="8" t="inlineStr">
        <is>
          <t>57365091</t>
        </is>
      </c>
    </row>
    <row r="1626">
      <c r="A1626" s="8" t="inlineStr">
        <is>
          <t>G02247</t>
        </is>
      </c>
      <c r="B1626" s="8" t="inlineStr">
        <is>
          <t>SkyWay Travel</t>
        </is>
      </c>
      <c r="C1626" s="8" t="inlineStr">
        <is>
          <t>2416941803|2416941806</t>
        </is>
      </c>
      <c r="D1626" s="8" t="inlineStr">
        <is>
          <t>Сумма не сходится</t>
        </is>
      </c>
      <c r="E1626" s="8" t="inlineStr">
        <is>
          <t>Нужна проверка</t>
        </is>
      </c>
      <c r="F1626" s="8" t="inlineStr">
        <is>
          <t>C</t>
        </is>
      </c>
      <c r="G1626" s="14" t="n">
        <v>44652.52</v>
      </c>
      <c r="H1626" s="14" t="n">
        <v>-44711.44</v>
      </c>
      <c r="I1626" s="14" t="n">
        <v>44652.52</v>
      </c>
      <c r="J1626" s="14" t="n">
        <v>-58.92000000000553</v>
      </c>
      <c r="K1626" s="21" t="n">
        <v>46194.47197916666</v>
      </c>
      <c r="L1626" s="21" t="n">
        <v>46192</v>
      </c>
      <c r="M1626" s="8" t="inlineStr"/>
      <c r="N1626" s="8" t="inlineStr">
        <is>
          <t>Бухгалтер + менеджер субагента</t>
        </is>
      </c>
      <c r="O1626" s="8" t="inlineStr">
        <is>
          <t>n.abdyldaeva</t>
        </is>
      </c>
      <c r="P1626" s="12" t="inlineStr">
        <is>
          <t>Реестр не подтверждает ни 1С, ни ETM (либо состав группы неоднозначен) — нужна проверка</t>
        </is>
      </c>
      <c r="Q1626" s="8" t="inlineStr">
        <is>
          <t>57380577</t>
        </is>
      </c>
    </row>
    <row r="1627">
      <c r="A1627" s="8" t="inlineStr">
        <is>
          <t>G09562</t>
        </is>
      </c>
      <c r="B1627" s="8" t="inlineStr">
        <is>
          <t>КУТ ЭЙР</t>
        </is>
      </c>
      <c r="C1627" s="8" t="inlineStr">
        <is>
          <t>2559103098</t>
        </is>
      </c>
      <c r="D1627" s="8" t="inlineStr">
        <is>
          <t>Сумма не сходится</t>
        </is>
      </c>
      <c r="E1627" s="8" t="inlineStr">
        <is>
          <t>Нужна проверка</t>
        </is>
      </c>
      <c r="F1627" s="8" t="inlineStr">
        <is>
          <t>C</t>
        </is>
      </c>
      <c r="G1627" s="14" t="n">
        <v>15297.68</v>
      </c>
      <c r="H1627" s="14" t="n">
        <v>-15356.45</v>
      </c>
      <c r="I1627" s="14" t="n">
        <v>15297.67999999999</v>
      </c>
      <c r="J1627" s="14" t="n">
        <v>-58.7699999999968</v>
      </c>
      <c r="K1627" s="21" t="n">
        <v>46217.72525462963</v>
      </c>
      <c r="L1627" s="21" t="n">
        <v>46215</v>
      </c>
      <c r="M1627" s="8" t="inlineStr"/>
      <c r="N1627" s="8" t="inlineStr">
        <is>
          <t>Бухгалтер + менеджер субагента</t>
        </is>
      </c>
      <c r="O1627" s="8" t="inlineStr">
        <is>
          <t>e.satarov|g.omurbekova</t>
        </is>
      </c>
      <c r="P1627" s="12" t="inlineStr">
        <is>
          <t>Реестр не подтверждает ни 1С, ни ETM (либо состав группы неоднозначен) — нужна проверка</t>
        </is>
      </c>
      <c r="Q1627" s="8" t="inlineStr">
        <is>
          <t>57453762,57472632</t>
        </is>
      </c>
    </row>
    <row r="1628">
      <c r="A1628" s="8" t="inlineStr">
        <is>
          <t>G12089</t>
        </is>
      </c>
      <c r="B1628" s="8" t="inlineStr">
        <is>
          <t>ОсОО Чолпон Авиакасса</t>
        </is>
      </c>
      <c r="C1628" s="8" t="inlineStr">
        <is>
          <t>2559098641</t>
        </is>
      </c>
      <c r="D1628" s="8" t="inlineStr">
        <is>
          <t>Сумма не сходится</t>
        </is>
      </c>
      <c r="E1628" s="8" t="inlineStr">
        <is>
          <t>Нужна проверка</t>
        </is>
      </c>
      <c r="F1628" s="8" t="inlineStr">
        <is>
          <t>C</t>
        </is>
      </c>
      <c r="G1628" s="14" t="n">
        <v>42573.54</v>
      </c>
      <c r="H1628" s="14" t="n">
        <v>-42631.98</v>
      </c>
      <c r="I1628" s="14" t="n">
        <v>42573.54</v>
      </c>
      <c r="J1628" s="14" t="n">
        <v>-58.44000000000233</v>
      </c>
      <c r="K1628" s="21" t="n">
        <v>46037.54269675926</v>
      </c>
      <c r="L1628" s="21" t="n">
        <v>46036</v>
      </c>
      <c r="M1628" s="8" t="inlineStr"/>
      <c r="N1628" s="8" t="inlineStr">
        <is>
          <t>Бухгалтер + менеджер субагента</t>
        </is>
      </c>
      <c r="O1628" s="8" t="inlineStr">
        <is>
          <t>b.isakov</t>
        </is>
      </c>
      <c r="P1628" s="12" t="inlineStr">
        <is>
          <t>Реестр не подтверждает ни 1С, ни ETM (либо состав группы неоднозначен) — нужна проверка</t>
        </is>
      </c>
      <c r="Q1628" s="8" t="inlineStr">
        <is>
          <t>57026393</t>
        </is>
      </c>
    </row>
    <row r="1629">
      <c r="A1629" s="8" t="inlineStr">
        <is>
          <t>G14727</t>
        </is>
      </c>
      <c r="B1629" s="8" t="inlineStr">
        <is>
          <t>ЫЙЫК ЭКСПРЕСС</t>
        </is>
      </c>
      <c r="C1629" s="8" t="inlineStr">
        <is>
          <t>2420844028</t>
        </is>
      </c>
      <c r="D1629" s="8" t="inlineStr">
        <is>
          <t>Сумма не сходится</t>
        </is>
      </c>
      <c r="E1629" s="8" t="inlineStr">
        <is>
          <t>Нужна проверка</t>
        </is>
      </c>
      <c r="F1629" s="8" t="inlineStr">
        <is>
          <t>C</t>
        </is>
      </c>
      <c r="G1629" s="14" t="n">
        <v>20851.02</v>
      </c>
      <c r="H1629" s="14" t="n">
        <v>-20908.67</v>
      </c>
      <c r="I1629" s="14" t="n"/>
      <c r="J1629" s="14" t="n">
        <v>-57.64999999999782</v>
      </c>
      <c r="K1629" s="21" t="n">
        <v>46150.42585648148</v>
      </c>
      <c r="L1629" s="21" t="n">
        <v>46148</v>
      </c>
      <c r="M1629" s="8" t="inlineStr"/>
      <c r="N1629" s="8" t="inlineStr">
        <is>
          <t>Бухгалтер + менеджер субагента</t>
        </is>
      </c>
      <c r="O1629" s="8" t="inlineStr"/>
      <c r="P1629" s="12" t="inlineStr">
        <is>
          <t>Нет записи реестра (билет выписан субагентом сам) — определить виновного по данным нельзя</t>
        </is>
      </c>
      <c r="Q1629" s="8" t="inlineStr">
        <is>
          <t>57257567</t>
        </is>
      </c>
    </row>
    <row r="1630">
      <c r="A1630" s="8" t="inlineStr">
        <is>
          <t>G12279</t>
        </is>
      </c>
      <c r="B1630" s="8" t="inlineStr">
        <is>
          <t>САЛАМ ЭЙР</t>
        </is>
      </c>
      <c r="C1630" s="8" t="inlineStr">
        <is>
          <t>2416944978|2416944979</t>
        </is>
      </c>
      <c r="D1630" s="8" t="inlineStr">
        <is>
          <t>Сумма не сходится</t>
        </is>
      </c>
      <c r="E1630" s="8" t="inlineStr">
        <is>
          <t>Нужна проверка</t>
        </is>
      </c>
      <c r="F1630" s="8" t="inlineStr">
        <is>
          <t>C</t>
        </is>
      </c>
      <c r="G1630" s="14" t="n">
        <v>72487.60000000001</v>
      </c>
      <c r="H1630" s="14" t="n">
        <v>-72545</v>
      </c>
      <c r="I1630" s="14" t="n">
        <v>72487.60000000001</v>
      </c>
      <c r="J1630" s="14" t="n">
        <v>-57.39999999999418</v>
      </c>
      <c r="K1630" s="21" t="n">
        <v>46052.53046296296</v>
      </c>
      <c r="L1630" s="21" t="n">
        <v>46051</v>
      </c>
      <c r="M1630" s="8" t="inlineStr"/>
      <c r="N1630" s="8" t="inlineStr">
        <is>
          <t>Бухгалтер + менеджер субагента</t>
        </is>
      </c>
      <c r="O1630" s="8" t="inlineStr">
        <is>
          <t>n.abdyldaeva</t>
        </is>
      </c>
      <c r="P1630" s="12" t="inlineStr">
        <is>
          <t>Реестр не подтверждает ни 1С, ни ETM (либо состав группы неоднозначен) — нужна проверка</t>
        </is>
      </c>
      <c r="Q1630" s="8" t="inlineStr">
        <is>
          <t>57061458,57061423</t>
        </is>
      </c>
    </row>
    <row r="1631">
      <c r="A1631" s="8" t="inlineStr">
        <is>
          <t>G01834</t>
        </is>
      </c>
      <c r="B1631" s="8" t="inlineStr">
        <is>
          <t>Karakol Express</t>
        </is>
      </c>
      <c r="C1631" s="8" t="inlineStr">
        <is>
          <t>2552670909</t>
        </is>
      </c>
      <c r="D1631" s="8" t="inlineStr">
        <is>
          <t>Сумма не сходится</t>
        </is>
      </c>
      <c r="E1631" s="8" t="inlineStr">
        <is>
          <t>Нужна проверка</t>
        </is>
      </c>
      <c r="F1631" s="8" t="inlineStr">
        <is>
          <t>C</t>
        </is>
      </c>
      <c r="G1631" s="14" t="n">
        <v>58593.21</v>
      </c>
      <c r="H1631" s="14" t="n">
        <v>-58536.69</v>
      </c>
      <c r="I1631" s="14" t="n"/>
      <c r="J1631" s="14" t="n">
        <v>56.5199999999968</v>
      </c>
      <c r="K1631" s="21" t="n">
        <v>46168.4299537037</v>
      </c>
      <c r="L1631" s="21" t="n">
        <v>46167</v>
      </c>
      <c r="M1631" s="8" t="inlineStr"/>
      <c r="N1631" s="8" t="inlineStr">
        <is>
          <t>Бухгалтер + менеджер субагента</t>
        </is>
      </c>
      <c r="O1631" s="8" t="inlineStr"/>
      <c r="P1631" s="12" t="inlineStr">
        <is>
          <t>Нет записи реестра (билет выписан субагентом сам) — определить виновного по данным нельзя</t>
        </is>
      </c>
      <c r="Q1631" s="8" t="inlineStr">
        <is>
          <t>57315846</t>
        </is>
      </c>
    </row>
    <row r="1632">
      <c r="A1632" s="8" t="inlineStr">
        <is>
          <t>G04563</t>
        </is>
      </c>
      <c r="B1632" s="8" t="inlineStr">
        <is>
          <t>Абдылдаов Д. М.</t>
        </is>
      </c>
      <c r="C1632" s="8" t="inlineStr">
        <is>
          <t>2420845234|2420845237|2420845240|2420845241</t>
        </is>
      </c>
      <c r="D1632" s="8" t="inlineStr">
        <is>
          <t>Сумма не сходится</t>
        </is>
      </c>
      <c r="E1632" s="8" t="inlineStr">
        <is>
          <t>Нужна проверка</t>
        </is>
      </c>
      <c r="F1632" s="8" t="inlineStr">
        <is>
          <t>C</t>
        </is>
      </c>
      <c r="G1632" s="14" t="n">
        <v>103115.4</v>
      </c>
      <c r="H1632" s="14" t="n">
        <v>-103171.36</v>
      </c>
      <c r="I1632" s="14" t="n">
        <v>103115.3832</v>
      </c>
      <c r="J1632" s="14" t="n">
        <v>-55.9600000000064</v>
      </c>
      <c r="K1632" s="21" t="n">
        <v>46199.4841087963</v>
      </c>
      <c r="L1632" s="21" t="n">
        <v>46198</v>
      </c>
      <c r="M1632" s="8" t="inlineStr"/>
      <c r="N1632" s="8" t="inlineStr">
        <is>
          <t>Бухгалтер + менеджер субагента</t>
        </is>
      </c>
      <c r="O1632" s="8" t="inlineStr">
        <is>
          <t>g.omurbekova</t>
        </is>
      </c>
      <c r="P1632" s="12" t="inlineStr">
        <is>
          <t>Реестр не подтверждает ни 1С, ни ETM (либо состав группы неоднозначен) — нужна проверка</t>
        </is>
      </c>
      <c r="Q1632" s="8" t="inlineStr">
        <is>
          <t>57399677,57399691,57399702,57399648</t>
        </is>
      </c>
    </row>
    <row r="1633">
      <c r="A1633" s="8" t="inlineStr">
        <is>
          <t>G01062</t>
        </is>
      </c>
      <c r="B1633" s="8" t="inlineStr">
        <is>
          <t>Karakol Express</t>
        </is>
      </c>
      <c r="C1633" s="8" t="inlineStr">
        <is>
          <t>2416941729</t>
        </is>
      </c>
      <c r="D1633" s="8" t="inlineStr">
        <is>
          <t>Сумма не сходится</t>
        </is>
      </c>
      <c r="E1633" s="8" t="inlineStr">
        <is>
          <t>Нужна проверка</t>
        </is>
      </c>
      <c r="F1633" s="8" t="inlineStr">
        <is>
          <t>C</t>
        </is>
      </c>
      <c r="G1633" s="14" t="n">
        <v>33180.2</v>
      </c>
      <c r="H1633" s="14" t="n">
        <v>-33236</v>
      </c>
      <c r="I1633" s="14" t="n">
        <v>33180.2</v>
      </c>
      <c r="J1633" s="14" t="n">
        <v>-55.80000000000291</v>
      </c>
      <c r="K1633" s="21" t="n">
        <v>46165.73556712963</v>
      </c>
      <c r="L1633" s="21" t="n">
        <v>46164</v>
      </c>
      <c r="M1633" s="8" t="inlineStr"/>
      <c r="N1633" s="8" t="inlineStr">
        <is>
          <t>Бухгалтер + менеджер субагента</t>
        </is>
      </c>
      <c r="O1633" s="8" t="inlineStr">
        <is>
          <t>a.toktosunova</t>
        </is>
      </c>
      <c r="P1633" s="12" t="inlineStr">
        <is>
          <t>Реестр не подтверждает ни 1С, ни ETM (либо состав группы неоднозначен) — нужна проверка</t>
        </is>
      </c>
      <c r="Q1633" s="8" t="inlineStr">
        <is>
          <t>57306659</t>
        </is>
      </c>
    </row>
    <row r="1634">
      <c r="A1634" s="8" t="inlineStr">
        <is>
          <t>G06583</t>
        </is>
      </c>
      <c r="B1634" s="8" t="inlineStr">
        <is>
          <t>Джолдошова Салтанат Сатаревна</t>
        </is>
      </c>
      <c r="C1634" s="8" t="inlineStr">
        <is>
          <t>2420846519</t>
        </is>
      </c>
      <c r="D1634" s="8" t="inlineStr">
        <is>
          <t>Сумма не сходится</t>
        </is>
      </c>
      <c r="E1634" s="8" t="inlineStr">
        <is>
          <t>Нужна проверка</t>
        </is>
      </c>
      <c r="F1634" s="8" t="inlineStr">
        <is>
          <t>C</t>
        </is>
      </c>
      <c r="G1634" s="14" t="n">
        <v>16808.91</v>
      </c>
      <c r="H1634" s="14" t="n">
        <v>-16864.15</v>
      </c>
      <c r="I1634" s="14" t="n">
        <v>16808.9128</v>
      </c>
      <c r="J1634" s="14" t="n">
        <v>-55.2400000000016</v>
      </c>
      <c r="K1634" s="21" t="n">
        <v>46040.80118055556</v>
      </c>
      <c r="L1634" s="21" t="n">
        <v>46039</v>
      </c>
      <c r="M1634" s="8" t="inlineStr"/>
      <c r="N1634" s="8" t="inlineStr">
        <is>
          <t>Бухгалтер + менеджер субагента</t>
        </is>
      </c>
      <c r="O1634" s="8" t="inlineStr">
        <is>
          <t>a.toktosunova</t>
        </is>
      </c>
      <c r="P1634" s="12" t="inlineStr">
        <is>
          <t>Реестр не подтверждает ни 1С, ни ETM (либо состав группы неоднозначен) — нужна проверка</t>
        </is>
      </c>
      <c r="Q1634" s="8" t="inlineStr">
        <is>
          <t>57034898</t>
        </is>
      </c>
    </row>
    <row r="1635">
      <c r="A1635" s="8" t="inlineStr">
        <is>
          <t>G01186</t>
        </is>
      </c>
      <c r="B1635" s="8" t="inlineStr">
        <is>
          <t>Karakol Express</t>
        </is>
      </c>
      <c r="C1635" s="8" t="inlineStr">
        <is>
          <t>2420843962|2420843963</t>
        </is>
      </c>
      <c r="D1635" s="8" t="inlineStr">
        <is>
          <t>Сумма не сходится</t>
        </is>
      </c>
      <c r="E1635" s="8" t="inlineStr">
        <is>
          <t>Нужна проверка</t>
        </is>
      </c>
      <c r="F1635" s="8" t="inlineStr">
        <is>
          <t>C</t>
        </is>
      </c>
      <c r="G1635" s="14" t="n">
        <v>33918.22</v>
      </c>
      <c r="H1635" s="14" t="n">
        <v>-33973.02</v>
      </c>
      <c r="I1635" s="14" t="n"/>
      <c r="J1635" s="14" t="n">
        <v>-54.79999999999563</v>
      </c>
      <c r="K1635" s="21" t="n">
        <v>46216.36050925926</v>
      </c>
      <c r="L1635" s="21" t="n">
        <v>46214</v>
      </c>
      <c r="M1635" s="8" t="inlineStr"/>
      <c r="N1635" s="8" t="inlineStr">
        <is>
          <t>Бухгалтер + менеджер субагента</t>
        </is>
      </c>
      <c r="O1635" s="8" t="inlineStr"/>
      <c r="P1635" s="12" t="inlineStr">
        <is>
          <t>Нет записи реестра (билет выписан субагентом сам) — определить виновного по данным нельзя</t>
        </is>
      </c>
      <c r="Q1635" s="8" t="inlineStr">
        <is>
          <t>57450035</t>
        </is>
      </c>
    </row>
    <row r="1636">
      <c r="A1636" s="8" t="inlineStr">
        <is>
          <t>G11505</t>
        </is>
      </c>
      <c r="B1636" s="8" t="inlineStr">
        <is>
          <t>ОсОО Кара-Кол Трип</t>
        </is>
      </c>
      <c r="C1636" s="8" t="inlineStr">
        <is>
          <t>2420847068</t>
        </is>
      </c>
      <c r="D1636" s="8" t="inlineStr">
        <is>
          <t>Сумма не сходится</t>
        </is>
      </c>
      <c r="E1636" s="8" t="inlineStr">
        <is>
          <t>Нужна проверка</t>
        </is>
      </c>
      <c r="F1636" s="8" t="inlineStr">
        <is>
          <t>C</t>
        </is>
      </c>
      <c r="G1636" s="14" t="n">
        <v>0</v>
      </c>
      <c r="H1636" s="14" t="n">
        <v>54.60999999999694</v>
      </c>
      <c r="I1636" s="14" t="n"/>
      <c r="J1636" s="14" t="n">
        <v>54.60999999999694</v>
      </c>
      <c r="K1636" s="21" t="n">
        <v>46052.51049768519</v>
      </c>
      <c r="L1636" s="21" t="n">
        <v>46051</v>
      </c>
      <c r="M1636" s="8" t="inlineStr"/>
      <c r="N1636" s="8" t="inlineStr">
        <is>
          <t>Бухгалтер + менеджер субагента</t>
        </is>
      </c>
      <c r="O1636" s="8" t="inlineStr"/>
      <c r="P1636" s="12" t="inlineStr">
        <is>
          <t>Нет записи реестра (билет выписан субагентом сам) — определить виновного по данным нельзя</t>
        </is>
      </c>
      <c r="Q1636" s="8" t="inlineStr">
        <is>
          <t>57061342,57086499</t>
        </is>
      </c>
    </row>
    <row r="1637">
      <c r="A1637" s="8" t="inlineStr">
        <is>
          <t>G10230</t>
        </is>
      </c>
      <c r="B1637" s="8" t="inlineStr">
        <is>
          <t>Манас Тревел</t>
        </is>
      </c>
      <c r="C1637" s="8" t="inlineStr">
        <is>
          <t>2420845151</t>
        </is>
      </c>
      <c r="D1637" s="8" t="inlineStr">
        <is>
          <t>Сумма не сходится</t>
        </is>
      </c>
      <c r="E1637" s="8" t="inlineStr">
        <is>
          <t>Нужна проверка</t>
        </is>
      </c>
      <c r="F1637" s="8" t="inlineStr">
        <is>
          <t>C</t>
        </is>
      </c>
      <c r="G1637" s="14" t="n">
        <v>14997.13</v>
      </c>
      <c r="H1637" s="14" t="n">
        <v>-15051.21</v>
      </c>
      <c r="I1637" s="14" t="n">
        <v>14997.1328</v>
      </c>
      <c r="J1637" s="14" t="n">
        <v>-54.07999999999993</v>
      </c>
      <c r="K1637" s="21" t="n">
        <v>46063.49837962963</v>
      </c>
      <c r="L1637" s="21" t="n">
        <v>46061</v>
      </c>
      <c r="M1637" s="8" t="inlineStr"/>
      <c r="N1637" s="8" t="inlineStr">
        <is>
          <t>Бухгалтер + менеджер субагента</t>
        </is>
      </c>
      <c r="O1637" s="8" t="inlineStr">
        <is>
          <t>r.sydykov</t>
        </is>
      </c>
      <c r="P1637" s="12" t="inlineStr">
        <is>
          <t>Реестр не подтверждает ни 1С, ни ETM (либо состав группы неоднозначен) — нужна проверка</t>
        </is>
      </c>
      <c r="Q1637" s="8" t="inlineStr">
        <is>
          <t>57079238</t>
        </is>
      </c>
    </row>
    <row r="1638">
      <c r="A1638" s="8" t="inlineStr">
        <is>
          <t>G09293</t>
        </is>
      </c>
      <c r="B1638" s="8" t="inlineStr">
        <is>
          <t>ИССЫК ТРИП</t>
        </is>
      </c>
      <c r="C1638" s="8" t="inlineStr">
        <is>
          <t>2552670246</t>
        </is>
      </c>
      <c r="D1638" s="8" t="inlineStr">
        <is>
          <t>Сумма не сходится</t>
        </is>
      </c>
      <c r="E1638" s="8" t="inlineStr">
        <is>
          <t>Нужна проверка</t>
        </is>
      </c>
      <c r="F1638" s="8" t="inlineStr">
        <is>
          <t>C</t>
        </is>
      </c>
      <c r="G1638" s="14" t="n">
        <v>56215.91</v>
      </c>
      <c r="H1638" s="14" t="n">
        <v>-56268.75</v>
      </c>
      <c r="I1638" s="14" t="n"/>
      <c r="J1638" s="14" t="n">
        <v>-52.83999999999651</v>
      </c>
      <c r="K1638" s="21" t="n">
        <v>46136.36380787037</v>
      </c>
      <c r="L1638" s="21" t="n">
        <v>46135</v>
      </c>
      <c r="M1638" s="8" t="inlineStr"/>
      <c r="N1638" s="8" t="inlineStr">
        <is>
          <t>Бухгалтер + менеджер субагента</t>
        </is>
      </c>
      <c r="O1638" s="8" t="inlineStr"/>
      <c r="P1638" s="12" t="inlineStr">
        <is>
          <t>Нет записи реестра (билет выписан субагентом сам) — определить виновного по данным нельзя</t>
        </is>
      </c>
      <c r="Q1638" s="8" t="inlineStr">
        <is>
          <t>57224487</t>
        </is>
      </c>
    </row>
    <row r="1639">
      <c r="A1639" s="8" t="inlineStr">
        <is>
          <t>G05298</t>
        </is>
      </c>
      <c r="B1639" s="8" t="inlineStr">
        <is>
          <t>Ак-Куу Авиа</t>
        </is>
      </c>
      <c r="C1639" s="8" t="inlineStr">
        <is>
          <t>2552669220</t>
        </is>
      </c>
      <c r="D1639" s="8" t="inlineStr">
        <is>
          <t>Сумма не сходится</t>
        </is>
      </c>
      <c r="E1639" s="8" t="inlineStr">
        <is>
          <t>Нужна проверка</t>
        </is>
      </c>
      <c r="F1639" s="8" t="inlineStr">
        <is>
          <t>C</t>
        </is>
      </c>
      <c r="G1639" s="14" t="n">
        <v>37436.81</v>
      </c>
      <c r="H1639" s="14" t="n">
        <v>-37488.58</v>
      </c>
      <c r="I1639" s="14" t="n">
        <v>37436.8125</v>
      </c>
      <c r="J1639" s="14" t="n">
        <v>-51.77000000000407</v>
      </c>
      <c r="K1639" s="21" t="n">
        <v>46089.36965277778</v>
      </c>
      <c r="L1639" s="21" t="n">
        <v>46087</v>
      </c>
      <c r="M1639" s="8" t="inlineStr"/>
      <c r="N1639" s="8" t="inlineStr">
        <is>
          <t>Бухгалтер + менеджер субагента</t>
        </is>
      </c>
      <c r="O1639" s="8" t="inlineStr">
        <is>
          <t>g.omurbekova</t>
        </is>
      </c>
      <c r="P1639" s="12" t="inlineStr">
        <is>
          <t>Реестр не подтверждает ни 1С, ни ETM (либо состав группы неоднозначен) — нужна проверка</t>
        </is>
      </c>
      <c r="Q1639" s="8" t="inlineStr">
        <is>
          <t>57127432</t>
        </is>
      </c>
    </row>
    <row r="1640">
      <c r="A1640" s="8" t="inlineStr">
        <is>
          <t>G14589</t>
        </is>
      </c>
      <c r="B1640" s="8" t="inlineStr">
        <is>
          <t>Чынарова Бурул Джолдошовна</t>
        </is>
      </c>
      <c r="C1640" s="8" t="inlineStr">
        <is>
          <t>2420846766</t>
        </is>
      </c>
      <c r="D1640" s="8" t="inlineStr">
        <is>
          <t>Сумма не сходится</t>
        </is>
      </c>
      <c r="E1640" s="8" t="inlineStr">
        <is>
          <t>Нужна проверка</t>
        </is>
      </c>
      <c r="F1640" s="8" t="inlineStr">
        <is>
          <t>C</t>
        </is>
      </c>
      <c r="G1640" s="14" t="n">
        <v>17679.18</v>
      </c>
      <c r="H1640" s="14" t="n">
        <v>-17627.48</v>
      </c>
      <c r="I1640" s="14" t="n">
        <v>17679.177</v>
      </c>
      <c r="J1640" s="14" t="n">
        <v>51.70000000000073</v>
      </c>
      <c r="K1640" s="21" t="n">
        <v>46095.67019675926</v>
      </c>
      <c r="L1640" s="21" t="n">
        <v>46094</v>
      </c>
      <c r="M1640" s="8" t="inlineStr"/>
      <c r="N1640" s="8" t="inlineStr">
        <is>
          <t>Бухгалтер + менеджер субагента</t>
        </is>
      </c>
      <c r="O1640" s="8" t="inlineStr">
        <is>
          <t>g.omurbekova</t>
        </is>
      </c>
      <c r="P1640" s="12" t="inlineStr">
        <is>
          <t>Реестр не подтверждает ни 1С, ни ETM (либо состав группы неоднозначен) — нужна проверка</t>
        </is>
      </c>
      <c r="Q1640" s="8" t="inlineStr">
        <is>
          <t>57145750</t>
        </is>
      </c>
    </row>
    <row r="1641">
      <c r="A1641" s="8" t="inlineStr">
        <is>
          <t>G04462</t>
        </is>
      </c>
      <c r="B1641" s="8" t="inlineStr">
        <is>
          <t>Абдылда уулу Б.</t>
        </is>
      </c>
      <c r="C1641" s="8" t="inlineStr">
        <is>
          <t>2552669632</t>
        </is>
      </c>
      <c r="D1641" s="8" t="inlineStr">
        <is>
          <t>Сумма не сходится</t>
        </is>
      </c>
      <c r="E1641" s="8" t="inlineStr">
        <is>
          <t>Нужна проверка</t>
        </is>
      </c>
      <c r="F1641" s="8" t="inlineStr">
        <is>
          <t>C</t>
        </is>
      </c>
      <c r="G1641" s="14" t="n">
        <v>60045.54</v>
      </c>
      <c r="H1641" s="14" t="n">
        <v>-60096.4</v>
      </c>
      <c r="I1641" s="14" t="n">
        <v>60045.5425</v>
      </c>
      <c r="J1641" s="14" t="n">
        <v>-50.86000000000058</v>
      </c>
      <c r="K1641" s="21" t="n">
        <v>46204.46456018519</v>
      </c>
      <c r="L1641" s="21" t="n">
        <v>46203</v>
      </c>
      <c r="M1641" s="8" t="inlineStr"/>
      <c r="N1641" s="8" t="inlineStr">
        <is>
          <t>Бухгалтер + менеджер субагента</t>
        </is>
      </c>
      <c r="O1641" s="8" t="inlineStr">
        <is>
          <t>n.abdyldaeva</t>
        </is>
      </c>
      <c r="P1641" s="12" t="inlineStr">
        <is>
          <t>Реестр не подтверждает ни 1С, ни ETM (либо состав группы неоднозначен) — нужна проверка</t>
        </is>
      </c>
      <c r="Q1641" s="8" t="inlineStr">
        <is>
          <t>57414445</t>
        </is>
      </c>
    </row>
    <row r="1642">
      <c r="A1642" s="8" t="inlineStr">
        <is>
          <t>G07675</t>
        </is>
      </c>
      <c r="B1642" s="8" t="inlineStr">
        <is>
          <t>ИП Абдылдаова У. О.</t>
        </is>
      </c>
      <c r="C1642" s="8" t="inlineStr">
        <is>
          <t>2416942311|2416942313|2416942316</t>
        </is>
      </c>
      <c r="D1642" s="8" t="inlineStr">
        <is>
          <t>Сумма не сходится</t>
        </is>
      </c>
      <c r="E1642" s="8" t="inlineStr">
        <is>
          <t>Нужна проверка</t>
        </is>
      </c>
      <c r="F1642" s="8" t="inlineStr">
        <is>
          <t>C</t>
        </is>
      </c>
      <c r="G1642" s="14" t="n">
        <v>86559.72</v>
      </c>
      <c r="H1642" s="14" t="n">
        <v>-86511.12</v>
      </c>
      <c r="I1642" s="14" t="n">
        <v>86559.72</v>
      </c>
      <c r="J1642" s="14" t="n">
        <v>48.60000000000582</v>
      </c>
      <c r="K1642" s="21" t="n">
        <v>46061.78143518518</v>
      </c>
      <c r="L1642" s="21" t="n">
        <v>46060</v>
      </c>
      <c r="M1642" s="8" t="inlineStr"/>
      <c r="N1642" s="8" t="inlineStr">
        <is>
          <t>Бухгалтер + менеджер субагента</t>
        </is>
      </c>
      <c r="O1642" s="8" t="inlineStr">
        <is>
          <t>d.mambetova</t>
        </is>
      </c>
      <c r="P1642" s="12" t="inlineStr">
        <is>
          <t>Реестр не подтверждает ни 1С, ни ETM (либо состав группы неоднозначен) — нужна проверка</t>
        </is>
      </c>
      <c r="Q1642" s="8" t="inlineStr">
        <is>
          <t>57077689</t>
        </is>
      </c>
    </row>
    <row r="1643">
      <c r="A1643" s="8" t="inlineStr">
        <is>
          <t>G06592</t>
        </is>
      </c>
      <c r="B1643" s="8" t="inlineStr">
        <is>
          <t>Джолдошова Салтанат Сатаревна</t>
        </is>
      </c>
      <c r="C1643" s="8" t="inlineStr">
        <is>
          <t>2420848247</t>
        </is>
      </c>
      <c r="D1643" s="8" t="inlineStr">
        <is>
          <t>Сумма не сходится</t>
        </is>
      </c>
      <c r="E1643" s="8" t="inlineStr">
        <is>
          <t>Нужна проверка</t>
        </is>
      </c>
      <c r="F1643" s="8" t="inlineStr">
        <is>
          <t>C</t>
        </is>
      </c>
      <c r="G1643" s="14" t="n">
        <v>20361.56</v>
      </c>
      <c r="H1643" s="14" t="n">
        <v>-20313.76</v>
      </c>
      <c r="I1643" s="14" t="n"/>
      <c r="J1643" s="14" t="n">
        <v>47.80000000000291</v>
      </c>
      <c r="K1643" s="21" t="n">
        <v>46036.46684027778</v>
      </c>
      <c r="L1643" s="21" t="n">
        <v>46035</v>
      </c>
      <c r="M1643" s="8" t="inlineStr"/>
      <c r="N1643" s="8" t="inlineStr">
        <is>
          <t>Бухгалтер + менеджер субагента</t>
        </is>
      </c>
      <c r="O1643" s="8" t="inlineStr"/>
      <c r="P1643" s="12" t="inlineStr">
        <is>
          <t>Нет записи реестра (билет выписан субагентом сам) — определить виновного по данным нельзя</t>
        </is>
      </c>
      <c r="Q1643" s="8" t="inlineStr">
        <is>
          <t>57025700</t>
        </is>
      </c>
    </row>
    <row r="1644">
      <c r="A1644" s="8" t="inlineStr">
        <is>
          <t>G07739</t>
        </is>
      </c>
      <c r="B1644" s="8" t="inlineStr">
        <is>
          <t>ИП Абдылдаова У. О.</t>
        </is>
      </c>
      <c r="C1644" s="8" t="inlineStr">
        <is>
          <t>2559101891</t>
        </is>
      </c>
      <c r="D1644" s="8" t="inlineStr">
        <is>
          <t>Сумма не сходится</t>
        </is>
      </c>
      <c r="E1644" s="8" t="inlineStr">
        <is>
          <t>Нужна проверка</t>
        </is>
      </c>
      <c r="F1644" s="8" t="inlineStr">
        <is>
          <t>C</t>
        </is>
      </c>
      <c r="G1644" s="14" t="n">
        <v>25400.7</v>
      </c>
      <c r="H1644" s="14" t="n">
        <v>-25447.5</v>
      </c>
      <c r="I1644" s="14" t="n"/>
      <c r="J1644" s="14" t="n">
        <v>-46.79999999999927</v>
      </c>
      <c r="K1644" s="21" t="n">
        <v>46106.41480324074</v>
      </c>
      <c r="L1644" s="21" t="n">
        <v>46105</v>
      </c>
      <c r="M1644" s="8" t="inlineStr"/>
      <c r="N1644" s="8" t="inlineStr">
        <is>
          <t>Бухгалтер + менеджер субагента</t>
        </is>
      </c>
      <c r="O1644" s="8" t="inlineStr"/>
      <c r="P1644" s="12" t="inlineStr">
        <is>
          <t>Нет записи реестра (билет выписан субагентом сам) — определить виновного по данным нельзя</t>
        </is>
      </c>
      <c r="Q1644" s="8" t="inlineStr">
        <is>
          <t>57168985</t>
        </is>
      </c>
    </row>
    <row r="1645">
      <c r="A1645" s="8" t="inlineStr">
        <is>
          <t>G05479</t>
        </is>
      </c>
      <c r="B1645" s="8" t="inlineStr">
        <is>
          <t>Ак-Куу Тур</t>
        </is>
      </c>
      <c r="C1645" s="8" t="inlineStr">
        <is>
          <t>2420843169|2420843172</t>
        </is>
      </c>
      <c r="D1645" s="8" t="inlineStr">
        <is>
          <t>Сумма не сходится</t>
        </is>
      </c>
      <c r="E1645" s="8" t="inlineStr">
        <is>
          <t>Нужна проверка</t>
        </is>
      </c>
      <c r="F1645" s="8" t="inlineStr">
        <is>
          <t>C</t>
        </is>
      </c>
      <c r="G1645" s="14" t="n">
        <v>40403.88</v>
      </c>
      <c r="H1645" s="14" t="n">
        <v>-40449.44</v>
      </c>
      <c r="I1645" s="14" t="n">
        <v>40403.8768</v>
      </c>
      <c r="J1645" s="14" t="n">
        <v>-45.56000000000495</v>
      </c>
      <c r="K1645" s="21" t="n">
        <v>46079.48420138889</v>
      </c>
      <c r="L1645" s="21" t="n">
        <v>46078</v>
      </c>
      <c r="M1645" s="8" t="inlineStr"/>
      <c r="N1645" s="8" t="inlineStr">
        <is>
          <t>Бухгалтер + менеджер субагента</t>
        </is>
      </c>
      <c r="O1645" s="8" t="inlineStr">
        <is>
          <t>e.satarov</t>
        </is>
      </c>
      <c r="P1645" s="12" t="inlineStr">
        <is>
          <t>Реестр не подтверждает ни 1С, ни ETM (либо состав группы неоднозначен) — нужна проверка</t>
        </is>
      </c>
      <c r="Q1645" s="8" t="inlineStr">
        <is>
          <t>57108064,57108093</t>
        </is>
      </c>
    </row>
    <row r="1646">
      <c r="A1646" s="8" t="inlineStr">
        <is>
          <t>G02397</t>
        </is>
      </c>
      <c r="B1646" s="8" t="inlineStr">
        <is>
          <t>SkyWay Travel</t>
        </is>
      </c>
      <c r="C1646" s="8" t="inlineStr">
        <is>
          <t>2416945899</t>
        </is>
      </c>
      <c r="D1646" s="8" t="inlineStr">
        <is>
          <t>Сумма не сходится</t>
        </is>
      </c>
      <c r="E1646" s="8" t="inlineStr">
        <is>
          <t>Нужна проверка</t>
        </is>
      </c>
      <c r="F1646" s="8" t="inlineStr">
        <is>
          <t>C</t>
        </is>
      </c>
      <c r="G1646" s="14" t="n">
        <v>27558.12</v>
      </c>
      <c r="H1646" s="14" t="n">
        <v>-27512.9</v>
      </c>
      <c r="I1646" s="14" t="n"/>
      <c r="J1646" s="14" t="n">
        <v>45.21999999999753</v>
      </c>
      <c r="K1646" s="21" t="n">
        <v>46027.66953703704</v>
      </c>
      <c r="L1646" s="21" t="n">
        <v>46025</v>
      </c>
      <c r="M1646" s="8" t="inlineStr"/>
      <c r="N1646" s="8" t="inlineStr">
        <is>
          <t>Бухгалтер + менеджер субагента</t>
        </is>
      </c>
      <c r="O1646" s="8" t="inlineStr"/>
      <c r="P1646" s="12" t="inlineStr">
        <is>
          <t>Нет записи реестра (билет выписан субагентом сам) — определить виновного по данным нельзя</t>
        </is>
      </c>
      <c r="Q1646" s="8" t="inlineStr">
        <is>
          <t>57005068</t>
        </is>
      </c>
    </row>
    <row r="1647">
      <c r="A1647" s="8" t="inlineStr">
        <is>
          <t>G03534</t>
        </is>
      </c>
      <c r="B1647" s="8" t="inlineStr">
        <is>
          <t>SkyWay Travel</t>
        </is>
      </c>
      <c r="C1647" s="8" t="inlineStr">
        <is>
          <t>2552671767</t>
        </is>
      </c>
      <c r="D1647" s="8" t="inlineStr">
        <is>
          <t>Сумма не сходится</t>
        </is>
      </c>
      <c r="E1647" s="8" t="inlineStr">
        <is>
          <t>Нужна проверка</t>
        </is>
      </c>
      <c r="F1647" s="8" t="inlineStr">
        <is>
          <t>C</t>
        </is>
      </c>
      <c r="G1647" s="14" t="n">
        <v>26806.95</v>
      </c>
      <c r="H1647" s="14" t="n">
        <v>-26850.89</v>
      </c>
      <c r="I1647" s="14" t="n"/>
      <c r="J1647" s="14" t="n">
        <v>-43.93999999999869</v>
      </c>
      <c r="K1647" s="21" t="n">
        <v>46221.34766203703</v>
      </c>
      <c r="L1647" s="21" t="n">
        <v>46219</v>
      </c>
      <c r="M1647" s="8" t="inlineStr"/>
      <c r="N1647" s="8" t="inlineStr">
        <is>
          <t>Бухгалтер + менеджер субагента</t>
        </is>
      </c>
      <c r="O1647" s="8" t="inlineStr"/>
      <c r="P1647" s="12" t="inlineStr">
        <is>
          <t>Нет записи реестра (билет выписан субагентом сам) — определить виновного по данным нельзя</t>
        </is>
      </c>
      <c r="Q1647" s="8" t="inlineStr">
        <is>
          <t>57465115</t>
        </is>
      </c>
    </row>
    <row r="1648">
      <c r="A1648" s="8" t="inlineStr">
        <is>
          <t>G06118</t>
        </is>
      </c>
      <c r="B1648" s="8" t="inlineStr">
        <is>
          <t>Байтур Трип</t>
        </is>
      </c>
      <c r="C1648" s="8" t="inlineStr">
        <is>
          <t>2552668090</t>
        </is>
      </c>
      <c r="D1648" s="8" t="inlineStr">
        <is>
          <t>Сумма не сходится</t>
        </is>
      </c>
      <c r="E1648" s="8" t="inlineStr">
        <is>
          <t>Нужна проверка</t>
        </is>
      </c>
      <c r="F1648" s="8" t="inlineStr">
        <is>
          <t>C</t>
        </is>
      </c>
      <c r="G1648" s="14" t="n">
        <v>41241.24</v>
      </c>
      <c r="H1648" s="14" t="n">
        <v>-41197.64</v>
      </c>
      <c r="I1648" s="14" t="n">
        <v>41241.24</v>
      </c>
      <c r="J1648" s="14" t="n">
        <v>43.59999999999854</v>
      </c>
      <c r="K1648" s="21" t="n">
        <v>46024.8327662037</v>
      </c>
      <c r="L1648" s="21" t="n">
        <v>46023</v>
      </c>
      <c r="M1648" s="8" t="inlineStr"/>
      <c r="N1648" s="8" t="inlineStr">
        <is>
          <t>Бухгалтер + менеджер субагента</t>
        </is>
      </c>
      <c r="O1648" s="8" t="inlineStr">
        <is>
          <t>a.toktosunova</t>
        </is>
      </c>
      <c r="P1648" s="12" t="inlineStr">
        <is>
          <t>Реестр не подтверждает ни 1С, ни ETM (либо состав группы неоднозначен) — нужна проверка</t>
        </is>
      </c>
      <c r="Q1648" s="8" t="inlineStr">
        <is>
          <t>57000745</t>
        </is>
      </c>
    </row>
    <row r="1649">
      <c r="A1649" s="8" t="inlineStr">
        <is>
          <t>G02140</t>
        </is>
      </c>
      <c r="B1649" s="8" t="inlineStr">
        <is>
          <t>Silk Route Air</t>
        </is>
      </c>
      <c r="C1649" s="8" t="inlineStr">
        <is>
          <t>2416944306</t>
        </is>
      </c>
      <c r="D1649" s="8" t="inlineStr">
        <is>
          <t>Сумма не сходится</t>
        </is>
      </c>
      <c r="E1649" s="8" t="inlineStr">
        <is>
          <t>Нужна проверка</t>
        </is>
      </c>
      <c r="F1649" s="8" t="inlineStr">
        <is>
          <t>C</t>
        </is>
      </c>
      <c r="G1649" s="14" t="n">
        <v>31468.58</v>
      </c>
      <c r="H1649" s="14" t="n">
        <v>-31511.96</v>
      </c>
      <c r="I1649" s="14" t="n">
        <v>31468.575</v>
      </c>
      <c r="J1649" s="14" t="n">
        <v>-43.37999999999738</v>
      </c>
      <c r="K1649" s="21" t="n">
        <v>46064.39447916667</v>
      </c>
      <c r="L1649" s="21" t="n">
        <v>46063</v>
      </c>
      <c r="M1649" s="8" t="inlineStr"/>
      <c r="N1649" s="8" t="inlineStr">
        <is>
          <t>Бухгалтер + менеджер субагента</t>
        </is>
      </c>
      <c r="O1649" s="8" t="inlineStr">
        <is>
          <t>b.isakov</t>
        </is>
      </c>
      <c r="P1649" s="12" t="inlineStr">
        <is>
          <t>Реестр не подтверждает ни 1С, ни ETM (либо состав группы неоднозначен) — нужна проверка</t>
        </is>
      </c>
      <c r="Q1649" s="8" t="inlineStr">
        <is>
          <t>57083432</t>
        </is>
      </c>
    </row>
    <row r="1650">
      <c r="A1650" s="8" t="inlineStr">
        <is>
          <t>G01210</t>
        </is>
      </c>
      <c r="B1650" s="8" t="inlineStr">
        <is>
          <t>Karakol Express</t>
        </is>
      </c>
      <c r="C1650" s="8" t="inlineStr">
        <is>
          <t>2420845791</t>
        </is>
      </c>
      <c r="D1650" s="8" t="inlineStr">
        <is>
          <t>Сумма не сходится</t>
        </is>
      </c>
      <c r="E1650" s="8" t="inlineStr">
        <is>
          <t>Нужна проверка</t>
        </is>
      </c>
      <c r="F1650" s="8" t="inlineStr">
        <is>
          <t>C</t>
        </is>
      </c>
      <c r="G1650" s="14" t="n">
        <v>17970.63</v>
      </c>
      <c r="H1650" s="14" t="n">
        <v>-17927.96</v>
      </c>
      <c r="I1650" s="14" t="n">
        <v>17970.6304</v>
      </c>
      <c r="J1650" s="14" t="n">
        <v>42.67000000000189</v>
      </c>
      <c r="K1650" s="21" t="n">
        <v>46108.37577546296</v>
      </c>
      <c r="L1650" s="21" t="n">
        <v>46106</v>
      </c>
      <c r="M1650" s="8" t="inlineStr"/>
      <c r="N1650" s="8" t="inlineStr">
        <is>
          <t>Бухгалтер + менеджер субагента</t>
        </is>
      </c>
      <c r="O1650" s="8" t="inlineStr">
        <is>
          <t>k.dzhumaev</t>
        </is>
      </c>
      <c r="P1650" s="12" t="inlineStr">
        <is>
          <t>Реестр не подтверждает ни 1С, ни ETM (либо состав группы неоднозначен) — нужна проверка</t>
        </is>
      </c>
      <c r="Q1650" s="8" t="inlineStr">
        <is>
          <t>57170448</t>
        </is>
      </c>
    </row>
    <row r="1651">
      <c r="A1651" s="8" t="inlineStr">
        <is>
          <t>G01179</t>
        </is>
      </c>
      <c r="B1651" s="8" t="inlineStr">
        <is>
          <t>Karakol Express</t>
        </is>
      </c>
      <c r="C1651" s="8" t="inlineStr">
        <is>
          <t>2420843533</t>
        </is>
      </c>
      <c r="D1651" s="8" t="inlineStr">
        <is>
          <t>Сумма не сходится</t>
        </is>
      </c>
      <c r="E1651" s="8" t="inlineStr">
        <is>
          <t>Нужна проверка</t>
        </is>
      </c>
      <c r="F1651" s="8" t="inlineStr">
        <is>
          <t>C</t>
        </is>
      </c>
      <c r="G1651" s="14" t="n">
        <v>17434.38</v>
      </c>
      <c r="H1651" s="14" t="n">
        <v>-17392.42</v>
      </c>
      <c r="I1651" s="14" t="n"/>
      <c r="J1651" s="14" t="n">
        <v>41.96000000000276</v>
      </c>
      <c r="K1651" s="21" t="n">
        <v>46052.59167824074</v>
      </c>
      <c r="L1651" s="21" t="n">
        <v>46051</v>
      </c>
      <c r="M1651" s="8" t="inlineStr"/>
      <c r="N1651" s="8" t="inlineStr">
        <is>
          <t>Бухгалтер + менеджер субагента</t>
        </is>
      </c>
      <c r="O1651" s="8" t="inlineStr"/>
      <c r="P1651" s="12" t="inlineStr">
        <is>
          <t>Нет записи реестра (билет выписан субагентом сам) — определить виновного по данным нельзя</t>
        </is>
      </c>
      <c r="Q1651" s="8" t="inlineStr">
        <is>
          <t>57060326</t>
        </is>
      </c>
    </row>
    <row r="1652">
      <c r="A1652" s="8" t="inlineStr">
        <is>
          <t>G01073</t>
        </is>
      </c>
      <c r="B1652" s="8" t="inlineStr">
        <is>
          <t>Karakol Express</t>
        </is>
      </c>
      <c r="C1652" s="8" t="inlineStr">
        <is>
          <t>2416942228</t>
        </is>
      </c>
      <c r="D1652" s="8" t="inlineStr">
        <is>
          <t>Сумма не сходится</t>
        </is>
      </c>
      <c r="E1652" s="8" t="inlineStr">
        <is>
          <t>Нужна проверка</t>
        </is>
      </c>
      <c r="F1652" s="8" t="inlineStr">
        <is>
          <t>C</t>
        </is>
      </c>
      <c r="G1652" s="14" t="n">
        <v>53695.58</v>
      </c>
      <c r="H1652" s="14" t="n">
        <v>-53653.89</v>
      </c>
      <c r="I1652" s="14" t="n">
        <v>53695.575</v>
      </c>
      <c r="J1652" s="14" t="n">
        <v>41.69000000000233</v>
      </c>
      <c r="K1652" s="21" t="n">
        <v>46145.70091435185</v>
      </c>
      <c r="L1652" s="21" t="n">
        <v>46144</v>
      </c>
      <c r="M1652" s="8" t="inlineStr"/>
      <c r="N1652" s="8" t="inlineStr">
        <is>
          <t>Бухгалтер + менеджер субагента</t>
        </is>
      </c>
      <c r="O1652" s="8" t="inlineStr">
        <is>
          <t>e.satarov</t>
        </is>
      </c>
      <c r="P1652" s="12" t="inlineStr">
        <is>
          <t>Реестр не подтверждает ни 1С, ни ETM (либо состав группы неоднозначен) — нужна проверка</t>
        </is>
      </c>
      <c r="Q1652" s="8" t="inlineStr">
        <is>
          <t>57244628</t>
        </is>
      </c>
    </row>
    <row r="1653">
      <c r="A1653" s="8" t="inlineStr">
        <is>
          <t>G14739</t>
        </is>
      </c>
      <c r="B1653" s="8" t="inlineStr">
        <is>
          <t>ЫЙЫК ЭКСПРЕСС</t>
        </is>
      </c>
      <c r="C1653" s="8" t="inlineStr">
        <is>
          <t>2420848503</t>
        </is>
      </c>
      <c r="D1653" s="8" t="inlineStr">
        <is>
          <t>Сумма не сходится</t>
        </is>
      </c>
      <c r="E1653" s="8" t="inlineStr">
        <is>
          <t>Нужна проверка</t>
        </is>
      </c>
      <c r="F1653" s="8" t="inlineStr">
        <is>
          <t>C</t>
        </is>
      </c>
      <c r="G1653" s="14" t="n">
        <v>20921.93</v>
      </c>
      <c r="H1653" s="14" t="n">
        <v>-20880.62</v>
      </c>
      <c r="I1653" s="14" t="n">
        <v>20921.9304</v>
      </c>
      <c r="J1653" s="14" t="n">
        <v>41.31000000000131</v>
      </c>
      <c r="K1653" s="21" t="n">
        <v>46098.6922337963</v>
      </c>
      <c r="L1653" s="21" t="n">
        <v>46097</v>
      </c>
      <c r="M1653" s="8" t="inlineStr"/>
      <c r="N1653" s="8" t="inlineStr">
        <is>
          <t>Бухгалтер + менеджер субагента</t>
        </is>
      </c>
      <c r="O1653" s="8" t="inlineStr">
        <is>
          <t>n.abdyldaeva</t>
        </is>
      </c>
      <c r="P1653" s="12" t="inlineStr">
        <is>
          <t>Реестр не подтверждает ни 1С, ни ETM (либо состав группы неоднозначен) — нужна проверка</t>
        </is>
      </c>
      <c r="Q1653" s="8" t="inlineStr">
        <is>
          <t>57152416</t>
        </is>
      </c>
    </row>
    <row r="1654">
      <c r="A1654" s="8" t="inlineStr">
        <is>
          <t>G08961</t>
        </is>
      </c>
      <c r="B1654" s="8" t="inlineStr">
        <is>
          <t>ИССЫК ТРИП</t>
        </is>
      </c>
      <c r="C1654" s="8" t="inlineStr">
        <is>
          <t>2420847221|2420847224|2420847227|2420847229</t>
        </is>
      </c>
      <c r="D1654" s="8" t="inlineStr">
        <is>
          <t>Сумма не сходится</t>
        </is>
      </c>
      <c r="E1654" s="8" t="inlineStr">
        <is>
          <t>Нужна проверка</t>
        </is>
      </c>
      <c r="F1654" s="8" t="inlineStr">
        <is>
          <t>C</t>
        </is>
      </c>
      <c r="G1654" s="14" t="n">
        <v>10804.74000000001</v>
      </c>
      <c r="H1654" s="14" t="n">
        <v>-10764.3</v>
      </c>
      <c r="I1654" s="14" t="n">
        <v>10804.75599999999</v>
      </c>
      <c r="J1654" s="14" t="n">
        <v>40.44000000000233</v>
      </c>
      <c r="K1654" s="21" t="n">
        <v>46163.36861111111</v>
      </c>
      <c r="L1654" s="21" t="n">
        <v>46162</v>
      </c>
      <c r="M1654" s="8" t="inlineStr"/>
      <c r="N1654" s="8" t="inlineStr">
        <is>
          <t>Бухгалтер + менеджер субагента</t>
        </is>
      </c>
      <c r="O1654" s="8" t="inlineStr">
        <is>
          <t>k.dzhumaev|r.sydykov</t>
        </is>
      </c>
      <c r="P1654" s="12" t="inlineStr">
        <is>
          <t>Реестр не подтверждает ни 1С, ни ETM (либо состав группы неоднозначен) — нужна проверка</t>
        </is>
      </c>
      <c r="Q1654" s="8" t="inlineStr">
        <is>
          <t>57302045,57426731</t>
        </is>
      </c>
    </row>
    <row r="1655">
      <c r="A1655" s="8" t="inlineStr">
        <is>
          <t>G02414</t>
        </is>
      </c>
      <c r="B1655" s="8" t="inlineStr">
        <is>
          <t>SkyWay Travel</t>
        </is>
      </c>
      <c r="C1655" s="8" t="inlineStr">
        <is>
          <t>2416946445|2416946446</t>
        </is>
      </c>
      <c r="D1655" s="8" t="inlineStr">
        <is>
          <t>Сумма не сходится</t>
        </is>
      </c>
      <c r="E1655" s="8" t="inlineStr">
        <is>
          <t>Нужна проверка</t>
        </is>
      </c>
      <c r="F1655" s="8" t="inlineStr">
        <is>
          <t>C</t>
        </is>
      </c>
      <c r="G1655" s="14" t="n">
        <v>37538.8</v>
      </c>
      <c r="H1655" s="14" t="n">
        <v>-37579</v>
      </c>
      <c r="I1655" s="14" t="n">
        <v>37538.8</v>
      </c>
      <c r="J1655" s="14" t="n">
        <v>-40.19999999999709</v>
      </c>
      <c r="K1655" s="21" t="n">
        <v>46205.41491898148</v>
      </c>
      <c r="L1655" s="21" t="n">
        <v>46203</v>
      </c>
      <c r="M1655" s="8" t="inlineStr"/>
      <c r="N1655" s="8" t="inlineStr">
        <is>
          <t>Бухгалтер + менеджер субагента</t>
        </is>
      </c>
      <c r="O1655" s="8" t="inlineStr">
        <is>
          <t>r.sydykov</t>
        </is>
      </c>
      <c r="P1655" s="12" t="inlineStr">
        <is>
          <t>Реестр не подтверждает ни 1С, ни ETM (либо состав группы неоднозначен) — нужна проверка</t>
        </is>
      </c>
      <c r="Q1655" s="8" t="inlineStr">
        <is>
          <t>57416356,57416366</t>
        </is>
      </c>
    </row>
    <row r="1656">
      <c r="A1656" s="8" t="inlineStr">
        <is>
          <t>G14923</t>
        </is>
      </c>
      <c r="B1656" s="8" t="inlineStr">
        <is>
          <t>Ыйык Тур</t>
        </is>
      </c>
      <c r="C1656" s="8" t="inlineStr">
        <is>
          <t>2416944154</t>
        </is>
      </c>
      <c r="D1656" s="8" t="inlineStr">
        <is>
          <t>Сумма не сходится</t>
        </is>
      </c>
      <c r="E1656" s="8" t="inlineStr">
        <is>
          <t>Нужна проверка</t>
        </is>
      </c>
      <c r="F1656" s="8" t="inlineStr">
        <is>
          <t>C</t>
        </is>
      </c>
      <c r="G1656" s="14" t="n">
        <v>35332</v>
      </c>
      <c r="H1656" s="14" t="n">
        <v>-35292</v>
      </c>
      <c r="I1656" s="14" t="n">
        <v>35332</v>
      </c>
      <c r="J1656" s="14" t="n">
        <v>40</v>
      </c>
      <c r="K1656" s="21" t="n">
        <v>46171.48659722223</v>
      </c>
      <c r="L1656" s="21" t="n">
        <v>46169</v>
      </c>
      <c r="M1656" s="8" t="inlineStr"/>
      <c r="N1656" s="8" t="inlineStr">
        <is>
          <t>Бухгалтер + менеджер субагента</t>
        </is>
      </c>
      <c r="O1656" s="8" t="inlineStr">
        <is>
          <t>b.isakov</t>
        </is>
      </c>
      <c r="P1656" s="12" t="inlineStr">
        <is>
          <t>Реестр не подтверждает ни 1С, ни ETM (либо состав группы неоднозначен) — нужна проверка</t>
        </is>
      </c>
      <c r="Q1656" s="8" t="inlineStr">
        <is>
          <t>57321143</t>
        </is>
      </c>
    </row>
    <row r="1657">
      <c r="A1657" s="8" t="inlineStr">
        <is>
          <t>G14136</t>
        </is>
      </c>
      <c r="B1657" s="8" t="inlineStr">
        <is>
          <t>Урматов Эрлан Сагынович</t>
        </is>
      </c>
      <c r="C1657" s="8" t="inlineStr">
        <is>
          <t>2559100026</t>
        </is>
      </c>
      <c r="D1657" s="8" t="inlineStr">
        <is>
          <t>Сумма не сходится</t>
        </is>
      </c>
      <c r="E1657" s="8" t="inlineStr">
        <is>
          <t>Нужна проверка</t>
        </is>
      </c>
      <c r="F1657" s="8" t="inlineStr">
        <is>
          <t>C</t>
        </is>
      </c>
      <c r="G1657" s="14" t="n">
        <v>24060.9</v>
      </c>
      <c r="H1657" s="14" t="n">
        <v>-24099.82</v>
      </c>
      <c r="I1657" s="14" t="n">
        <v>24060.9</v>
      </c>
      <c r="J1657" s="14" t="n">
        <v>-38.91999999999825</v>
      </c>
      <c r="K1657" s="21" t="n">
        <v>46081.52755787037</v>
      </c>
      <c r="L1657" s="21" t="n">
        <v>46080</v>
      </c>
      <c r="M1657" s="8" t="inlineStr"/>
      <c r="N1657" s="8" t="inlineStr">
        <is>
          <t>Бухгалтер + менеджер субагента</t>
        </is>
      </c>
      <c r="O1657" s="8" t="inlineStr">
        <is>
          <t>n.abdyldaeva</t>
        </is>
      </c>
      <c r="P1657" s="12" t="inlineStr">
        <is>
          <t>Реестр не подтверждает ни 1С, ни ETM (либо состав группы неоднозначен) — нужна проверка</t>
        </is>
      </c>
      <c r="Q1657" s="8" t="inlineStr">
        <is>
          <t>57112236</t>
        </is>
      </c>
    </row>
    <row r="1658">
      <c r="A1658" s="8" t="inlineStr">
        <is>
          <t>G03806</t>
        </is>
      </c>
      <c r="B1658" s="8" t="inlineStr">
        <is>
          <t>Steppe Travel</t>
        </is>
      </c>
      <c r="C1658" s="8" t="inlineStr">
        <is>
          <t>2416944736</t>
        </is>
      </c>
      <c r="D1658" s="8" t="inlineStr">
        <is>
          <t>Сумма не сходится</t>
        </is>
      </c>
      <c r="E1658" s="8" t="inlineStr">
        <is>
          <t>Нужна проверка</t>
        </is>
      </c>
      <c r="F1658" s="8" t="inlineStr">
        <is>
          <t>C</t>
        </is>
      </c>
      <c r="G1658" s="14" t="n">
        <v>23108.85</v>
      </c>
      <c r="H1658" s="14" t="n">
        <v>-23146.23</v>
      </c>
      <c r="I1658" s="14" t="n">
        <v>23108.85</v>
      </c>
      <c r="J1658" s="14" t="n">
        <v>-37.38000000000102</v>
      </c>
      <c r="K1658" s="21" t="n">
        <v>46081.83186342593</v>
      </c>
      <c r="L1658" s="21" t="n">
        <v>46080</v>
      </c>
      <c r="M1658" s="8" t="inlineStr"/>
      <c r="N1658" s="8" t="inlineStr">
        <is>
          <t>Бухгалтер + менеджер субагента</t>
        </is>
      </c>
      <c r="O1658" s="8" t="inlineStr">
        <is>
          <t>e.satarov</t>
        </is>
      </c>
      <c r="P1658" s="12" t="inlineStr">
        <is>
          <t>Реестр не подтверждает ни 1С, ни ETM (либо состав группы неоднозначен) — нужна проверка</t>
        </is>
      </c>
      <c r="Q1658" s="8" t="inlineStr">
        <is>
          <t>57113101</t>
        </is>
      </c>
    </row>
    <row r="1659">
      <c r="A1659" s="8" t="inlineStr">
        <is>
          <t>G07041</t>
        </is>
      </c>
      <c r="B1659" s="8" t="inlineStr">
        <is>
          <t>Жибек Авиакасса</t>
        </is>
      </c>
      <c r="C1659" s="8" t="inlineStr">
        <is>
          <t>2552671399</t>
        </is>
      </c>
      <c r="D1659" s="8" t="inlineStr">
        <is>
          <t>Сумма не сходится</t>
        </is>
      </c>
      <c r="E1659" s="8" t="inlineStr">
        <is>
          <t>Нужна проверка</t>
        </is>
      </c>
      <c r="F1659" s="8" t="inlineStr">
        <is>
          <t>C</t>
        </is>
      </c>
      <c r="G1659" s="14" t="n">
        <v>34292.45</v>
      </c>
      <c r="H1659" s="14" t="n">
        <v>-34327.95</v>
      </c>
      <c r="I1659" s="14" t="n"/>
      <c r="J1659" s="14" t="n">
        <v>-35.5</v>
      </c>
      <c r="K1659" s="21" t="n">
        <v>46035.78241898148</v>
      </c>
      <c r="L1659" s="21" t="n">
        <v>46034</v>
      </c>
      <c r="M1659" s="8" t="inlineStr"/>
      <c r="N1659" s="8" t="inlineStr">
        <is>
          <t>Бухгалтер + менеджер субагента</t>
        </is>
      </c>
      <c r="O1659" s="8" t="inlineStr"/>
      <c r="P1659" s="12" t="inlineStr">
        <is>
          <t>Нет записи реестра (билет выписан субагентом сам) — определить виновного по данным нельзя</t>
        </is>
      </c>
      <c r="Q1659" s="8" t="inlineStr">
        <is>
          <t>57023127</t>
        </is>
      </c>
    </row>
    <row r="1660">
      <c r="A1660" s="8" t="inlineStr">
        <is>
          <t>G03408</t>
        </is>
      </c>
      <c r="B1660" s="8" t="inlineStr">
        <is>
          <t>SkyWay Travel</t>
        </is>
      </c>
      <c r="C1660" s="8" t="inlineStr">
        <is>
          <t>2552668474</t>
        </is>
      </c>
      <c r="D1660" s="8" t="inlineStr">
        <is>
          <t>Сумма не сходится</t>
        </is>
      </c>
      <c r="E1660" s="8" t="inlineStr">
        <is>
          <t>Нужна проверка</t>
        </is>
      </c>
      <c r="F1660" s="8" t="inlineStr">
        <is>
          <t>C</t>
        </is>
      </c>
      <c r="G1660" s="14" t="n">
        <v>33221.76</v>
      </c>
      <c r="H1660" s="14" t="n">
        <v>-33256.96</v>
      </c>
      <c r="I1660" s="14" t="n"/>
      <c r="J1660" s="14" t="n">
        <v>-35.19999999999709</v>
      </c>
      <c r="K1660" s="21" t="n">
        <v>46211.57668981481</v>
      </c>
      <c r="L1660" s="21" t="n">
        <v>46210</v>
      </c>
      <c r="M1660" s="8" t="inlineStr"/>
      <c r="N1660" s="8" t="inlineStr">
        <is>
          <t>Бухгалтер + менеджер субагента</t>
        </is>
      </c>
      <c r="O1660" s="8" t="inlineStr"/>
      <c r="P1660" s="12" t="inlineStr">
        <is>
          <t>Нет записи реестра (билет выписан субагентом сам) — определить виновного по данным нельзя</t>
        </is>
      </c>
      <c r="Q1660" s="8" t="inlineStr">
        <is>
          <t>57436796</t>
        </is>
      </c>
    </row>
    <row r="1661">
      <c r="A1661" s="8" t="inlineStr">
        <is>
          <t>G04818</t>
        </is>
      </c>
      <c r="B1661" s="8" t="inlineStr">
        <is>
          <t>Ак-Куу Авиа</t>
        </is>
      </c>
      <c r="C1661" s="8" t="inlineStr">
        <is>
          <t>2420843539</t>
        </is>
      </c>
      <c r="D1661" s="8" t="inlineStr">
        <is>
          <t>Сумма не сходится</t>
        </is>
      </c>
      <c r="E1661" s="8" t="inlineStr">
        <is>
          <t>Нужна проверка</t>
        </is>
      </c>
      <c r="F1661" s="8" t="inlineStr">
        <is>
          <t>C</t>
        </is>
      </c>
      <c r="G1661" s="14" t="n">
        <v>20712.86</v>
      </c>
      <c r="H1661" s="14" t="n">
        <v>-20747.6</v>
      </c>
      <c r="I1661" s="14" t="n">
        <v>20712.8584</v>
      </c>
      <c r="J1661" s="14" t="n">
        <v>-34.73999999999796</v>
      </c>
      <c r="K1661" s="21" t="n">
        <v>46058.4715162037</v>
      </c>
      <c r="L1661" s="21" t="n">
        <v>46057</v>
      </c>
      <c r="M1661" s="8" t="inlineStr"/>
      <c r="N1661" s="8" t="inlineStr">
        <is>
          <t>Бухгалтер + менеджер субагента</t>
        </is>
      </c>
      <c r="O1661" s="8" t="inlineStr">
        <is>
          <t>e.satarov</t>
        </is>
      </c>
      <c r="P1661" s="12" t="inlineStr">
        <is>
          <t>Реестр не подтверждает ни 1С, ни ETM (либо состав группы неоднозначен) — нужна проверка</t>
        </is>
      </c>
      <c r="Q1661" s="8" t="inlineStr">
        <is>
          <t>57072600</t>
        </is>
      </c>
    </row>
    <row r="1662">
      <c r="A1662" s="8" t="inlineStr">
        <is>
          <t>G04458</t>
        </is>
      </c>
      <c r="B1662" s="8" t="inlineStr">
        <is>
          <t>Абдылда уулу Б.</t>
        </is>
      </c>
      <c r="C1662" s="8" t="inlineStr">
        <is>
          <t>2552668584|2552668587</t>
        </is>
      </c>
      <c r="D1662" s="8" t="inlineStr">
        <is>
          <t>Сумма не сходится</t>
        </is>
      </c>
      <c r="E1662" s="8" t="inlineStr">
        <is>
          <t>Нужна проверка</t>
        </is>
      </c>
      <c r="F1662" s="8" t="inlineStr">
        <is>
          <t>C</t>
        </is>
      </c>
      <c r="G1662" s="14" t="n">
        <v>107961.98</v>
      </c>
      <c r="H1662" s="14" t="n">
        <v>-107927.48</v>
      </c>
      <c r="I1662" s="14" t="n"/>
      <c r="J1662" s="14" t="n">
        <v>34.5</v>
      </c>
      <c r="K1662" s="21" t="n">
        <v>46195.38644675926</v>
      </c>
      <c r="L1662" s="21" t="n">
        <v>46193</v>
      </c>
      <c r="M1662" s="8" t="inlineStr"/>
      <c r="N1662" s="8" t="inlineStr">
        <is>
          <t>Бухгалтер + менеджер субагента</t>
        </is>
      </c>
      <c r="O1662" s="8" t="inlineStr"/>
      <c r="P1662" s="12" t="inlineStr">
        <is>
          <t>Нет записи реестра (билет выписан субагентом сам) — определить виновного по данным нельзя</t>
        </is>
      </c>
      <c r="Q1662" s="8" t="inlineStr">
        <is>
          <t>57383201,57383179</t>
        </is>
      </c>
    </row>
    <row r="1663">
      <c r="A1663" s="8" t="inlineStr">
        <is>
          <t>G04516</t>
        </is>
      </c>
      <c r="B1663" s="8" t="inlineStr">
        <is>
          <t>Абдылда уулу Б.</t>
        </is>
      </c>
      <c r="C1663" s="8" t="inlineStr">
        <is>
          <t>2559101615</t>
        </is>
      </c>
      <c r="D1663" s="8" t="inlineStr">
        <is>
          <t>Сумма не сходится</t>
        </is>
      </c>
      <c r="E1663" s="8" t="inlineStr">
        <is>
          <t>Нужна проверка</t>
        </is>
      </c>
      <c r="F1663" s="8" t="inlineStr">
        <is>
          <t>C</t>
        </is>
      </c>
      <c r="G1663" s="14" t="n">
        <v>59210.6</v>
      </c>
      <c r="H1663" s="14" t="n">
        <v>-59177.1</v>
      </c>
      <c r="I1663" s="14" t="n"/>
      <c r="J1663" s="14" t="n">
        <v>33.5</v>
      </c>
      <c r="K1663" s="21" t="n">
        <v>46053.54439814815</v>
      </c>
      <c r="L1663" s="21" t="n">
        <v>46051</v>
      </c>
      <c r="M1663" s="8" t="inlineStr"/>
      <c r="N1663" s="8" t="inlineStr">
        <is>
          <t>Бухгалтер + менеджер субагента</t>
        </is>
      </c>
      <c r="O1663" s="8" t="inlineStr"/>
      <c r="P1663" s="12" t="inlineStr">
        <is>
          <t>Нет записи реестра (билет выписан субагентом сам) — определить виновного по данным нельзя</t>
        </is>
      </c>
      <c r="Q1663" s="8" t="inlineStr">
        <is>
          <t>57061055</t>
        </is>
      </c>
    </row>
    <row r="1664">
      <c r="A1664" s="8" t="inlineStr">
        <is>
          <t>G07910</t>
        </is>
      </c>
      <c r="B1664" s="8" t="inlineStr">
        <is>
          <t>ИП Бейшенова Д. О.</t>
        </is>
      </c>
      <c r="C1664" s="8" t="inlineStr">
        <is>
          <t>2416945366</t>
        </is>
      </c>
      <c r="D1664" s="8" t="inlineStr">
        <is>
          <t>Сумма не сходится</t>
        </is>
      </c>
      <c r="E1664" s="8" t="inlineStr">
        <is>
          <t>Нужна проверка</t>
        </is>
      </c>
      <c r="F1664" s="8" t="inlineStr">
        <is>
          <t>C</t>
        </is>
      </c>
      <c r="G1664" s="14" t="n">
        <v>29694.59</v>
      </c>
      <c r="H1664" s="14" t="n">
        <v>-29661.24</v>
      </c>
      <c r="I1664" s="14" t="n"/>
      <c r="J1664" s="14" t="n">
        <v>33.34999999999854</v>
      </c>
      <c r="K1664" s="21" t="n">
        <v>46115.53675925926</v>
      </c>
      <c r="L1664" s="21" t="n">
        <v>46114</v>
      </c>
      <c r="M1664" s="8" t="inlineStr"/>
      <c r="N1664" s="8" t="inlineStr">
        <is>
          <t>Бухгалтер + менеджер субагента</t>
        </is>
      </c>
      <c r="O1664" s="8" t="inlineStr"/>
      <c r="P1664" s="12" t="inlineStr">
        <is>
          <t>Нет записи реестра (билет выписан субагентом сам) — определить виновного по данным нельзя</t>
        </is>
      </c>
      <c r="Q1664" s="8" t="inlineStr">
        <is>
          <t>57186950</t>
        </is>
      </c>
    </row>
    <row r="1665">
      <c r="A1665" s="8" t="inlineStr">
        <is>
          <t>G11275</t>
        </is>
      </c>
      <c r="B1665" s="8" t="inlineStr">
        <is>
          <t>ОсОО Алтын Эйр</t>
        </is>
      </c>
      <c r="C1665" s="8" t="inlineStr">
        <is>
          <t>2552667986</t>
        </is>
      </c>
      <c r="D1665" s="8" t="inlineStr">
        <is>
          <t>Сумма не сходится</t>
        </is>
      </c>
      <c r="E1665" s="8" t="inlineStr">
        <is>
          <t>Нужна проверка</t>
        </is>
      </c>
      <c r="F1665" s="8" t="inlineStr">
        <is>
          <t>C</t>
        </is>
      </c>
      <c r="G1665" s="14" t="n">
        <v>31379.79</v>
      </c>
      <c r="H1665" s="14" t="n">
        <v>-31411.91</v>
      </c>
      <c r="I1665" s="14" t="n">
        <v>31379.7875</v>
      </c>
      <c r="J1665" s="14" t="n">
        <v>-32.11999999999898</v>
      </c>
      <c r="K1665" s="21" t="n">
        <v>46035.81351851852</v>
      </c>
      <c r="L1665" s="21" t="n">
        <v>46034</v>
      </c>
      <c r="M1665" s="8" t="inlineStr"/>
      <c r="N1665" s="8" t="inlineStr">
        <is>
          <t>Бухгалтер + менеджер субагента</t>
        </is>
      </c>
      <c r="O1665" s="8" t="inlineStr">
        <is>
          <t>e.satarov</t>
        </is>
      </c>
      <c r="P1665" s="12" t="inlineStr">
        <is>
          <t>Реестр не подтверждает ни 1С, ни ETM (либо состав группы неоднозначен) — нужна проверка</t>
        </is>
      </c>
      <c r="Q1665" s="8" t="inlineStr">
        <is>
          <t>57021718</t>
        </is>
      </c>
    </row>
    <row r="1666">
      <c r="A1666" s="8" t="inlineStr">
        <is>
          <t>G07875</t>
        </is>
      </c>
      <c r="B1666" s="8" t="inlineStr">
        <is>
          <t>ИП Асанов К. Б.</t>
        </is>
      </c>
      <c r="C1666" s="8" t="inlineStr">
        <is>
          <t>2552667618</t>
        </is>
      </c>
      <c r="D1666" s="8" t="inlineStr">
        <is>
          <t>Сумма не сходится</t>
        </is>
      </c>
      <c r="E1666" s="8" t="inlineStr">
        <is>
          <t>Нужна проверка</t>
        </is>
      </c>
      <c r="F1666" s="8" t="inlineStr">
        <is>
          <t>C</t>
        </is>
      </c>
      <c r="G1666" s="14" t="n">
        <v>31292.64</v>
      </c>
      <c r="H1666" s="14" t="n">
        <v>-31324.64</v>
      </c>
      <c r="I1666" s="14" t="n">
        <v>31292.6375</v>
      </c>
      <c r="J1666" s="14" t="n">
        <v>-32</v>
      </c>
      <c r="K1666" s="21" t="n">
        <v>46206.7925462963</v>
      </c>
      <c r="L1666" s="21" t="n">
        <v>46205</v>
      </c>
      <c r="M1666" s="8" t="inlineStr"/>
      <c r="N1666" s="8" t="inlineStr">
        <is>
          <t>Бухгалтер + менеджер субагента</t>
        </is>
      </c>
      <c r="O1666" s="8" t="inlineStr">
        <is>
          <t>b.isakov</t>
        </is>
      </c>
      <c r="P1666" s="12" t="inlineStr">
        <is>
          <t>Реестр не подтверждает ни 1С, ни ETM (либо состав группы неоднозначен) — нужна проверка</t>
        </is>
      </c>
      <c r="Q1666" s="8" t="inlineStr">
        <is>
          <t>57419614</t>
        </is>
      </c>
    </row>
    <row r="1667">
      <c r="A1667" s="8" t="inlineStr">
        <is>
          <t>G03493</t>
        </is>
      </c>
      <c r="B1667" s="8" t="inlineStr">
        <is>
          <t>SkyWay Travel</t>
        </is>
      </c>
      <c r="C1667" s="8" t="inlineStr">
        <is>
          <t>2552670701|2552670703</t>
        </is>
      </c>
      <c r="D1667" s="8" t="inlineStr">
        <is>
          <t>Сумма не сходится</t>
        </is>
      </c>
      <c r="E1667" s="8" t="inlineStr">
        <is>
          <t>Нужна проверка</t>
        </is>
      </c>
      <c r="F1667" s="8" t="inlineStr">
        <is>
          <t>C</t>
        </is>
      </c>
      <c r="G1667" s="14" t="n">
        <v>51025.56</v>
      </c>
      <c r="H1667" s="14" t="n">
        <v>-50993.68</v>
      </c>
      <c r="I1667" s="14" t="n"/>
      <c r="J1667" s="14" t="n">
        <v>31.87999999999738</v>
      </c>
      <c r="K1667" s="21" t="n">
        <v>46127.36891203704</v>
      </c>
      <c r="L1667" s="21" t="n">
        <v>46125</v>
      </c>
      <c r="M1667" s="8" t="inlineStr"/>
      <c r="N1667" s="8" t="inlineStr">
        <is>
          <t>Бухгалтер + менеджер субагента</t>
        </is>
      </c>
      <c r="O1667" s="8" t="inlineStr"/>
      <c r="P1667" s="12" t="inlineStr">
        <is>
          <t>Нет записи реестра (билет выписан субагентом сам) — определить виновного по данным нельзя</t>
        </is>
      </c>
      <c r="Q1667" s="8" t="inlineStr">
        <is>
          <t>57205333,57205361</t>
        </is>
      </c>
    </row>
    <row r="1668">
      <c r="A1668" s="8" t="inlineStr">
        <is>
          <t>G11467</t>
        </is>
      </c>
      <c r="B1668" s="8" t="inlineStr">
        <is>
          <t>ОсОО Иссык Тур</t>
        </is>
      </c>
      <c r="C1668" s="8" t="inlineStr">
        <is>
          <t>2559102688</t>
        </is>
      </c>
      <c r="D1668" s="8" t="inlineStr">
        <is>
          <t>Сумма не сходится</t>
        </is>
      </c>
      <c r="E1668" s="8" t="inlineStr">
        <is>
          <t>Нужна проверка</t>
        </is>
      </c>
      <c r="F1668" s="8" t="inlineStr">
        <is>
          <t>C</t>
        </is>
      </c>
      <c r="G1668" s="14" t="n">
        <v>27703.24</v>
      </c>
      <c r="H1668" s="14" t="n">
        <v>-27734.89</v>
      </c>
      <c r="I1668" s="14" t="n">
        <v>27703.245</v>
      </c>
      <c r="J1668" s="14" t="n">
        <v>-31.64999999999782</v>
      </c>
      <c r="K1668" s="21" t="n">
        <v>46109.33436342593</v>
      </c>
      <c r="L1668" s="21" t="n">
        <v>46107</v>
      </c>
      <c r="M1668" s="8" t="inlineStr"/>
      <c r="N1668" s="8" t="inlineStr">
        <is>
          <t>Бухгалтер + менеджер субагента</t>
        </is>
      </c>
      <c r="O1668" s="8" t="inlineStr">
        <is>
          <t>k.dzhumaev</t>
        </is>
      </c>
      <c r="P1668" s="12" t="inlineStr">
        <is>
          <t>Реестр не подтверждает ни 1С, ни ETM (либо состав группы неоднозначен) — нужна проверка</t>
        </is>
      </c>
      <c r="Q1668" s="8" t="inlineStr">
        <is>
          <t>57173453</t>
        </is>
      </c>
    </row>
    <row r="1669">
      <c r="A1669" s="8" t="inlineStr">
        <is>
          <t>G03461</t>
        </is>
      </c>
      <c r="B1669" s="8" t="inlineStr">
        <is>
          <t>SkyWay Travel</t>
        </is>
      </c>
      <c r="C1669" s="8" t="inlineStr">
        <is>
          <t>2552669945</t>
        </is>
      </c>
      <c r="D1669" s="8" t="inlineStr">
        <is>
          <t>Сумма не сходится</t>
        </is>
      </c>
      <c r="E1669" s="8" t="inlineStr">
        <is>
          <t>Нужна проверка</t>
        </is>
      </c>
      <c r="F1669" s="8" t="inlineStr">
        <is>
          <t>C</t>
        </is>
      </c>
      <c r="G1669" s="14" t="n">
        <v>27358.62</v>
      </c>
      <c r="H1669" s="14" t="n">
        <v>-27327.49</v>
      </c>
      <c r="I1669" s="14" t="n">
        <v>27358.62</v>
      </c>
      <c r="J1669" s="14" t="n">
        <v>31.12999999999738</v>
      </c>
      <c r="K1669" s="21" t="n">
        <v>46219.58050925926</v>
      </c>
      <c r="L1669" s="21" t="n">
        <v>46218</v>
      </c>
      <c r="M1669" s="8" t="inlineStr"/>
      <c r="N1669" s="8" t="inlineStr">
        <is>
          <t>Бухгалтер + менеджер субагента</t>
        </is>
      </c>
      <c r="O1669" s="8" t="inlineStr">
        <is>
          <t>g.omurbekova</t>
        </is>
      </c>
      <c r="P1669" s="12" t="inlineStr">
        <is>
          <t>Реестр не подтверждает ни 1С, ни ETM (либо состав группы неоднозначен) — нужна проверка</t>
        </is>
      </c>
      <c r="Q1669" s="8" t="inlineStr">
        <is>
          <t>57461191</t>
        </is>
      </c>
    </row>
    <row r="1670">
      <c r="A1670" s="8" t="inlineStr">
        <is>
          <t>G01853</t>
        </is>
      </c>
      <c r="B1670" s="8" t="inlineStr">
        <is>
          <t>Karakol Express</t>
        </is>
      </c>
      <c r="C1670" s="8" t="inlineStr">
        <is>
          <t>2552671830</t>
        </is>
      </c>
      <c r="D1670" s="8" t="inlineStr">
        <is>
          <t>Сумма не сходится</t>
        </is>
      </c>
      <c r="E1670" s="8" t="inlineStr">
        <is>
          <t>Нужна проверка</t>
        </is>
      </c>
      <c r="F1670" s="8" t="inlineStr">
        <is>
          <t>C</t>
        </is>
      </c>
      <c r="G1670" s="14" t="n">
        <v>22731.7</v>
      </c>
      <c r="H1670" s="14" t="n">
        <v>-22762.47</v>
      </c>
      <c r="I1670" s="14" t="n"/>
      <c r="J1670" s="14" t="n">
        <v>-30.77000000000044</v>
      </c>
      <c r="K1670" s="21" t="n">
        <v>46224.62407407408</v>
      </c>
      <c r="L1670" s="21" t="n">
        <v>46223</v>
      </c>
      <c r="M1670" s="8" t="inlineStr"/>
      <c r="N1670" s="8" t="inlineStr">
        <is>
          <t>Бухгалтер + менеджер субагента</t>
        </is>
      </c>
      <c r="O1670" s="8" t="inlineStr"/>
      <c r="P1670" s="12" t="inlineStr">
        <is>
          <t>Нет записи реестра (билет выписан субагентом сам) — определить виновного по данным нельзя</t>
        </is>
      </c>
      <c r="Q1670" s="8" t="inlineStr">
        <is>
          <t>57474585</t>
        </is>
      </c>
    </row>
    <row r="1671">
      <c r="A1671" s="8" t="inlineStr">
        <is>
          <t>G11606</t>
        </is>
      </c>
      <c r="B1671" s="8" t="inlineStr">
        <is>
          <t>ОсОО Кара-Кол Трип</t>
        </is>
      </c>
      <c r="C1671" s="8" t="inlineStr">
        <is>
          <t>2559103072</t>
        </is>
      </c>
      <c r="D1671" s="8" t="inlineStr">
        <is>
          <t>Сумма не сходится</t>
        </is>
      </c>
      <c r="E1671" s="8" t="inlineStr">
        <is>
          <t>Нужна проверка</t>
        </is>
      </c>
      <c r="F1671" s="8" t="inlineStr">
        <is>
          <t>C</t>
        </is>
      </c>
      <c r="G1671" s="14" t="n">
        <v>33540.91</v>
      </c>
      <c r="H1671" s="14" t="n">
        <v>-33571.59</v>
      </c>
      <c r="I1671" s="14" t="n">
        <v>33540.91</v>
      </c>
      <c r="J1671" s="14" t="n">
        <v>-30.67999999999302</v>
      </c>
      <c r="K1671" s="21" t="n">
        <v>46062.5733912037</v>
      </c>
      <c r="L1671" s="21" t="n">
        <v>46061</v>
      </c>
      <c r="M1671" s="8" t="inlineStr"/>
      <c r="N1671" s="8" t="inlineStr">
        <is>
          <t>Бухгалтер + менеджер субагента</t>
        </is>
      </c>
      <c r="O1671" s="8" t="inlineStr">
        <is>
          <t>e.satarov</t>
        </is>
      </c>
      <c r="P1671" s="12" t="inlineStr">
        <is>
          <t>Реестр не подтверждает ни 1С, ни ETM (либо состав группы неоднозначен) — нужна проверка</t>
        </is>
      </c>
      <c r="Q1671" s="8" t="inlineStr">
        <is>
          <t>57079562</t>
        </is>
      </c>
    </row>
    <row r="1672">
      <c r="A1672" s="8" t="inlineStr">
        <is>
          <t>G06238</t>
        </is>
      </c>
      <c r="B1672" s="8" t="inlineStr">
        <is>
          <t>Бирлик Трип</t>
        </is>
      </c>
      <c r="C1672" s="8" t="inlineStr">
        <is>
          <t>2420844463</t>
        </is>
      </c>
      <c r="D1672" s="8" t="inlineStr">
        <is>
          <t>Сумма не сходится</t>
        </is>
      </c>
      <c r="E1672" s="8" t="inlineStr">
        <is>
          <t>Нужна проверка</t>
        </is>
      </c>
      <c r="F1672" s="8" t="inlineStr">
        <is>
          <t>C</t>
        </is>
      </c>
      <c r="G1672" s="14" t="n">
        <v>18938.44</v>
      </c>
      <c r="H1672" s="14" t="n">
        <v>-18968.66</v>
      </c>
      <c r="I1672" s="14" t="n"/>
      <c r="J1672" s="14" t="n">
        <v>-30.22000000000116</v>
      </c>
      <c r="K1672" s="21" t="n">
        <v>46108.7446875</v>
      </c>
      <c r="L1672" s="21" t="n">
        <v>46107</v>
      </c>
      <c r="M1672" s="8" t="inlineStr"/>
      <c r="N1672" s="8" t="inlineStr">
        <is>
          <t>Бухгалтер + менеджер субагента</t>
        </is>
      </c>
      <c r="O1672" s="8" t="inlineStr"/>
      <c r="P1672" s="12" t="inlineStr">
        <is>
          <t>Нет записи реестра (билет выписан субагентом сам) — определить виновного по данным нельзя</t>
        </is>
      </c>
      <c r="Q1672" s="8" t="inlineStr">
        <is>
          <t>57172449</t>
        </is>
      </c>
    </row>
    <row r="1673">
      <c r="A1673" s="8" t="inlineStr">
        <is>
          <t>G08936</t>
        </is>
      </c>
      <c r="B1673" s="8" t="inlineStr">
        <is>
          <t>ИССЫК ТРИП</t>
        </is>
      </c>
      <c r="C1673" s="8" t="inlineStr">
        <is>
          <t>2420845412</t>
        </is>
      </c>
      <c r="D1673" s="8" t="inlineStr">
        <is>
          <t>Сумма не сходится</t>
        </is>
      </c>
      <c r="E1673" s="8" t="inlineStr">
        <is>
          <t>Нужна проверка</t>
        </is>
      </c>
      <c r="F1673" s="8" t="inlineStr">
        <is>
          <t>C</t>
        </is>
      </c>
      <c r="G1673" s="14" t="n">
        <v>17738.55</v>
      </c>
      <c r="H1673" s="14" t="n">
        <v>-17708.92</v>
      </c>
      <c r="I1673" s="14" t="n">
        <v>17738.5532</v>
      </c>
      <c r="J1673" s="14" t="n">
        <v>29.63000000000102</v>
      </c>
      <c r="K1673" s="21" t="n">
        <v>46183.45206018518</v>
      </c>
      <c r="L1673" s="21" t="n">
        <v>46182</v>
      </c>
      <c r="M1673" s="8" t="inlineStr"/>
      <c r="N1673" s="8" t="inlineStr">
        <is>
          <t>Бухгалтер + менеджер субагента</t>
        </is>
      </c>
      <c r="O1673" s="8" t="inlineStr">
        <is>
          <t>g.omurbekova</t>
        </is>
      </c>
      <c r="P1673" s="12" t="inlineStr">
        <is>
          <t>Реестр не подтверждает ни 1С, ни ETM (либо состав группы неоднозначен) — нужна проверка</t>
        </is>
      </c>
      <c r="Q1673" s="8" t="inlineStr">
        <is>
          <t>57354510</t>
        </is>
      </c>
    </row>
    <row r="1674">
      <c r="A1674" s="8" t="inlineStr">
        <is>
          <t>G14719</t>
        </is>
      </c>
      <c r="B1674" s="8" t="inlineStr">
        <is>
          <t>ЫЙЫК ЭКСПРЕСС</t>
        </is>
      </c>
      <c r="C1674" s="8" t="inlineStr">
        <is>
          <t>2416945038</t>
        </is>
      </c>
      <c r="D1674" s="8" t="inlineStr">
        <is>
          <t>Сумма не сходится</t>
        </is>
      </c>
      <c r="E1674" s="8" t="inlineStr">
        <is>
          <t>Нужна проверка</t>
        </is>
      </c>
      <c r="F1674" s="8" t="inlineStr">
        <is>
          <t>C</t>
        </is>
      </c>
      <c r="G1674" s="14" t="n">
        <v>29206.33</v>
      </c>
      <c r="H1674" s="14" t="n">
        <v>-29176.95</v>
      </c>
      <c r="I1674" s="14" t="n">
        <v>29206.335</v>
      </c>
      <c r="J1674" s="14" t="n">
        <v>29.38000000000102</v>
      </c>
      <c r="K1674" s="21" t="n">
        <v>46042.45519675926</v>
      </c>
      <c r="L1674" s="21" t="n">
        <v>46040</v>
      </c>
      <c r="M1674" s="8" t="inlineStr"/>
      <c r="N1674" s="8" t="inlineStr">
        <is>
          <t>Бухгалтер + менеджер субагента</t>
        </is>
      </c>
      <c r="O1674" s="8" t="inlineStr">
        <is>
          <t>a.toktosunova</t>
        </is>
      </c>
      <c r="P1674" s="12" t="inlineStr">
        <is>
          <t>Реестр не подтверждает ни 1С, ни ETM (либо состав группы неоднозначен) — нужна проверка</t>
        </is>
      </c>
      <c r="Q1674" s="8" t="inlineStr">
        <is>
          <t>57037436</t>
        </is>
      </c>
    </row>
    <row r="1675">
      <c r="A1675" s="8" t="inlineStr">
        <is>
          <t>G10996</t>
        </is>
      </c>
      <c r="B1675" s="8" t="inlineStr">
        <is>
          <t>ОсОО Ала-Арча Трип</t>
        </is>
      </c>
      <c r="C1675" s="8" t="inlineStr">
        <is>
          <t>2420845398</t>
        </is>
      </c>
      <c r="D1675" s="8" t="inlineStr">
        <is>
          <t>Сумма не сходится</t>
        </is>
      </c>
      <c r="E1675" s="8" t="inlineStr">
        <is>
          <t>Нужна проверка</t>
        </is>
      </c>
      <c r="F1675" s="8" t="inlineStr">
        <is>
          <t>C</t>
        </is>
      </c>
      <c r="G1675" s="14" t="n">
        <v>17723.76</v>
      </c>
      <c r="H1675" s="14" t="n">
        <v>-17694.53</v>
      </c>
      <c r="I1675" s="14" t="n">
        <v>17723.76</v>
      </c>
      <c r="J1675" s="14" t="n">
        <v>29.22999999999956</v>
      </c>
      <c r="K1675" s="21" t="n">
        <v>46051.39694444444</v>
      </c>
      <c r="L1675" s="21" t="n">
        <v>46050</v>
      </c>
      <c r="M1675" s="8" t="inlineStr"/>
      <c r="N1675" s="8" t="inlineStr">
        <is>
          <t>Бухгалтер + менеджер субагента</t>
        </is>
      </c>
      <c r="O1675" s="8" t="inlineStr">
        <is>
          <t>g.omurbekova</t>
        </is>
      </c>
      <c r="P1675" s="12" t="inlineStr">
        <is>
          <t>Реестр не подтверждает ни 1С, ни ETM (либо состав группы неоднозначен) — нужна проверка</t>
        </is>
      </c>
      <c r="Q1675" s="8" t="inlineStr">
        <is>
          <t>57058693</t>
        </is>
      </c>
    </row>
    <row r="1676">
      <c r="A1676" s="8" t="inlineStr">
        <is>
          <t>G08846</t>
        </is>
      </c>
      <c r="B1676" s="8" t="inlineStr">
        <is>
          <t>ИССЫК ТРИП</t>
        </is>
      </c>
      <c r="C1676" s="8" t="inlineStr">
        <is>
          <t>2416940821</t>
        </is>
      </c>
      <c r="D1676" s="8" t="inlineStr">
        <is>
          <t>Сумма не сходится</t>
        </is>
      </c>
      <c r="E1676" s="8" t="inlineStr">
        <is>
          <t>Нужна проверка</t>
        </is>
      </c>
      <c r="F1676" s="8" t="inlineStr">
        <is>
          <t>C</t>
        </is>
      </c>
      <c r="G1676" s="14" t="n">
        <v>42693.64</v>
      </c>
      <c r="H1676" s="14" t="n">
        <v>-42664.6</v>
      </c>
      <c r="I1676" s="14" t="n">
        <v>42693.64</v>
      </c>
      <c r="J1676" s="14" t="n">
        <v>29.04000000000087</v>
      </c>
      <c r="K1676" s="21" t="n">
        <v>46168.38444444445</v>
      </c>
      <c r="L1676" s="21" t="n">
        <v>46167</v>
      </c>
      <c r="M1676" s="8" t="inlineStr"/>
      <c r="N1676" s="8" t="inlineStr">
        <is>
          <t>Бухгалтер + менеджер субагента</t>
        </is>
      </c>
      <c r="O1676" s="8" t="inlineStr">
        <is>
          <t>e.satarov</t>
        </is>
      </c>
      <c r="P1676" s="12" t="inlineStr">
        <is>
          <t>Реестр не подтверждает ни 1С, ни ETM (либо состав группы неоднозначен) — нужна проверка</t>
        </is>
      </c>
      <c r="Q1676" s="8" t="inlineStr">
        <is>
          <t>57314581</t>
        </is>
      </c>
    </row>
    <row r="1677">
      <c r="A1677" s="8" t="inlineStr">
        <is>
          <t>G14668</t>
        </is>
      </c>
      <c r="B1677" s="8" t="inlineStr">
        <is>
          <t>Чынарова Бурул Джолдошовна</t>
        </is>
      </c>
      <c r="C1677" s="8" t="inlineStr">
        <is>
          <t>2552670098</t>
        </is>
      </c>
      <c r="D1677" s="8" t="inlineStr">
        <is>
          <t>Сумма не сходится</t>
        </is>
      </c>
      <c r="E1677" s="8" t="inlineStr">
        <is>
          <t>Нужна проверка</t>
        </is>
      </c>
      <c r="F1677" s="8" t="inlineStr">
        <is>
          <t>C</t>
        </is>
      </c>
      <c r="G1677" s="14" t="n">
        <v>22254.98</v>
      </c>
      <c r="H1677" s="14" t="n">
        <v>-22226.9</v>
      </c>
      <c r="I1677" s="14" t="n">
        <v>22254.98</v>
      </c>
      <c r="J1677" s="14" t="n">
        <v>28.07999999999811</v>
      </c>
      <c r="K1677" s="21" t="n">
        <v>46194.68952546296</v>
      </c>
      <c r="L1677" s="21" t="n">
        <v>46193</v>
      </c>
      <c r="M1677" s="8" t="inlineStr"/>
      <c r="N1677" s="8" t="inlineStr">
        <is>
          <t>Бухгалтер + менеджер субагента</t>
        </is>
      </c>
      <c r="O1677" s="8" t="inlineStr">
        <is>
          <t>e.satarov</t>
        </is>
      </c>
      <c r="P1677" s="12" t="inlineStr">
        <is>
          <t>Реестр не подтверждает ни 1С, ни ETM (либо состав группы неоднозначен) — нужна проверка</t>
        </is>
      </c>
      <c r="Q1677" s="8" t="inlineStr">
        <is>
          <t>57383761</t>
        </is>
      </c>
    </row>
    <row r="1678">
      <c r="A1678" s="8" t="inlineStr">
        <is>
          <t>G06590</t>
        </is>
      </c>
      <c r="B1678" s="8" t="inlineStr">
        <is>
          <t>Джолдошова Салтанат Сатаревна</t>
        </is>
      </c>
      <c r="C1678" s="8" t="inlineStr">
        <is>
          <t>2420848190</t>
        </is>
      </c>
      <c r="D1678" s="8" t="inlineStr">
        <is>
          <t>Сумма не сходится</t>
        </is>
      </c>
      <c r="E1678" s="8" t="inlineStr">
        <is>
          <t>Нужна проверка</t>
        </is>
      </c>
      <c r="F1678" s="8" t="inlineStr">
        <is>
          <t>C</t>
        </is>
      </c>
      <c r="G1678" s="14" t="n">
        <v>23933.57</v>
      </c>
      <c r="H1678" s="14" t="n">
        <v>-23961.56</v>
      </c>
      <c r="I1678" s="14" t="n">
        <v>23933.5735</v>
      </c>
      <c r="J1678" s="14" t="n">
        <v>-27.9900000000016</v>
      </c>
      <c r="K1678" s="21" t="n">
        <v>46068.67394675926</v>
      </c>
      <c r="L1678" s="21" t="n">
        <v>46067</v>
      </c>
      <c r="M1678" s="8" t="inlineStr"/>
      <c r="N1678" s="8" t="inlineStr">
        <is>
          <t>Бухгалтер + менеджер субагента</t>
        </is>
      </c>
      <c r="O1678" s="8" t="inlineStr">
        <is>
          <t>e.satarov</t>
        </is>
      </c>
      <c r="P1678" s="12" t="inlineStr">
        <is>
          <t>Реестр не подтверждает ни 1С, ни ETM (либо состав группы неоднозначен) — нужна проверка</t>
        </is>
      </c>
      <c r="Q1678" s="8" t="inlineStr">
        <is>
          <t>57090993</t>
        </is>
      </c>
    </row>
    <row r="1679">
      <c r="A1679" s="8" t="inlineStr">
        <is>
          <t>G00346</t>
        </is>
      </c>
      <c r="B1679" s="8" t="inlineStr">
        <is>
          <t>Blue Bird Travel</t>
        </is>
      </c>
      <c r="C1679" s="8" t="inlineStr">
        <is>
          <t>2420846438</t>
        </is>
      </c>
      <c r="D1679" s="8" t="inlineStr">
        <is>
          <t>Сумма не сходится</t>
        </is>
      </c>
      <c r="E1679" s="8" t="inlineStr">
        <is>
          <t>Нужна проверка</t>
        </is>
      </c>
      <c r="F1679" s="8" t="inlineStr">
        <is>
          <t>C</t>
        </is>
      </c>
      <c r="G1679" s="14" t="n">
        <v>25747.08</v>
      </c>
      <c r="H1679" s="14" t="n">
        <v>-25774.91</v>
      </c>
      <c r="I1679" s="14" t="n">
        <v>25747.0848</v>
      </c>
      <c r="J1679" s="14" t="n">
        <v>-27.82999999999811</v>
      </c>
      <c r="K1679" s="21" t="n">
        <v>46221.68318287037</v>
      </c>
      <c r="L1679" s="21" t="n">
        <v>46220</v>
      </c>
      <c r="M1679" s="8" t="inlineStr"/>
      <c r="N1679" s="8" t="inlineStr">
        <is>
          <t>Бухгалтер + менеджер субагента</t>
        </is>
      </c>
      <c r="O1679" s="8" t="inlineStr">
        <is>
          <t>g.omurbekova</t>
        </is>
      </c>
      <c r="P1679" s="12" t="inlineStr">
        <is>
          <t>Реестр не подтверждает ни 1С, ни ETM (либо состав группы неоднозначен) — нужна проверка</t>
        </is>
      </c>
      <c r="Q1679" s="8" t="inlineStr">
        <is>
          <t>57466860</t>
        </is>
      </c>
    </row>
    <row r="1680">
      <c r="A1680" s="8" t="inlineStr">
        <is>
          <t>G06835</t>
        </is>
      </c>
      <c r="B1680" s="8" t="inlineStr">
        <is>
          <t>Джолдошова Салтанат Сатаревна</t>
        </is>
      </c>
      <c r="C1680" s="8" t="inlineStr">
        <is>
          <t>2559101874</t>
        </is>
      </c>
      <c r="D1680" s="8" t="inlineStr">
        <is>
          <t>Сумма не сходится</t>
        </is>
      </c>
      <c r="E1680" s="8" t="inlineStr">
        <is>
          <t>Нужна проверка</t>
        </is>
      </c>
      <c r="F1680" s="8" t="inlineStr">
        <is>
          <t>C</t>
        </is>
      </c>
      <c r="G1680" s="14" t="n">
        <v>27287.24</v>
      </c>
      <c r="H1680" s="14" t="n">
        <v>-27314.78</v>
      </c>
      <c r="I1680" s="14" t="n">
        <v>27287.24</v>
      </c>
      <c r="J1680" s="14" t="n">
        <v>-27.53999999999724</v>
      </c>
      <c r="K1680" s="21" t="n">
        <v>46116.76502314815</v>
      </c>
      <c r="L1680" s="21" t="n">
        <v>46114</v>
      </c>
      <c r="M1680" s="8" t="inlineStr"/>
      <c r="N1680" s="8" t="inlineStr">
        <is>
          <t>Бухгалтер + менеджер субагента</t>
        </is>
      </c>
      <c r="O1680" s="8" t="inlineStr">
        <is>
          <t>d.mambetova</t>
        </is>
      </c>
      <c r="P1680" s="12" t="inlineStr">
        <is>
          <t>Реестр не подтверждает ни 1С, ни ETM (либо состав группы неоднозначен) — нужна проверка</t>
        </is>
      </c>
      <c r="Q1680" s="8" t="inlineStr">
        <is>
          <t>57186598</t>
        </is>
      </c>
    </row>
    <row r="1681">
      <c r="A1681" s="8" t="inlineStr">
        <is>
          <t>G06242</t>
        </is>
      </c>
      <c r="B1681" s="8" t="inlineStr">
        <is>
          <t>Бирлик Трип</t>
        </is>
      </c>
      <c r="C1681" s="8" t="inlineStr">
        <is>
          <t>2420846702</t>
        </is>
      </c>
      <c r="D1681" s="8" t="inlineStr">
        <is>
          <t>Сумма не сходится</t>
        </is>
      </c>
      <c r="E1681" s="8" t="inlineStr">
        <is>
          <t>Нужна проверка</t>
        </is>
      </c>
      <c r="F1681" s="8" t="inlineStr">
        <is>
          <t>C</t>
        </is>
      </c>
      <c r="G1681" s="14" t="n">
        <v>23532.21</v>
      </c>
      <c r="H1681" s="14" t="n">
        <v>-23504.98</v>
      </c>
      <c r="I1681" s="14" t="n">
        <v>23532.207</v>
      </c>
      <c r="J1681" s="14" t="n">
        <v>27.22999999999956</v>
      </c>
      <c r="K1681" s="21" t="n">
        <v>46064.70780092593</v>
      </c>
      <c r="L1681" s="21" t="n">
        <v>46063</v>
      </c>
      <c r="M1681" s="8" t="inlineStr"/>
      <c r="N1681" s="8" t="inlineStr">
        <is>
          <t>Бухгалтер + менеджер субагента</t>
        </is>
      </c>
      <c r="O1681" s="8" t="inlineStr">
        <is>
          <t>k.dzhumaev</t>
        </is>
      </c>
      <c r="P1681" s="12" t="inlineStr">
        <is>
          <t>Реестр не подтверждает ни 1С, ни ETM (либо состав группы неоднозначен) — нужна проверка</t>
        </is>
      </c>
      <c r="Q1681" s="8" t="inlineStr">
        <is>
          <t>57083556</t>
        </is>
      </c>
    </row>
    <row r="1682">
      <c r="A1682" s="8" t="inlineStr">
        <is>
          <t>G05668</t>
        </is>
      </c>
      <c r="B1682" s="8" t="inlineStr">
        <is>
          <t>Ак-Куу Тур</t>
        </is>
      </c>
      <c r="C1682" s="8" t="inlineStr">
        <is>
          <t>2559099373</t>
        </is>
      </c>
      <c r="D1682" s="8" t="inlineStr">
        <is>
          <t>Сумма не сходится</t>
        </is>
      </c>
      <c r="E1682" s="8" t="inlineStr">
        <is>
          <t>Нужна проверка</t>
        </is>
      </c>
      <c r="F1682" s="8" t="inlineStr">
        <is>
          <t>C</t>
        </is>
      </c>
      <c r="G1682" s="14" t="n">
        <v>23146.25</v>
      </c>
      <c r="H1682" s="14" t="n">
        <v>-23173.47</v>
      </c>
      <c r="I1682" s="14" t="n">
        <v>23146.25</v>
      </c>
      <c r="J1682" s="14" t="n">
        <v>-27.22000000000116</v>
      </c>
      <c r="K1682" s="21" t="n">
        <v>46218.721875</v>
      </c>
      <c r="L1682" s="21" t="n">
        <v>46217</v>
      </c>
      <c r="M1682" s="8" t="inlineStr"/>
      <c r="N1682" s="8" t="inlineStr">
        <is>
          <t>Бухгалтер + менеджер субагента</t>
        </is>
      </c>
      <c r="O1682" s="8" t="inlineStr">
        <is>
          <t>d.mambetova</t>
        </is>
      </c>
      <c r="P1682" s="12" t="inlineStr">
        <is>
          <t>Реестр не подтверждает ни 1С, ни ETM (либо состав группы неоднозначен) — нужна проверка</t>
        </is>
      </c>
      <c r="Q1682" s="8" t="inlineStr">
        <is>
          <t>57457581</t>
        </is>
      </c>
    </row>
    <row r="1683">
      <c r="A1683" s="8" t="inlineStr">
        <is>
          <t>G05464</t>
        </is>
      </c>
      <c r="B1683" s="8" t="inlineStr">
        <is>
          <t>Ак-Куу Тур</t>
        </is>
      </c>
      <c r="C1683" s="8" t="inlineStr">
        <is>
          <t>2416942824</t>
        </is>
      </c>
      <c r="D1683" s="8" t="inlineStr">
        <is>
          <t>Сумма не сходится</t>
        </is>
      </c>
      <c r="E1683" s="8" t="inlineStr">
        <is>
          <t>Нужна проверка</t>
        </is>
      </c>
      <c r="F1683" s="8" t="inlineStr">
        <is>
          <t>C</t>
        </is>
      </c>
      <c r="G1683" s="14" t="n">
        <v>29665.18</v>
      </c>
      <c r="H1683" s="14" t="n">
        <v>-29639.1</v>
      </c>
      <c r="I1683" s="14" t="n">
        <v>29665.18</v>
      </c>
      <c r="J1683" s="14" t="n">
        <v>26.08000000000175</v>
      </c>
      <c r="K1683" s="21" t="n">
        <v>46164.78671296296</v>
      </c>
      <c r="L1683" s="21" t="n">
        <v>46163</v>
      </c>
      <c r="M1683" s="8" t="inlineStr"/>
      <c r="N1683" s="8" t="inlineStr">
        <is>
          <t>Бухгалтер + менеджер субагента</t>
        </is>
      </c>
      <c r="O1683" s="8" t="inlineStr">
        <is>
          <t>r.sydykov</t>
        </is>
      </c>
      <c r="P1683" s="12" t="inlineStr">
        <is>
          <t>Реестр не подтверждает ни 1С, ни ETM (либо состав группы неоднозначен) — нужна проверка</t>
        </is>
      </c>
      <c r="Q1683" s="8" t="inlineStr">
        <is>
          <t>57304452</t>
        </is>
      </c>
    </row>
    <row r="1684">
      <c r="A1684" s="8" t="inlineStr">
        <is>
          <t>G13462</t>
        </is>
      </c>
      <c r="B1684" s="8" t="inlineStr">
        <is>
          <t>Сатарова Жылдыз Жумабековна</t>
        </is>
      </c>
      <c r="C1684" s="8" t="inlineStr">
        <is>
          <t>2416946229</t>
        </is>
      </c>
      <c r="D1684" s="8" t="inlineStr">
        <is>
          <t>Сумма не сходится</t>
        </is>
      </c>
      <c r="E1684" s="8" t="inlineStr">
        <is>
          <t>Нужна проверка</t>
        </is>
      </c>
      <c r="F1684" s="8" t="inlineStr">
        <is>
          <t>C</t>
        </is>
      </c>
      <c r="G1684" s="14" t="n">
        <v>24539.95</v>
      </c>
      <c r="H1684" s="14" t="n">
        <v>-24564.48</v>
      </c>
      <c r="I1684" s="14" t="n">
        <v>24539.95</v>
      </c>
      <c r="J1684" s="14" t="n">
        <v>-24.52999999999884</v>
      </c>
      <c r="K1684" s="21" t="n">
        <v>46162.82552083334</v>
      </c>
      <c r="L1684" s="21" t="n">
        <v>46160</v>
      </c>
      <c r="M1684" s="8" t="inlineStr"/>
      <c r="N1684" s="8" t="inlineStr">
        <is>
          <t>Бухгалтер + менеджер субагента</t>
        </is>
      </c>
      <c r="O1684" s="8" t="inlineStr">
        <is>
          <t>a.toktosunova</t>
        </is>
      </c>
      <c r="P1684" s="12" t="inlineStr">
        <is>
          <t>Реестр не подтверждает ни 1С, ни ETM (либо состав группы неоднозначен) — нужна проверка</t>
        </is>
      </c>
      <c r="Q1684" s="8" t="inlineStr">
        <is>
          <t>57296822</t>
        </is>
      </c>
    </row>
    <row r="1685">
      <c r="A1685" s="8" t="inlineStr">
        <is>
          <t>G08517</t>
        </is>
      </c>
      <c r="B1685" s="8" t="inlineStr">
        <is>
          <t>ИП Токтосун кызы Н.</t>
        </is>
      </c>
      <c r="C1685" s="8" t="inlineStr">
        <is>
          <t>2420843029|2420843032</t>
        </is>
      </c>
      <c r="D1685" s="8" t="inlineStr">
        <is>
          <t>Сумма не сходится</t>
        </is>
      </c>
      <c r="E1685" s="8" t="inlineStr">
        <is>
          <t>Нужна проверка</t>
        </is>
      </c>
      <c r="F1685" s="8" t="inlineStr">
        <is>
          <t>C</t>
        </is>
      </c>
      <c r="G1685" s="14" t="n">
        <v>50652.46</v>
      </c>
      <c r="H1685" s="14" t="n">
        <v>-50628.44</v>
      </c>
      <c r="I1685" s="14" t="n">
        <v>50652.468</v>
      </c>
      <c r="J1685" s="14" t="n">
        <v>24.0199999999968</v>
      </c>
      <c r="K1685" s="21" t="n">
        <v>46150.40576388889</v>
      </c>
      <c r="L1685" s="21" t="n">
        <v>46149</v>
      </c>
      <c r="M1685" s="8" t="inlineStr"/>
      <c r="N1685" s="8" t="inlineStr">
        <is>
          <t>Бухгалтер + менеджер субагента</t>
        </is>
      </c>
      <c r="O1685" s="8" t="inlineStr">
        <is>
          <t>n.abdyldaeva</t>
        </is>
      </c>
      <c r="P1685" s="12" t="inlineStr">
        <is>
          <t>Реестр не подтверждает ни 1С, ни ETM (либо состав группы неоднозначен) — нужна проверка</t>
        </is>
      </c>
      <c r="Q1685" s="8" t="inlineStr">
        <is>
          <t>57260670,57260669</t>
        </is>
      </c>
    </row>
    <row r="1686">
      <c r="A1686" s="8" t="inlineStr">
        <is>
          <t>G12534</t>
        </is>
      </c>
      <c r="B1686" s="8" t="inlineStr">
        <is>
          <t>Сагын кызы Б.</t>
        </is>
      </c>
      <c r="C1686" s="8" t="inlineStr">
        <is>
          <t>2420843138</t>
        </is>
      </c>
      <c r="D1686" s="8" t="inlineStr">
        <is>
          <t>Сумма не сходится</t>
        </is>
      </c>
      <c r="E1686" s="8" t="inlineStr">
        <is>
          <t>Нужна проверка</t>
        </is>
      </c>
      <c r="F1686" s="8" t="inlineStr">
        <is>
          <t>C</t>
        </is>
      </c>
      <c r="G1686" s="14" t="n">
        <v>20669.06</v>
      </c>
      <c r="H1686" s="14" t="n">
        <v>-20645.43</v>
      </c>
      <c r="I1686" s="14" t="n">
        <v>20669.06</v>
      </c>
      <c r="J1686" s="14" t="n">
        <v>23.63000000000102</v>
      </c>
      <c r="K1686" s="21" t="n">
        <v>46101.77472222222</v>
      </c>
      <c r="L1686" s="21" t="n">
        <v>46099</v>
      </c>
      <c r="M1686" s="8" t="inlineStr"/>
      <c r="N1686" s="8" t="inlineStr">
        <is>
          <t>Бухгалтер + менеджер субагента</t>
        </is>
      </c>
      <c r="O1686" s="8" t="inlineStr">
        <is>
          <t>n.abdyldaeva</t>
        </is>
      </c>
      <c r="P1686" s="12" t="inlineStr">
        <is>
          <t>Реестр не подтверждает ни 1С, ни ETM (либо состав группы неоднозначен) — нужна проверка</t>
        </is>
      </c>
      <c r="Q1686" s="8" t="inlineStr">
        <is>
          <t>57154868</t>
        </is>
      </c>
    </row>
    <row r="1687">
      <c r="A1687" s="8" t="inlineStr">
        <is>
          <t>G04219</t>
        </is>
      </c>
      <c r="B1687" s="8" t="inlineStr">
        <is>
          <t>Абдылда уулу Б.</t>
        </is>
      </c>
      <c r="C1687" s="8" t="inlineStr">
        <is>
          <t>2420848124</t>
        </is>
      </c>
      <c r="D1687" s="8" t="inlineStr">
        <is>
          <t>Сумма не сходится</t>
        </is>
      </c>
      <c r="E1687" s="8" t="inlineStr">
        <is>
          <t>Нужна проверка</t>
        </is>
      </c>
      <c r="F1687" s="8" t="inlineStr">
        <is>
          <t>C</t>
        </is>
      </c>
      <c r="G1687" s="14" t="n">
        <v>20356.78</v>
      </c>
      <c r="H1687" s="14" t="n">
        <v>-20335.76</v>
      </c>
      <c r="I1687" s="14" t="n"/>
      <c r="J1687" s="14" t="n">
        <v>21.02000000000044</v>
      </c>
      <c r="K1687" s="21" t="n">
        <v>46064.3984375</v>
      </c>
      <c r="L1687" s="21" t="n">
        <v>46063</v>
      </c>
      <c r="M1687" s="8" t="inlineStr"/>
      <c r="N1687" s="8" t="inlineStr">
        <is>
          <t>Бухгалтер + менеджер субагента</t>
        </is>
      </c>
      <c r="O1687" s="8" t="inlineStr"/>
      <c r="P1687" s="12" t="inlineStr">
        <is>
          <t>Нет записи реестра (билет выписан субагентом сам) — определить виновного по данным нельзя</t>
        </is>
      </c>
      <c r="Q1687" s="8" t="inlineStr">
        <is>
          <t>57083838</t>
        </is>
      </c>
    </row>
    <row r="1688">
      <c r="A1688" s="8" t="inlineStr">
        <is>
          <t>G00955</t>
        </is>
      </c>
      <c r="B1688" s="8" t="inlineStr">
        <is>
          <t>Jailoo Trip</t>
        </is>
      </c>
      <c r="C1688" s="8" t="inlineStr">
        <is>
          <t>2416942062</t>
        </is>
      </c>
      <c r="D1688" s="8" t="inlineStr">
        <is>
          <t>Сумма не сходится</t>
        </is>
      </c>
      <c r="E1688" s="8" t="inlineStr">
        <is>
          <t>Нужна проверка</t>
        </is>
      </c>
      <c r="F1688" s="8" t="inlineStr">
        <is>
          <t>C</t>
        </is>
      </c>
      <c r="G1688" s="14" t="n">
        <v>22985.94</v>
      </c>
      <c r="H1688" s="14" t="n">
        <v>-22965.3</v>
      </c>
      <c r="I1688" s="14" t="n">
        <v>22985.94</v>
      </c>
      <c r="J1688" s="14" t="n">
        <v>20.63999999999942</v>
      </c>
      <c r="K1688" s="21" t="n">
        <v>46164.66340277778</v>
      </c>
      <c r="L1688" s="21" t="n">
        <v>46163</v>
      </c>
      <c r="M1688" s="8" t="inlineStr"/>
      <c r="N1688" s="8" t="inlineStr">
        <is>
          <t>Бухгалтер + менеджер субагента</t>
        </is>
      </c>
      <c r="O1688" s="8" t="inlineStr">
        <is>
          <t>a.toktosunova</t>
        </is>
      </c>
      <c r="P1688" s="12" t="inlineStr">
        <is>
          <t>Реестр не подтверждает ни 1С, ни ETM (либо состав группы неоднозначен) — нужна проверка</t>
        </is>
      </c>
      <c r="Q1688" s="8" t="inlineStr">
        <is>
          <t>57304131</t>
        </is>
      </c>
    </row>
    <row r="1689">
      <c r="A1689" s="8" t="inlineStr">
        <is>
          <t>G14937</t>
        </is>
      </c>
      <c r="B1689" s="8" t="inlineStr">
        <is>
          <t>Ыйык Тур</t>
        </is>
      </c>
      <c r="C1689" s="8" t="inlineStr">
        <is>
          <t>2416945943</t>
        </is>
      </c>
      <c r="D1689" s="8" t="inlineStr">
        <is>
          <t>Сумма не сходится</t>
        </is>
      </c>
      <c r="E1689" s="8" t="inlineStr">
        <is>
          <t>Нужна проверка</t>
        </is>
      </c>
      <c r="F1689" s="8" t="inlineStr">
        <is>
          <t>C</t>
        </is>
      </c>
      <c r="G1689" s="14" t="n">
        <v>30667.91</v>
      </c>
      <c r="H1689" s="14" t="n">
        <v>-30687.92</v>
      </c>
      <c r="I1689" s="14" t="n">
        <v>30667.91</v>
      </c>
      <c r="J1689" s="14" t="n">
        <v>-20.0099999999984</v>
      </c>
      <c r="K1689" s="21" t="n">
        <v>46150.68408564815</v>
      </c>
      <c r="L1689" s="21" t="n">
        <v>46148</v>
      </c>
      <c r="M1689" s="8" t="inlineStr"/>
      <c r="N1689" s="8" t="inlineStr">
        <is>
          <t>Бухгалтер + менеджер субагента</t>
        </is>
      </c>
      <c r="O1689" s="8" t="inlineStr">
        <is>
          <t>b.isakov</t>
        </is>
      </c>
      <c r="P1689" s="12" t="inlineStr">
        <is>
          <t>Реестр не подтверждает ни 1С, ни ETM (либо состав группы неоднозначен) — нужна проверка</t>
        </is>
      </c>
      <c r="Q1689" s="8" t="inlineStr">
        <is>
          <t>57259856</t>
        </is>
      </c>
    </row>
    <row r="1690">
      <c r="A1690" s="8" t="inlineStr">
        <is>
          <t>G14936</t>
        </is>
      </c>
      <c r="B1690" s="8" t="inlineStr">
        <is>
          <t>Ыйык Тур</t>
        </is>
      </c>
      <c r="C1690" s="8" t="inlineStr">
        <is>
          <t>2416945857</t>
        </is>
      </c>
      <c r="D1690" s="8" t="inlineStr">
        <is>
          <t>Сумма не сходится</t>
        </is>
      </c>
      <c r="E1690" s="8" t="inlineStr">
        <is>
          <t>Нужна проверка</t>
        </is>
      </c>
      <c r="F1690" s="8" t="inlineStr">
        <is>
          <t>C</t>
        </is>
      </c>
      <c r="G1690" s="14" t="n">
        <v>28860.76</v>
      </c>
      <c r="H1690" s="14" t="n">
        <v>-28840.84</v>
      </c>
      <c r="I1690" s="14" t="n">
        <v>28860.76</v>
      </c>
      <c r="J1690" s="14" t="n">
        <v>19.91999999999825</v>
      </c>
      <c r="K1690" s="21" t="n">
        <v>46133.8238425926</v>
      </c>
      <c r="L1690" s="21" t="n">
        <v>46132</v>
      </c>
      <c r="M1690" s="8" t="inlineStr"/>
      <c r="N1690" s="8" t="inlineStr">
        <is>
          <t>Бухгалтер + менеджер субагента</t>
        </is>
      </c>
      <c r="O1690" s="8" t="inlineStr">
        <is>
          <t>d.mambetova</t>
        </is>
      </c>
      <c r="P1690" s="12" t="inlineStr">
        <is>
          <t>Реестр не подтверждает ни 1С, ни ETM (либо состав группы неоднозначен) — нужна проверка</t>
        </is>
      </c>
      <c r="Q1690" s="8" t="inlineStr">
        <is>
          <t>57218550</t>
        </is>
      </c>
    </row>
    <row r="1691">
      <c r="A1691" s="8" t="inlineStr">
        <is>
          <t>G13249</t>
        </is>
      </c>
      <c r="B1691" s="8" t="inlineStr">
        <is>
          <t>Сатар уулу Санжар</t>
        </is>
      </c>
      <c r="C1691" s="8" t="inlineStr">
        <is>
          <t>2476318805</t>
        </is>
      </c>
      <c r="D1691" s="8" t="inlineStr">
        <is>
          <t>Сумма не сходится</t>
        </is>
      </c>
      <c r="E1691" s="8" t="inlineStr">
        <is>
          <t>Нужна проверка</t>
        </is>
      </c>
      <c r="F1691" s="8" t="inlineStr">
        <is>
          <t>C</t>
        </is>
      </c>
      <c r="G1691" s="14" t="n">
        <v>33951.27</v>
      </c>
      <c r="H1691" s="14" t="n">
        <v>-33932.52</v>
      </c>
      <c r="I1691" s="14" t="n">
        <v>33951.27</v>
      </c>
      <c r="J1691" s="14" t="n">
        <v>18.75</v>
      </c>
      <c r="K1691" s="21" t="n">
        <v>46041.56511574074</v>
      </c>
      <c r="L1691" s="21" t="n">
        <v>46039</v>
      </c>
      <c r="M1691" s="8" t="inlineStr"/>
      <c r="N1691" s="8" t="inlineStr">
        <is>
          <t>Бухгалтер + менеджер субагента</t>
        </is>
      </c>
      <c r="O1691" s="8" t="inlineStr">
        <is>
          <t>b.isakov</t>
        </is>
      </c>
      <c r="P1691" s="12" t="inlineStr">
        <is>
          <t>Реестр не подтверждает ни 1С, ни ETM (либо состав группы неоднозначен) — нужна проверка</t>
        </is>
      </c>
      <c r="Q1691" s="8" t="inlineStr">
        <is>
          <t>57035189</t>
        </is>
      </c>
    </row>
    <row r="1692">
      <c r="A1692" s="8" t="inlineStr">
        <is>
          <t>G04099</t>
        </is>
      </c>
      <c r="B1692" s="8" t="inlineStr">
        <is>
          <t>Tengri Trip</t>
        </is>
      </c>
      <c r="C1692" s="8" t="inlineStr">
        <is>
          <t>2559101448</t>
        </is>
      </c>
      <c r="D1692" s="8" t="inlineStr">
        <is>
          <t>Сумма не сходится</t>
        </is>
      </c>
      <c r="E1692" s="8" t="inlineStr">
        <is>
          <t>Нужна проверка</t>
        </is>
      </c>
      <c r="F1692" s="8" t="inlineStr">
        <is>
          <t>C</t>
        </is>
      </c>
      <c r="G1692" s="14" t="n">
        <v>17521</v>
      </c>
      <c r="H1692" s="14" t="n">
        <v>-17502.5</v>
      </c>
      <c r="I1692" s="14" t="n">
        <v>17521</v>
      </c>
      <c r="J1692" s="14" t="n">
        <v>18.5</v>
      </c>
      <c r="K1692" s="21" t="n">
        <v>46129.63586805556</v>
      </c>
      <c r="L1692" s="21" t="n">
        <v>46128</v>
      </c>
      <c r="M1692" s="8" t="inlineStr"/>
      <c r="N1692" s="8" t="inlineStr">
        <is>
          <t>Бухгалтер + менеджер субагента</t>
        </is>
      </c>
      <c r="O1692" s="8" t="inlineStr">
        <is>
          <t>r.sydykov</t>
        </is>
      </c>
      <c r="P1692" s="12" t="inlineStr">
        <is>
          <t>Реестр не подтверждает ни 1С, ни ETM (либо состав группы неоднозначен) — нужна проверка</t>
        </is>
      </c>
      <c r="Q1692" s="8" t="inlineStr">
        <is>
          <t>57210753</t>
        </is>
      </c>
    </row>
    <row r="1693">
      <c r="A1693" s="8" t="inlineStr">
        <is>
          <t>G01231</t>
        </is>
      </c>
      <c r="B1693" s="8" t="inlineStr">
        <is>
          <t>Karakol Express</t>
        </is>
      </c>
      <c r="C1693" s="8" t="inlineStr">
        <is>
          <t>2420846821</t>
        </is>
      </c>
      <c r="D1693" s="8" t="inlineStr">
        <is>
          <t>Сумма не сходится</t>
        </is>
      </c>
      <c r="E1693" s="8" t="inlineStr">
        <is>
          <t>Нужна проверка</t>
        </is>
      </c>
      <c r="F1693" s="8" t="inlineStr">
        <is>
          <t>C</t>
        </is>
      </c>
      <c r="G1693" s="14" t="n">
        <v>20893.83</v>
      </c>
      <c r="H1693" s="14" t="n">
        <v>-20912.14</v>
      </c>
      <c r="I1693" s="14" t="n">
        <v>20893.8304</v>
      </c>
      <c r="J1693" s="14" t="n">
        <v>-18.30999999999767</v>
      </c>
      <c r="K1693" s="21" t="n">
        <v>46093.77864583334</v>
      </c>
      <c r="L1693" s="21" t="n">
        <v>46091</v>
      </c>
      <c r="M1693" s="8" t="inlineStr"/>
      <c r="N1693" s="8" t="inlineStr">
        <is>
          <t>Бухгалтер + менеджер субагента</t>
        </is>
      </c>
      <c r="O1693" s="8" t="inlineStr">
        <is>
          <t>a.toktosunova</t>
        </is>
      </c>
      <c r="P1693" s="12" t="inlineStr">
        <is>
          <t>Реестр не подтверждает ни 1С, ни ETM (либо состав группы неоднозначен) — нужна проверка</t>
        </is>
      </c>
      <c r="Q1693" s="8" t="inlineStr">
        <is>
          <t>57137952</t>
        </is>
      </c>
    </row>
    <row r="1694">
      <c r="A1694" s="8" t="inlineStr">
        <is>
          <t>G12522</t>
        </is>
      </c>
      <c r="B1694" s="8" t="inlineStr">
        <is>
          <t>СОН-КУЛЬ ТУР</t>
        </is>
      </c>
      <c r="C1694" s="8" t="inlineStr">
        <is>
          <t>2559100001</t>
        </is>
      </c>
      <c r="D1694" s="8" t="inlineStr">
        <is>
          <t>Сумма не сходится</t>
        </is>
      </c>
      <c r="E1694" s="8" t="inlineStr">
        <is>
          <t>Нужна проверка</t>
        </is>
      </c>
      <c r="F1694" s="8" t="inlineStr">
        <is>
          <t>C</t>
        </is>
      </c>
      <c r="G1694" s="14" t="n">
        <v>52568.45</v>
      </c>
      <c r="H1694" s="14" t="n">
        <v>-52586.3</v>
      </c>
      <c r="I1694" s="14" t="n">
        <v>52568.45</v>
      </c>
      <c r="J1694" s="14" t="n">
        <v>-17.85000000000582</v>
      </c>
      <c r="K1694" s="21" t="n">
        <v>46062.39063657408</v>
      </c>
      <c r="L1694" s="21" t="n">
        <v>46060</v>
      </c>
      <c r="M1694" s="8" t="inlineStr"/>
      <c r="N1694" s="8" t="inlineStr">
        <is>
          <t>Бухгалтер + менеджер субагента</t>
        </is>
      </c>
      <c r="O1694" s="8" t="inlineStr">
        <is>
          <t>b.isakov</t>
        </is>
      </c>
      <c r="P1694" s="12" t="inlineStr">
        <is>
          <t>Реестр не подтверждает ни 1С, ни ETM (либо состав группы неоднозначен) — нужна проверка</t>
        </is>
      </c>
      <c r="Q1694" s="8" t="inlineStr">
        <is>
          <t>57077710</t>
        </is>
      </c>
    </row>
    <row r="1695">
      <c r="A1695" s="8" t="inlineStr">
        <is>
          <t>G00083</t>
        </is>
      </c>
      <c r="B1695" s="8" t="inlineStr">
        <is>
          <t>Ala-Too Travel</t>
        </is>
      </c>
      <c r="C1695" s="8" t="inlineStr">
        <is>
          <t>2420845310</t>
        </is>
      </c>
      <c r="D1695" s="8" t="inlineStr">
        <is>
          <t>Сумма не сходится</t>
        </is>
      </c>
      <c r="E1695" s="8" t="inlineStr">
        <is>
          <t>Нужна проверка</t>
        </is>
      </c>
      <c r="F1695" s="8" t="inlineStr">
        <is>
          <t>C</t>
        </is>
      </c>
      <c r="G1695" s="14" t="n">
        <v>17175.46</v>
      </c>
      <c r="H1695" s="14" t="n">
        <v>-17193.29</v>
      </c>
      <c r="I1695" s="14" t="n">
        <v>17175.4615</v>
      </c>
      <c r="J1695" s="14" t="n">
        <v>-17.83000000000175</v>
      </c>
      <c r="K1695" s="21" t="n">
        <v>46208.43978009259</v>
      </c>
      <c r="L1695" s="21" t="n">
        <v>46207</v>
      </c>
      <c r="M1695" s="8" t="inlineStr"/>
      <c r="N1695" s="8" t="inlineStr">
        <is>
          <t>Бухгалтер + менеджер субагента</t>
        </is>
      </c>
      <c r="O1695" s="8" t="inlineStr">
        <is>
          <t>a.toktosunova</t>
        </is>
      </c>
      <c r="P1695" s="12" t="inlineStr">
        <is>
          <t>Реестр не подтверждает ни 1С, ни ETM (либо состав группы неоднозначен) — нужна проверка</t>
        </is>
      </c>
      <c r="Q1695" s="8" t="inlineStr">
        <is>
          <t>57428301</t>
        </is>
      </c>
    </row>
    <row r="1696">
      <c r="A1696" s="8" t="inlineStr">
        <is>
          <t>G14215</t>
        </is>
      </c>
      <c r="B1696" s="8" t="inlineStr">
        <is>
          <t>Урматова Айпери Нурбековна</t>
        </is>
      </c>
      <c r="C1696" s="8" t="inlineStr">
        <is>
          <t>2552668938|2552668941</t>
        </is>
      </c>
      <c r="D1696" s="8" t="inlineStr">
        <is>
          <t>Сумма не сходится</t>
        </is>
      </c>
      <c r="E1696" s="8" t="inlineStr">
        <is>
          <t>Нужна проверка</t>
        </is>
      </c>
      <c r="F1696" s="8" t="inlineStr">
        <is>
          <t>C</t>
        </is>
      </c>
      <c r="G1696" s="14" t="n">
        <v>55807.46</v>
      </c>
      <c r="H1696" s="14" t="n">
        <v>-55789.8</v>
      </c>
      <c r="I1696" s="14" t="n">
        <v>55807.455</v>
      </c>
      <c r="J1696" s="14" t="n">
        <v>17.65999999999622</v>
      </c>
      <c r="K1696" s="21" t="n">
        <v>46027.535625</v>
      </c>
      <c r="L1696" s="21" t="n">
        <v>46026</v>
      </c>
      <c r="M1696" s="8" t="inlineStr"/>
      <c r="N1696" s="8" t="inlineStr">
        <is>
          <t>Бухгалтер + менеджер субагента</t>
        </is>
      </c>
      <c r="O1696" s="8" t="inlineStr">
        <is>
          <t>e.satarov</t>
        </is>
      </c>
      <c r="P1696" s="12" t="inlineStr">
        <is>
          <t>Реестр не подтверждает ни 1С, ни ETM (либо состав группы неоднозначен) — нужна проверка</t>
        </is>
      </c>
      <c r="Q1696" s="8" t="inlineStr">
        <is>
          <t>57005748,57005742</t>
        </is>
      </c>
    </row>
    <row r="1697">
      <c r="A1697" s="8" t="inlineStr">
        <is>
          <t>G04835</t>
        </is>
      </c>
      <c r="B1697" s="8" t="inlineStr">
        <is>
          <t>Ак-Куу Авиа</t>
        </is>
      </c>
      <c r="C1697" s="8" t="inlineStr">
        <is>
          <t>2420844326</t>
        </is>
      </c>
      <c r="D1697" s="8" t="inlineStr">
        <is>
          <t>Сумма не сходится</t>
        </is>
      </c>
      <c r="E1697" s="8" t="inlineStr">
        <is>
          <t>Нужна проверка</t>
        </is>
      </c>
      <c r="F1697" s="8" t="inlineStr">
        <is>
          <t>C</t>
        </is>
      </c>
      <c r="G1697" s="14" t="n">
        <v>15418.31</v>
      </c>
      <c r="H1697" s="14" t="n">
        <v>-15401.28</v>
      </c>
      <c r="I1697" s="14" t="n"/>
      <c r="J1697" s="14" t="n">
        <v>17.02999999999884</v>
      </c>
      <c r="K1697" s="21" t="n">
        <v>46231.68359953703</v>
      </c>
      <c r="L1697" s="21" t="n">
        <v>46229</v>
      </c>
      <c r="M1697" s="8" t="inlineStr"/>
      <c r="N1697" s="8" t="inlineStr">
        <is>
          <t>Бухгалтер + менеджер субагента</t>
        </is>
      </c>
      <c r="O1697" s="8" t="inlineStr"/>
      <c r="P1697" s="12" t="inlineStr">
        <is>
          <t>Нет записи реестра (билет выписан субагентом сам) — определить виновного по данным нельзя</t>
        </is>
      </c>
      <c r="Q1697" s="8" t="inlineStr">
        <is>
          <t>57488997</t>
        </is>
      </c>
    </row>
    <row r="1698">
      <c r="A1698" s="8" t="inlineStr">
        <is>
          <t>G08964</t>
        </is>
      </c>
      <c r="B1698" s="8" t="inlineStr">
        <is>
          <t>ИССЫК ТРИП</t>
        </is>
      </c>
      <c r="C1698" s="8" t="inlineStr">
        <is>
          <t>2420847336</t>
        </is>
      </c>
      <c r="D1698" s="8" t="inlineStr">
        <is>
          <t>Сумма не сходится</t>
        </is>
      </c>
      <c r="E1698" s="8" t="inlineStr">
        <is>
          <t>Нужна проверка</t>
        </is>
      </c>
      <c r="F1698" s="8" t="inlineStr">
        <is>
          <t>C</t>
        </is>
      </c>
      <c r="G1698" s="14" t="n">
        <v>30572.92</v>
      </c>
      <c r="H1698" s="14" t="n">
        <v>-30556.58</v>
      </c>
      <c r="I1698" s="14" t="n">
        <v>30572.918</v>
      </c>
      <c r="J1698" s="14" t="n">
        <v>16.33999999999651</v>
      </c>
      <c r="K1698" s="21" t="n">
        <v>46163.48024305556</v>
      </c>
      <c r="L1698" s="21" t="n">
        <v>46162</v>
      </c>
      <c r="M1698" s="8" t="inlineStr"/>
      <c r="N1698" s="8" t="inlineStr">
        <is>
          <t>Бухгалтер + менеджер субагента</t>
        </is>
      </c>
      <c r="O1698" s="8" t="inlineStr">
        <is>
          <t>n.abdyldaeva</t>
        </is>
      </c>
      <c r="P1698" s="12" t="inlineStr">
        <is>
          <t>Реестр не подтверждает ни 1С, ни ETM (либо состав группы неоднозначен) — нужна проверка</t>
        </is>
      </c>
      <c r="Q1698" s="8" t="inlineStr">
        <is>
          <t>57302223</t>
        </is>
      </c>
    </row>
    <row r="1699">
      <c r="A1699" s="8" t="inlineStr">
        <is>
          <t>G05676</t>
        </is>
      </c>
      <c r="B1699" s="8" t="inlineStr">
        <is>
          <t>Ак-Куу Тур</t>
        </is>
      </c>
      <c r="C1699" s="8" t="inlineStr">
        <is>
          <t>2559100887</t>
        </is>
      </c>
      <c r="D1699" s="8" t="inlineStr">
        <is>
          <t>Сумма не сходится</t>
        </is>
      </c>
      <c r="E1699" s="8" t="inlineStr">
        <is>
          <t>Нужна проверка</t>
        </is>
      </c>
      <c r="F1699" s="8" t="inlineStr">
        <is>
          <t>C</t>
        </is>
      </c>
      <c r="G1699" s="14" t="n">
        <v>25004.49</v>
      </c>
      <c r="H1699" s="14" t="n">
        <v>-25020.6</v>
      </c>
      <c r="I1699" s="14" t="n">
        <v>25004.49</v>
      </c>
      <c r="J1699" s="14" t="n">
        <v>-16.10999999999694</v>
      </c>
      <c r="K1699" s="21" t="n">
        <v>46147.66306712963</v>
      </c>
      <c r="L1699" s="21" t="n">
        <v>46146</v>
      </c>
      <c r="M1699" s="8" t="inlineStr"/>
      <c r="N1699" s="8" t="inlineStr">
        <is>
          <t>Бухгалтер + менеджер субагента</t>
        </is>
      </c>
      <c r="O1699" s="8" t="inlineStr">
        <is>
          <t>n.abdyldaeva</t>
        </is>
      </c>
      <c r="P1699" s="12" t="inlineStr">
        <is>
          <t>Реестр не подтверждает ни 1С, ни ETM (либо состав группы неоднозначен) — нужна проверка</t>
        </is>
      </c>
      <c r="Q1699" s="8" t="inlineStr">
        <is>
          <t>57251096</t>
        </is>
      </c>
    </row>
    <row r="1700">
      <c r="A1700" s="8" t="inlineStr">
        <is>
          <t>G04167</t>
        </is>
      </c>
      <c r="B1700" s="8" t="inlineStr">
        <is>
          <t>Абдылда уулу Б.</t>
        </is>
      </c>
      <c r="C1700" s="8" t="inlineStr">
        <is>
          <t>2416945817|2416945820|2416945822</t>
        </is>
      </c>
      <c r="D1700" s="8" t="inlineStr">
        <is>
          <t>Сумма не сходится</t>
        </is>
      </c>
      <c r="E1700" s="8" t="inlineStr">
        <is>
          <t>Нужна проверка</t>
        </is>
      </c>
      <c r="F1700" s="8" t="inlineStr">
        <is>
          <t>C</t>
        </is>
      </c>
      <c r="G1700" s="14" t="n">
        <v>141227.22</v>
      </c>
      <c r="H1700" s="14" t="n">
        <v>-141243.15</v>
      </c>
      <c r="I1700" s="14" t="n">
        <v>141227.205</v>
      </c>
      <c r="J1700" s="14" t="n">
        <v>-15.92999999999302</v>
      </c>
      <c r="K1700" s="21" t="n">
        <v>46049.70440972222</v>
      </c>
      <c r="L1700" s="21" t="n">
        <v>46048</v>
      </c>
      <c r="M1700" s="8" t="inlineStr"/>
      <c r="N1700" s="8" t="inlineStr">
        <is>
          <t>Бухгалтер + менеджер субагента</t>
        </is>
      </c>
      <c r="O1700" s="8" t="inlineStr">
        <is>
          <t>a.toktosunova</t>
        </is>
      </c>
      <c r="P1700" s="12" t="inlineStr">
        <is>
          <t>Реестр не подтверждает ни 1С, ни ETM (либо состав группы неоднозначен) — нужна проверка</t>
        </is>
      </c>
      <c r="Q1700" s="8" t="inlineStr">
        <is>
          <t>57054994</t>
        </is>
      </c>
    </row>
    <row r="1701">
      <c r="A1701" s="8" t="inlineStr">
        <is>
          <t>G14435</t>
        </is>
      </c>
      <c r="B1701" s="8" t="inlineStr">
        <is>
          <t>ЧОЛПОН ЭЙР</t>
        </is>
      </c>
      <c r="C1701" s="8" t="inlineStr">
        <is>
          <t>2552669091</t>
        </is>
      </c>
      <c r="D1701" s="8" t="inlineStr">
        <is>
          <t>Сумма не сходится</t>
        </is>
      </c>
      <c r="E1701" s="8" t="inlineStr">
        <is>
          <t>Нужна проверка</t>
        </is>
      </c>
      <c r="F1701" s="8" t="inlineStr">
        <is>
          <t>C</t>
        </is>
      </c>
      <c r="G1701" s="14" t="n">
        <v>31183.57</v>
      </c>
      <c r="H1701" s="14" t="n">
        <v>-31199.23</v>
      </c>
      <c r="I1701" s="14" t="n">
        <v>31183.57</v>
      </c>
      <c r="J1701" s="14" t="n">
        <v>-15.65999999999985</v>
      </c>
      <c r="K1701" s="21" t="n">
        <v>46064.5118287037</v>
      </c>
      <c r="L1701" s="21" t="n">
        <v>46062</v>
      </c>
      <c r="M1701" s="8" t="inlineStr"/>
      <c r="N1701" s="8" t="inlineStr">
        <is>
          <t>Бухгалтер + менеджер субагента</t>
        </is>
      </c>
      <c r="O1701" s="8" t="inlineStr">
        <is>
          <t>g.omurbekova</t>
        </is>
      </c>
      <c r="P1701" s="12" t="inlineStr">
        <is>
          <t>Реестр не подтверждает ни 1С, ни ETM (либо состав группы неоднозначен) — нужна проверка</t>
        </is>
      </c>
      <c r="Q1701" s="8" t="inlineStr">
        <is>
          <t>57080430</t>
        </is>
      </c>
    </row>
    <row r="1702">
      <c r="A1702" s="8" t="inlineStr">
        <is>
          <t>G12951</t>
        </is>
      </c>
      <c r="B1702" s="8" t="inlineStr">
        <is>
          <t>Сатар уулу Санжар</t>
        </is>
      </c>
      <c r="C1702" s="8" t="inlineStr">
        <is>
          <t>2420845399</t>
        </is>
      </c>
      <c r="D1702" s="8" t="inlineStr">
        <is>
          <t>Сумма не сходится</t>
        </is>
      </c>
      <c r="E1702" s="8" t="inlineStr">
        <is>
          <t>Нужна проверка</t>
        </is>
      </c>
      <c r="F1702" s="8" t="inlineStr">
        <is>
          <t>C</t>
        </is>
      </c>
      <c r="G1702" s="14" t="n">
        <v>25444.19</v>
      </c>
      <c r="H1702" s="14" t="n">
        <v>-25458.28</v>
      </c>
      <c r="I1702" s="14" t="n">
        <v>25444.1922</v>
      </c>
      <c r="J1702" s="14" t="n">
        <v>-14.09000000000015</v>
      </c>
      <c r="K1702" s="21" t="n">
        <v>46172.34592592593</v>
      </c>
      <c r="L1702" s="21" t="n">
        <v>46171</v>
      </c>
      <c r="M1702" s="8" t="inlineStr"/>
      <c r="N1702" s="8" t="inlineStr">
        <is>
          <t>Бухгалтер + менеджер субагента</t>
        </is>
      </c>
      <c r="O1702" s="8" t="inlineStr">
        <is>
          <t>r.sydykov</t>
        </is>
      </c>
      <c r="P1702" s="12" t="inlineStr">
        <is>
          <t>Реестр не подтверждает ни 1С, ни ETM (либо состав группы неоднозначен) — нужна проверка</t>
        </is>
      </c>
      <c r="Q1702" s="8" t="inlineStr">
        <is>
          <t>57325962</t>
        </is>
      </c>
    </row>
    <row r="1703">
      <c r="A1703" s="8" t="inlineStr">
        <is>
          <t>G07687</t>
        </is>
      </c>
      <c r="B1703" s="8" t="inlineStr">
        <is>
          <t>ИП Абдылдаова У. О.</t>
        </is>
      </c>
      <c r="C1703" s="8" t="inlineStr">
        <is>
          <t>2420844228</t>
        </is>
      </c>
      <c r="D1703" s="8" t="inlineStr">
        <is>
          <t>Сумма не сходится</t>
        </is>
      </c>
      <c r="E1703" s="8" t="inlineStr">
        <is>
          <t>Нужна проверка</t>
        </is>
      </c>
      <c r="F1703" s="8" t="inlineStr">
        <is>
          <t>C</t>
        </is>
      </c>
      <c r="G1703" s="14" t="n">
        <v>23716.7</v>
      </c>
      <c r="H1703" s="14" t="n">
        <v>-23702.62</v>
      </c>
      <c r="I1703" s="14" t="n">
        <v>23716.703</v>
      </c>
      <c r="J1703" s="14" t="n">
        <v>14.08000000000175</v>
      </c>
      <c r="K1703" s="21" t="n">
        <v>46041.50065972222</v>
      </c>
      <c r="L1703" s="21" t="n">
        <v>46039</v>
      </c>
      <c r="M1703" s="8" t="inlineStr"/>
      <c r="N1703" s="8" t="inlineStr">
        <is>
          <t>Бухгалтер + менеджер субагента</t>
        </is>
      </c>
      <c r="O1703" s="8" t="inlineStr">
        <is>
          <t>g.omurbekova</t>
        </is>
      </c>
      <c r="P1703" s="12" t="inlineStr">
        <is>
          <t>Реестр не подтверждает ни 1С, ни ETM (либо состав группы неоднозначен) — нужна проверка</t>
        </is>
      </c>
      <c r="Q1703" s="8" t="inlineStr">
        <is>
          <t>57033923</t>
        </is>
      </c>
    </row>
    <row r="1704">
      <c r="A1704" s="8" t="inlineStr">
        <is>
          <t>G04111</t>
        </is>
      </c>
      <c r="B1704" s="8" t="inlineStr">
        <is>
          <t>Абдылда уулу Б.</t>
        </is>
      </c>
      <c r="C1704" s="8" t="inlineStr">
        <is>
          <t>2416941098</t>
        </is>
      </c>
      <c r="D1704" s="8" t="inlineStr">
        <is>
          <t>Сумма не сходится</t>
        </is>
      </c>
      <c r="E1704" s="8" t="inlineStr">
        <is>
          <t>Нужна проверка</t>
        </is>
      </c>
      <c r="F1704" s="8" t="inlineStr">
        <is>
          <t>C</t>
        </is>
      </c>
      <c r="G1704" s="14" t="n">
        <v>41189.97</v>
      </c>
      <c r="H1704" s="14" t="n">
        <v>-41203.88</v>
      </c>
      <c r="I1704" s="14" t="n">
        <v>41189.97</v>
      </c>
      <c r="J1704" s="14" t="n">
        <v>-13.90999999999622</v>
      </c>
      <c r="K1704" s="21" t="n">
        <v>46032.78285879629</v>
      </c>
      <c r="L1704" s="21" t="n">
        <v>46031</v>
      </c>
      <c r="M1704" s="8" t="inlineStr"/>
      <c r="N1704" s="8" t="inlineStr">
        <is>
          <t>Бухгалтер + менеджер субагента</t>
        </is>
      </c>
      <c r="O1704" s="8" t="inlineStr">
        <is>
          <t>d.mambetova</t>
        </is>
      </c>
      <c r="P1704" s="12" t="inlineStr">
        <is>
          <t>Реестр не подтверждает ни 1С, ни ETM (либо состав группы неоднозначен) — нужна проверка</t>
        </is>
      </c>
      <c r="Q1704" s="8" t="inlineStr">
        <is>
          <t>57015796</t>
        </is>
      </c>
    </row>
    <row r="1705">
      <c r="A1705" s="8" t="inlineStr">
        <is>
          <t>G10071</t>
        </is>
      </c>
      <c r="B1705" s="8" t="inlineStr">
        <is>
          <t>Мамбет уулу Чынгыз</t>
        </is>
      </c>
      <c r="C1705" s="8" t="inlineStr">
        <is>
          <t>2552668008</t>
        </is>
      </c>
      <c r="D1705" s="8" t="inlineStr">
        <is>
          <t>Сумма не сходится</t>
        </is>
      </c>
      <c r="E1705" s="8" t="inlineStr">
        <is>
          <t>Нужна проверка</t>
        </is>
      </c>
      <c r="F1705" s="8" t="inlineStr">
        <is>
          <t>C</t>
        </is>
      </c>
      <c r="G1705" s="14" t="n">
        <v>21457.69</v>
      </c>
      <c r="H1705" s="14" t="n">
        <v>-21443.81</v>
      </c>
      <c r="I1705" s="14" t="n"/>
      <c r="J1705" s="14" t="n">
        <v>13.87999999999738</v>
      </c>
      <c r="K1705" s="21" t="n">
        <v>46149.34413194445</v>
      </c>
      <c r="L1705" s="21" t="n">
        <v>46148</v>
      </c>
      <c r="M1705" s="8" t="inlineStr"/>
      <c r="N1705" s="8" t="inlineStr">
        <is>
          <t>Бухгалтер + менеджер субагента</t>
        </is>
      </c>
      <c r="O1705" s="8" t="inlineStr"/>
      <c r="P1705" s="12" t="inlineStr">
        <is>
          <t>Нет записи реестра (билет выписан субагентом сам) — определить виновного по данным нельзя</t>
        </is>
      </c>
      <c r="Q1705" s="8" t="inlineStr">
        <is>
          <t>57257385</t>
        </is>
      </c>
    </row>
    <row r="1706">
      <c r="A1706" s="8" t="inlineStr">
        <is>
          <t>G02471</t>
        </is>
      </c>
      <c r="B1706" s="8" t="inlineStr">
        <is>
          <t>SkyWay Travel</t>
        </is>
      </c>
      <c r="C1706" s="8" t="inlineStr">
        <is>
          <t>2420844706</t>
        </is>
      </c>
      <c r="D1706" s="8" t="inlineStr">
        <is>
          <t>Сумма не сходится</t>
        </is>
      </c>
      <c r="E1706" s="8" t="inlineStr">
        <is>
          <t>Нужна проверка</t>
        </is>
      </c>
      <c r="F1706" s="8" t="inlineStr">
        <is>
          <t>C</t>
        </is>
      </c>
      <c r="G1706" s="14" t="n">
        <v>23890.99</v>
      </c>
      <c r="H1706" s="14" t="n">
        <v>-23904.52</v>
      </c>
      <c r="I1706" s="14" t="n">
        <v>23890.9915</v>
      </c>
      <c r="J1706" s="14" t="n">
        <v>-13.52999999999884</v>
      </c>
      <c r="K1706" s="21" t="n">
        <v>46057.47884259259</v>
      </c>
      <c r="L1706" s="21" t="n">
        <v>46056</v>
      </c>
      <c r="M1706" s="8" t="inlineStr"/>
      <c r="N1706" s="8" t="inlineStr">
        <is>
          <t>Бухгалтер + менеджер субагента</t>
        </is>
      </c>
      <c r="O1706" s="8" t="inlineStr">
        <is>
          <t>r.sydykov</t>
        </is>
      </c>
      <c r="P1706" s="12" t="inlineStr">
        <is>
          <t>Реестр не подтверждает ни 1С, ни ETM (либо состав группы неоднозначен) — нужна проверка</t>
        </is>
      </c>
      <c r="Q1706" s="8" t="inlineStr">
        <is>
          <t>57070953</t>
        </is>
      </c>
    </row>
    <row r="1707">
      <c r="A1707" s="8" t="inlineStr">
        <is>
          <t>G10847</t>
        </is>
      </c>
      <c r="B1707" s="8" t="inlineStr">
        <is>
          <t>Ниязбеков Кубат Таалайевич</t>
        </is>
      </c>
      <c r="C1707" s="8" t="inlineStr">
        <is>
          <t>2559101243</t>
        </is>
      </c>
      <c r="D1707" s="8" t="inlineStr">
        <is>
          <t>Сумма не сходится</t>
        </is>
      </c>
      <c r="E1707" s="8" t="inlineStr">
        <is>
          <t>Нужна проверка</t>
        </is>
      </c>
      <c r="F1707" s="8" t="inlineStr">
        <is>
          <t>C</t>
        </is>
      </c>
      <c r="G1707" s="14" t="n">
        <v>23567.44</v>
      </c>
      <c r="H1707" s="14" t="n">
        <v>-23554.27</v>
      </c>
      <c r="I1707" s="14" t="n">
        <v>23567.44</v>
      </c>
      <c r="J1707" s="14" t="n">
        <v>13.16999999999825</v>
      </c>
      <c r="K1707" s="21" t="n">
        <v>46199.52428240741</v>
      </c>
      <c r="L1707" s="21" t="n">
        <v>46198</v>
      </c>
      <c r="M1707" s="8" t="inlineStr"/>
      <c r="N1707" s="8" t="inlineStr">
        <is>
          <t>Бухгалтер + менеджер субагента</t>
        </is>
      </c>
      <c r="O1707" s="8" t="inlineStr">
        <is>
          <t>d.mambetova</t>
        </is>
      </c>
      <c r="P1707" s="12" t="inlineStr">
        <is>
          <t>Реестр не подтверждает ни 1С, ни ETM (либо состав группы неоднозначен) — нужна проверка</t>
        </is>
      </c>
      <c r="Q1707" s="8" t="inlineStr">
        <is>
          <t>57399856</t>
        </is>
      </c>
    </row>
    <row r="1708">
      <c r="A1708" s="8" t="inlineStr">
        <is>
          <t>G09252</t>
        </is>
      </c>
      <c r="B1708" s="8" t="inlineStr">
        <is>
          <t>ИССЫК ТРИП</t>
        </is>
      </c>
      <c r="C1708" s="8" t="inlineStr">
        <is>
          <t>2476319884|2476319887</t>
        </is>
      </c>
      <c r="D1708" s="8" t="inlineStr">
        <is>
          <t>Сумма не сходится</t>
        </is>
      </c>
      <c r="E1708" s="8" t="inlineStr">
        <is>
          <t>Нужна проверка</t>
        </is>
      </c>
      <c r="F1708" s="8" t="inlineStr">
        <is>
          <t>C</t>
        </is>
      </c>
      <c r="G1708" s="14" t="n">
        <v>38645.76</v>
      </c>
      <c r="H1708" s="14" t="n">
        <v>-38632.96</v>
      </c>
      <c r="I1708" s="14" t="n"/>
      <c r="J1708" s="14" t="n">
        <v>12.80000000000291</v>
      </c>
      <c r="K1708" s="21" t="n">
        <v>46173.41983796296</v>
      </c>
      <c r="L1708" s="21" t="n">
        <v>46171</v>
      </c>
      <c r="M1708" s="8" t="inlineStr"/>
      <c r="N1708" s="8" t="inlineStr">
        <is>
          <t>Бухгалтер + менеджер субагента</t>
        </is>
      </c>
      <c r="O1708" s="8" t="inlineStr"/>
      <c r="P1708" s="12" t="inlineStr">
        <is>
          <t>Нет записи реестра (билет выписан субагентом сам) — определить виновного по данным нельзя</t>
        </is>
      </c>
      <c r="Q1708" s="8" t="inlineStr">
        <is>
          <t>57327125</t>
        </is>
      </c>
    </row>
    <row r="1709">
      <c r="A1709" s="8" t="inlineStr">
        <is>
          <t>G04712</t>
        </is>
      </c>
      <c r="B1709" s="8" t="inlineStr">
        <is>
          <t>Абдыраманова Д. А.</t>
        </is>
      </c>
      <c r="C1709" s="8" t="inlineStr">
        <is>
          <t>2552669964</t>
        </is>
      </c>
      <c r="D1709" s="8" t="inlineStr">
        <is>
          <t>Сумма не сходится</t>
        </is>
      </c>
      <c r="E1709" s="8" t="inlineStr">
        <is>
          <t>Нужна проверка</t>
        </is>
      </c>
      <c r="F1709" s="8" t="inlineStr">
        <is>
          <t>C</t>
        </is>
      </c>
      <c r="G1709" s="14" t="n">
        <v>57609.74</v>
      </c>
      <c r="H1709" s="14" t="n">
        <v>-57597.48</v>
      </c>
      <c r="I1709" s="14" t="n">
        <v>57609.74000000001</v>
      </c>
      <c r="J1709" s="14" t="n">
        <v>12.25999999999476</v>
      </c>
      <c r="K1709" s="21" t="n">
        <v>46213.47752314815</v>
      </c>
      <c r="L1709" s="21" t="n">
        <v>46212</v>
      </c>
      <c r="M1709" s="8" t="inlineStr"/>
      <c r="N1709" s="8" t="inlineStr">
        <is>
          <t>Бухгалтер + менеджер субагента</t>
        </is>
      </c>
      <c r="O1709" s="8" t="inlineStr">
        <is>
          <t>d.mambetova</t>
        </is>
      </c>
      <c r="P1709" s="12" t="inlineStr">
        <is>
          <t>Реестр не подтверждает ни 1С, ни ETM (либо состав группы неоднозначен) — нужна проверка</t>
        </is>
      </c>
      <c r="Q1709" s="8" t="inlineStr">
        <is>
          <t>57444700</t>
        </is>
      </c>
    </row>
    <row r="1710">
      <c r="A1710" s="8" t="inlineStr">
        <is>
          <t>G08929</t>
        </is>
      </c>
      <c r="B1710" s="8" t="inlineStr">
        <is>
          <t>ИССЫК ТРИП</t>
        </is>
      </c>
      <c r="C1710" s="8" t="inlineStr">
        <is>
          <t>2420845000</t>
        </is>
      </c>
      <c r="D1710" s="8" t="inlineStr">
        <is>
          <t>Сумма не сходится</t>
        </is>
      </c>
      <c r="E1710" s="8" t="inlineStr">
        <is>
          <t>Нужна проверка</t>
        </is>
      </c>
      <c r="F1710" s="8" t="inlineStr">
        <is>
          <t>C</t>
        </is>
      </c>
      <c r="G1710" s="14" t="n">
        <v>17800.27</v>
      </c>
      <c r="H1710" s="14" t="n">
        <v>-17790.11</v>
      </c>
      <c r="I1710" s="14" t="n"/>
      <c r="J1710" s="14" t="n">
        <v>10.15999999999985</v>
      </c>
      <c r="K1710" s="21" t="n">
        <v>46092.69224537037</v>
      </c>
      <c r="L1710" s="21" t="n">
        <v>46091</v>
      </c>
      <c r="M1710" s="8" t="inlineStr"/>
      <c r="N1710" s="8" t="inlineStr">
        <is>
          <t>Бухгалтер + менеджер субагента</t>
        </is>
      </c>
      <c r="O1710" s="8" t="inlineStr"/>
      <c r="P1710" s="12" t="inlineStr">
        <is>
          <t>Нет записи реестра (билет выписан субагентом сам) — определить виновного по данным нельзя</t>
        </is>
      </c>
      <c r="Q1710" s="8" t="inlineStr">
        <is>
          <t>57137240</t>
        </is>
      </c>
    </row>
    <row r="1711">
      <c r="A1711" s="8" t="inlineStr">
        <is>
          <t>G13675</t>
        </is>
      </c>
      <c r="B1711" s="8" t="inlineStr">
        <is>
          <t>ТАЛАС ЛАЙН</t>
        </is>
      </c>
      <c r="C1711" s="8" t="inlineStr">
        <is>
          <t>2420845437</t>
        </is>
      </c>
      <c r="D1711" s="8" t="inlineStr">
        <is>
          <t>Сумма не сходится</t>
        </is>
      </c>
      <c r="E1711" s="8" t="inlineStr">
        <is>
          <t>Нужна проверка</t>
        </is>
      </c>
      <c r="F1711" s="8" t="inlineStr">
        <is>
          <t>C</t>
        </is>
      </c>
      <c r="G1711" s="14" t="n">
        <v>17549.88</v>
      </c>
      <c r="H1711" s="14" t="n">
        <v>-17540.99</v>
      </c>
      <c r="I1711" s="14" t="n"/>
      <c r="J1711" s="14" t="n">
        <v>8.889999999999418</v>
      </c>
      <c r="K1711" s="21" t="n">
        <v>46217.44190972222</v>
      </c>
      <c r="L1711" s="21" t="n">
        <v>46216</v>
      </c>
      <c r="M1711" s="8" t="inlineStr"/>
      <c r="N1711" s="8" t="inlineStr">
        <is>
          <t>Бухгалтер + менеджер субагента</t>
        </is>
      </c>
      <c r="O1711" s="8" t="inlineStr"/>
      <c r="P1711" s="12" t="inlineStr">
        <is>
          <t>Нет записи реестра (билет выписан субагентом сам) — определить виновного по данным нельзя</t>
        </is>
      </c>
      <c r="Q1711" s="8" t="inlineStr">
        <is>
          <t>57455476</t>
        </is>
      </c>
    </row>
    <row r="1712">
      <c r="A1712" s="8" t="inlineStr">
        <is>
          <t>G14978</t>
        </is>
      </c>
      <c r="B1712" s="8" t="inlineStr">
        <is>
          <t>Ыйык Тур</t>
        </is>
      </c>
      <c r="C1712" s="8" t="inlineStr">
        <is>
          <t>2420846830</t>
        </is>
      </c>
      <c r="D1712" s="8" t="inlineStr">
        <is>
          <t>Сумма не сходится</t>
        </is>
      </c>
      <c r="E1712" s="8" t="inlineStr">
        <is>
          <t>Нужна проверка</t>
        </is>
      </c>
      <c r="F1712" s="8" t="inlineStr">
        <is>
          <t>C</t>
        </is>
      </c>
      <c r="G1712" s="14" t="n">
        <v>16639.22</v>
      </c>
      <c r="H1712" s="14" t="n">
        <v>-16647.88</v>
      </c>
      <c r="I1712" s="14" t="n">
        <v>16639.2236</v>
      </c>
      <c r="J1712" s="14" t="n">
        <v>-8.659999999999854</v>
      </c>
      <c r="K1712" s="21" t="n">
        <v>46199.51070601852</v>
      </c>
      <c r="L1712" s="21" t="n">
        <v>46198</v>
      </c>
      <c r="M1712" s="8" t="inlineStr"/>
      <c r="N1712" s="8" t="inlineStr">
        <is>
          <t>Бухгалтер + менеджер субагента</t>
        </is>
      </c>
      <c r="O1712" s="8" t="inlineStr">
        <is>
          <t>b.isakov</t>
        </is>
      </c>
      <c r="P1712" s="12" t="inlineStr">
        <is>
          <t>Реестр не подтверждает ни 1С, ни ETM (либо состав группы неоднозначен) — нужна проверка</t>
        </is>
      </c>
      <c r="Q1712" s="8" t="inlineStr">
        <is>
          <t>57400275</t>
        </is>
      </c>
    </row>
    <row r="1713">
      <c r="A1713" s="8" t="inlineStr">
        <is>
          <t>G03559</t>
        </is>
      </c>
      <c r="B1713" s="8" t="inlineStr">
        <is>
          <t>SkyWay Travel</t>
        </is>
      </c>
      <c r="C1713" s="8" t="inlineStr">
        <is>
          <t>2552672491</t>
        </is>
      </c>
      <c r="D1713" s="8" t="inlineStr">
        <is>
          <t>Сумма не сходится</t>
        </is>
      </c>
      <c r="E1713" s="8" t="inlineStr">
        <is>
          <t>Нужна проверка</t>
        </is>
      </c>
      <c r="F1713" s="8" t="inlineStr">
        <is>
          <t>C</t>
        </is>
      </c>
      <c r="G1713" s="14" t="n">
        <v>42504.53</v>
      </c>
      <c r="H1713" s="14" t="n">
        <v>-42496</v>
      </c>
      <c r="I1713" s="14" t="n">
        <v>42504.52500000001</v>
      </c>
      <c r="J1713" s="14" t="n">
        <v>8.529999999998836</v>
      </c>
      <c r="K1713" s="21" t="n">
        <v>46216.44943287037</v>
      </c>
      <c r="L1713" s="21" t="n">
        <v>46215</v>
      </c>
      <c r="M1713" s="8" t="inlineStr"/>
      <c r="N1713" s="8" t="inlineStr">
        <is>
          <t>Бухгалтер + менеджер субагента</t>
        </is>
      </c>
      <c r="O1713" s="8" t="inlineStr">
        <is>
          <t>e.satarov</t>
        </is>
      </c>
      <c r="P1713" s="12" t="inlineStr">
        <is>
          <t>Реестр не подтверждает ни 1С, ни ETM (либо состав группы неоднозначен) — нужна проверка</t>
        </is>
      </c>
      <c r="Q1713" s="8" t="inlineStr">
        <is>
          <t>57454026</t>
        </is>
      </c>
    </row>
    <row r="1714">
      <c r="A1714" s="8" t="inlineStr">
        <is>
          <t>G07808</t>
        </is>
      </c>
      <c r="B1714" s="8" t="inlineStr">
        <is>
          <t>ИП Асанов К. Б.</t>
        </is>
      </c>
      <c r="C1714" s="8" t="inlineStr">
        <is>
          <t>2416942720</t>
        </is>
      </c>
      <c r="D1714" s="8" t="inlineStr">
        <is>
          <t>Сумма не сходится</t>
        </is>
      </c>
      <c r="E1714" s="8" t="inlineStr">
        <is>
          <t>Нужна проверка</t>
        </is>
      </c>
      <c r="F1714" s="8" t="inlineStr">
        <is>
          <t>C</t>
        </is>
      </c>
      <c r="G1714" s="14" t="n">
        <v>26157.49</v>
      </c>
      <c r="H1714" s="14" t="n">
        <v>-26165.88</v>
      </c>
      <c r="I1714" s="14" t="n"/>
      <c r="J1714" s="14" t="n">
        <v>-8.389999999999418</v>
      </c>
      <c r="K1714" s="21" t="n">
        <v>46032.4100462963</v>
      </c>
      <c r="L1714" s="21" t="n">
        <v>46031</v>
      </c>
      <c r="M1714" s="8" t="inlineStr"/>
      <c r="N1714" s="8" t="inlineStr">
        <is>
          <t>Бухгалтер + менеджер субагента</t>
        </is>
      </c>
      <c r="O1714" s="8" t="inlineStr"/>
      <c r="P1714" s="12" t="inlineStr">
        <is>
          <t>Нет записи реестра (билет выписан субагентом сам) — определить виновного по данным нельзя</t>
        </is>
      </c>
      <c r="Q1714" s="8" t="inlineStr">
        <is>
          <t>57016270</t>
        </is>
      </c>
    </row>
    <row r="1715">
      <c r="A1715" s="8" t="inlineStr">
        <is>
          <t>G06566</t>
        </is>
      </c>
      <c r="B1715" s="8" t="inlineStr">
        <is>
          <t>Джолдошова Салтанат Сатаревна</t>
        </is>
      </c>
      <c r="C1715" s="8" t="inlineStr">
        <is>
          <t>2420844285</t>
        </is>
      </c>
      <c r="D1715" s="8" t="inlineStr">
        <is>
          <t>Сумма не сходится</t>
        </is>
      </c>
      <c r="E1715" s="8" t="inlineStr">
        <is>
          <t>Нужна проверка</t>
        </is>
      </c>
      <c r="F1715" s="8" t="inlineStr">
        <is>
          <t>C</t>
        </is>
      </c>
      <c r="G1715" s="14" t="n">
        <v>2463.380000000001</v>
      </c>
      <c r="H1715" s="14" t="n">
        <v>-2455.220000000001</v>
      </c>
      <c r="I1715" s="14" t="n">
        <v>2463.384999999998</v>
      </c>
      <c r="J1715" s="14" t="n">
        <v>8.159999999999854</v>
      </c>
      <c r="K1715" s="21" t="n">
        <v>46150.72571759259</v>
      </c>
      <c r="L1715" s="21" t="n">
        <v>46149</v>
      </c>
      <c r="M1715" s="8" t="inlineStr"/>
      <c r="N1715" s="8" t="inlineStr">
        <is>
          <t>Бухгалтер + менеджер субагента</t>
        </is>
      </c>
      <c r="O1715" s="8" t="inlineStr">
        <is>
          <t>d.mambetova|r.sydykov</t>
        </is>
      </c>
      <c r="P1715" s="12" t="inlineStr">
        <is>
          <t>Реестр не подтверждает ни 1С, ни ETM (либо состав группы неоднозначен) — нужна проверка</t>
        </is>
      </c>
      <c r="Q1715" s="8" t="inlineStr">
        <is>
          <t>57261276,57380059</t>
        </is>
      </c>
    </row>
    <row r="1716">
      <c r="A1716" s="8" t="inlineStr">
        <is>
          <t>G13234</t>
        </is>
      </c>
      <c r="B1716" s="8" t="inlineStr">
        <is>
          <t>Сатар уулу Санжар</t>
        </is>
      </c>
      <c r="C1716" s="8" t="inlineStr">
        <is>
          <t>2476318051</t>
        </is>
      </c>
      <c r="D1716" s="8" t="inlineStr">
        <is>
          <t>Сумма не сходится</t>
        </is>
      </c>
      <c r="E1716" s="8" t="inlineStr">
        <is>
          <t>Нужна проверка</t>
        </is>
      </c>
      <c r="F1716" s="8" t="inlineStr">
        <is>
          <t>C</t>
        </is>
      </c>
      <c r="G1716" s="14" t="n">
        <v>22494.56</v>
      </c>
      <c r="H1716" s="14" t="n">
        <v>-22502.51</v>
      </c>
      <c r="I1716" s="14" t="n">
        <v>22494.56</v>
      </c>
      <c r="J1716" s="14" t="n">
        <v>-7.94999999999709</v>
      </c>
      <c r="K1716" s="21" t="n">
        <v>46107.53804398148</v>
      </c>
      <c r="L1716" s="21" t="n">
        <v>46106</v>
      </c>
      <c r="M1716" s="8" t="inlineStr"/>
      <c r="N1716" s="8" t="inlineStr">
        <is>
          <t>Бухгалтер + менеджер субагента</t>
        </is>
      </c>
      <c r="O1716" s="8" t="inlineStr">
        <is>
          <t>k.dzhumaev</t>
        </is>
      </c>
      <c r="P1716" s="12" t="inlineStr">
        <is>
          <t>Реестр не подтверждает ни 1С, ни ETM (либо состав группы неоднозначен) — нужна проверка</t>
        </is>
      </c>
      <c r="Q1716" s="8" t="inlineStr">
        <is>
          <t>57171060</t>
        </is>
      </c>
    </row>
    <row r="1717">
      <c r="A1717" s="8" t="inlineStr">
        <is>
          <t>G07818</t>
        </is>
      </c>
      <c r="B1717" s="8" t="inlineStr">
        <is>
          <t>ИП Асанов К. Б.</t>
        </is>
      </c>
      <c r="C1717" s="8" t="inlineStr">
        <is>
          <t>2416946223|2416946224</t>
        </is>
      </c>
      <c r="D1717" s="8" t="inlineStr">
        <is>
          <t>Сумма не сходится</t>
        </is>
      </c>
      <c r="E1717" s="8" t="inlineStr">
        <is>
          <t>Нужна проверка</t>
        </is>
      </c>
      <c r="F1717" s="8" t="inlineStr">
        <is>
          <t>C</t>
        </is>
      </c>
      <c r="G1717" s="14" t="n">
        <v>63965.5</v>
      </c>
      <c r="H1717" s="14" t="n">
        <v>-63958.5</v>
      </c>
      <c r="I1717" s="14" t="n"/>
      <c r="J1717" s="14" t="n">
        <v>7</v>
      </c>
      <c r="K1717" s="21" t="n">
        <v>46217.36589120371</v>
      </c>
      <c r="L1717" s="21" t="n">
        <v>46216</v>
      </c>
      <c r="M1717" s="8" t="inlineStr"/>
      <c r="N1717" s="8" t="inlineStr">
        <is>
          <t>Бухгалтер + менеджер субагента</t>
        </is>
      </c>
      <c r="O1717" s="8" t="inlineStr"/>
      <c r="P1717" s="12" t="inlineStr">
        <is>
          <t>Нет записи реестра (билет выписан субагентом сам) — определить виновного по данным нельзя</t>
        </is>
      </c>
      <c r="Q1717" s="8" t="inlineStr">
        <is>
          <t>57456603,57456643</t>
        </is>
      </c>
    </row>
    <row r="1718">
      <c r="A1718" s="8" t="inlineStr">
        <is>
          <t>G00063</t>
        </is>
      </c>
      <c r="B1718" s="8" t="inlineStr">
        <is>
          <t>Ak-Bulak Voyage</t>
        </is>
      </c>
      <c r="C1718" s="8" t="inlineStr">
        <is>
          <t>2552670108</t>
        </is>
      </c>
      <c r="D1718" s="8" t="inlineStr">
        <is>
          <t>Сумма не сходится</t>
        </is>
      </c>
      <c r="E1718" s="8" t="inlineStr">
        <is>
          <t>Нужна проверка</t>
        </is>
      </c>
      <c r="F1718" s="8" t="inlineStr">
        <is>
          <t>C</t>
        </is>
      </c>
      <c r="G1718" s="14" t="n">
        <v>22958.17</v>
      </c>
      <c r="H1718" s="14" t="n">
        <v>-22965.09</v>
      </c>
      <c r="I1718" s="14" t="n"/>
      <c r="J1718" s="14" t="n">
        <v>-6.920000000001892</v>
      </c>
      <c r="K1718" s="21" t="n">
        <v>46034.37237268518</v>
      </c>
      <c r="L1718" s="21" t="n">
        <v>46033</v>
      </c>
      <c r="M1718" s="8" t="inlineStr"/>
      <c r="N1718" s="8" t="inlineStr">
        <is>
          <t>Бухгалтер + менеджер субагента</t>
        </is>
      </c>
      <c r="O1718" s="8" t="inlineStr"/>
      <c r="P1718" s="12" t="inlineStr">
        <is>
          <t>Нет записи реестра (билет выписан субагентом сам) — определить виновного по данным нельзя</t>
        </is>
      </c>
      <c r="Q1718" s="8" t="inlineStr">
        <is>
          <t>57020317</t>
        </is>
      </c>
    </row>
    <row r="1719">
      <c r="A1719" s="8" t="inlineStr">
        <is>
          <t>G02520</t>
        </is>
      </c>
      <c r="B1719" s="8" t="inlineStr">
        <is>
          <t>SkyWay Travel</t>
        </is>
      </c>
      <c r="C1719" s="8" t="inlineStr">
        <is>
          <t>2420846158|2420846160</t>
        </is>
      </c>
      <c r="D1719" s="8" t="inlineStr">
        <is>
          <t>Сумма не сходится</t>
        </is>
      </c>
      <c r="E1719" s="8" t="inlineStr">
        <is>
          <t>Нужна проверка</t>
        </is>
      </c>
      <c r="F1719" s="8" t="inlineStr">
        <is>
          <t>C</t>
        </is>
      </c>
      <c r="G1719" s="14" t="n">
        <v>62183.26</v>
      </c>
      <c r="H1719" s="14" t="n">
        <v>-62189.66</v>
      </c>
      <c r="I1719" s="14" t="n">
        <v>62183.25640000001</v>
      </c>
      <c r="J1719" s="14" t="n">
        <v>-6.400000000001455</v>
      </c>
      <c r="K1719" s="21" t="n">
        <v>46209.71663194444</v>
      </c>
      <c r="L1719" s="21" t="n">
        <v>46208</v>
      </c>
      <c r="M1719" s="8" t="inlineStr"/>
      <c r="N1719" s="8" t="inlineStr">
        <is>
          <t>Бухгалтер + менеджер субагента</t>
        </is>
      </c>
      <c r="O1719" s="8" t="inlineStr">
        <is>
          <t>a.toktosunova</t>
        </is>
      </c>
      <c r="P1719" s="12" t="inlineStr">
        <is>
          <t>Реестр не подтверждает ни 1С, ни ETM (либо состав группы неоднозначен) — нужна проверка</t>
        </is>
      </c>
      <c r="Q1719" s="8" t="inlineStr">
        <is>
          <t>57432075</t>
        </is>
      </c>
    </row>
    <row r="1720">
      <c r="A1720" s="8" t="inlineStr">
        <is>
          <t>G02112</t>
        </is>
      </c>
      <c r="B1720" s="8" t="inlineStr">
        <is>
          <t>Nomad Trip</t>
        </is>
      </c>
      <c r="C1720" s="8" t="inlineStr">
        <is>
          <t>2476317052|2476317055|2476317056|2476317057</t>
        </is>
      </c>
      <c r="D1720" s="8" t="inlineStr">
        <is>
          <t>Сумма не сходится</t>
        </is>
      </c>
      <c r="E1720" s="8" t="inlineStr">
        <is>
          <t>Нужна проверка</t>
        </is>
      </c>
      <c r="F1720" s="8" t="inlineStr">
        <is>
          <t>C</t>
        </is>
      </c>
      <c r="G1720" s="14" t="n">
        <v>91393.8</v>
      </c>
      <c r="H1720" s="14" t="n">
        <v>-91399.8</v>
      </c>
      <c r="I1720" s="14" t="n">
        <v>91393.8</v>
      </c>
      <c r="J1720" s="14" t="n">
        <v>-6</v>
      </c>
      <c r="K1720" s="21" t="n">
        <v>46174.38158564815</v>
      </c>
      <c r="L1720" s="21" t="n">
        <v>46173</v>
      </c>
      <c r="M1720" s="8" t="inlineStr">
        <is>
          <t>ONE_WRONG_DIGIT</t>
        </is>
      </c>
      <c r="N1720" s="8" t="inlineStr">
        <is>
          <t>Бухгалтер + менеджер субагента</t>
        </is>
      </c>
      <c r="O1720" s="8" t="inlineStr">
        <is>
          <t>n.abdyldaeva</t>
        </is>
      </c>
      <c r="P1720" s="12" t="inlineStr">
        <is>
          <t>Реестр не подтверждает ни 1С, ни ETM (либо состав группы неоднозначен) — нужна проверка</t>
        </is>
      </c>
      <c r="Q1720" s="8" t="inlineStr">
        <is>
          <t>57331369,57331308,57331338,57331379</t>
        </is>
      </c>
    </row>
    <row r="1721">
      <c r="A1721" s="8" t="inlineStr">
        <is>
          <t>G00324</t>
        </is>
      </c>
      <c r="B1721" s="8" t="inlineStr">
        <is>
          <t>Blue Bird Travel</t>
        </is>
      </c>
      <c r="C1721" s="8" t="inlineStr">
        <is>
          <t>2416943401</t>
        </is>
      </c>
      <c r="D1721" s="8" t="inlineStr">
        <is>
          <t>Продажа только в реестре</t>
        </is>
      </c>
      <c r="E1721" s="8" t="inlineStr">
        <is>
          <t>Нужна проверка</t>
        </is>
      </c>
      <c r="F1721" s="8" t="inlineStr">
        <is>
          <t>C</t>
        </is>
      </c>
      <c r="G1721" s="14" t="n">
        <v>0</v>
      </c>
      <c r="H1721" s="14" t="n">
        <v>0</v>
      </c>
      <c r="I1721" s="14" t="n">
        <v>42561.35</v>
      </c>
      <c r="J1721" s="14" t="n">
        <v>0</v>
      </c>
      <c r="K1721" s="21" t="n"/>
      <c r="L1721" s="21" t="n"/>
      <c r="M1721" s="8" t="inlineStr"/>
      <c r="N1721" s="8" t="inlineStr">
        <is>
          <t>Бухгалтер + менеджер субагента</t>
        </is>
      </c>
      <c r="O1721" s="8" t="inlineStr">
        <is>
          <t>n.abdyldaeva</t>
        </is>
      </c>
      <c r="P172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1" s="8" t="inlineStr"/>
    </row>
    <row r="1722">
      <c r="A1722" s="8" t="inlineStr">
        <is>
          <t>G01041</t>
        </is>
      </c>
      <c r="B1722" s="8" t="inlineStr">
        <is>
          <t>Karakol Express</t>
        </is>
      </c>
      <c r="C1722" s="8" t="inlineStr">
        <is>
          <t>2416941146</t>
        </is>
      </c>
      <c r="D1722" s="8" t="inlineStr">
        <is>
          <t>Продажа только в реестре</t>
        </is>
      </c>
      <c r="E1722" s="8" t="inlineStr">
        <is>
          <t>Нужна проверка</t>
        </is>
      </c>
      <c r="F1722" s="8" t="inlineStr">
        <is>
          <t>C</t>
        </is>
      </c>
      <c r="G1722" s="14" t="n">
        <v>0</v>
      </c>
      <c r="H1722" s="14" t="n">
        <v>0</v>
      </c>
      <c r="I1722" s="14" t="n">
        <v>19432.72</v>
      </c>
      <c r="J1722" s="14" t="n">
        <v>0</v>
      </c>
      <c r="K1722" s="21" t="n"/>
      <c r="L1722" s="21" t="n"/>
      <c r="M1722" s="8" t="inlineStr"/>
      <c r="N1722" s="8" t="inlineStr">
        <is>
          <t>Бухгалтер + менеджер субагента</t>
        </is>
      </c>
      <c r="O1722" s="8" t="inlineStr">
        <is>
          <t>n.abdyldaeva</t>
        </is>
      </c>
      <c r="P172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2" s="8" t="inlineStr"/>
    </row>
    <row r="1723">
      <c r="A1723" s="8" t="inlineStr">
        <is>
          <t>G01057</t>
        </is>
      </c>
      <c r="B1723" s="8" t="inlineStr">
        <is>
          <t>Karakol Express</t>
        </is>
      </c>
      <c r="C1723" s="8" t="inlineStr">
        <is>
          <t>2416941571</t>
        </is>
      </c>
      <c r="D1723" s="8" t="inlineStr">
        <is>
          <t>Продажа только в реестре</t>
        </is>
      </c>
      <c r="E1723" s="8" t="inlineStr">
        <is>
          <t>Нужна проверка</t>
        </is>
      </c>
      <c r="F1723" s="8" t="inlineStr">
        <is>
          <t>C</t>
        </is>
      </c>
      <c r="G1723" s="14" t="n">
        <v>0</v>
      </c>
      <c r="H1723" s="14" t="n">
        <v>0</v>
      </c>
      <c r="I1723" s="14" t="n">
        <v>53558</v>
      </c>
      <c r="J1723" s="14" t="n">
        <v>0</v>
      </c>
      <c r="K1723" s="21" t="n"/>
      <c r="L1723" s="21" t="n"/>
      <c r="M1723" s="8" t="inlineStr"/>
      <c r="N1723" s="8" t="inlineStr">
        <is>
          <t>Бухгалтер + менеджер субагента</t>
        </is>
      </c>
      <c r="O1723" s="8" t="inlineStr">
        <is>
          <t>a.toktosunova</t>
        </is>
      </c>
      <c r="P172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3" s="8" t="inlineStr"/>
    </row>
    <row r="1724">
      <c r="A1724" s="8" t="inlineStr">
        <is>
          <t>G01201</t>
        </is>
      </c>
      <c r="B1724" s="8" t="inlineStr">
        <is>
          <t>Karakol Express</t>
        </is>
      </c>
      <c r="C1724" s="8" t="inlineStr">
        <is>
          <t>2420845207</t>
        </is>
      </c>
      <c r="D1724" s="8" t="inlineStr">
        <is>
          <t>Продажа только в реестре</t>
        </is>
      </c>
      <c r="E1724" s="8" t="inlineStr">
        <is>
          <t>Нужна проверка</t>
        </is>
      </c>
      <c r="F1724" s="8" t="inlineStr">
        <is>
          <t>C</t>
        </is>
      </c>
      <c r="G1724" s="14" t="n">
        <v>0</v>
      </c>
      <c r="H1724" s="14" t="n">
        <v>0</v>
      </c>
      <c r="I1724" s="14" t="n">
        <v>26416.5815</v>
      </c>
      <c r="J1724" s="14" t="n">
        <v>0</v>
      </c>
      <c r="K1724" s="21" t="n"/>
      <c r="L1724" s="21" t="n"/>
      <c r="M1724" s="8" t="inlineStr"/>
      <c r="N1724" s="8" t="inlineStr">
        <is>
          <t>Бухгалтер + менеджер субагента</t>
        </is>
      </c>
      <c r="O1724" s="8" t="inlineStr">
        <is>
          <t>a.toktosunova</t>
        </is>
      </c>
      <c r="P172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4" s="8" t="inlineStr"/>
    </row>
    <row r="1725">
      <c r="A1725" s="8" t="inlineStr">
        <is>
          <t>G01350</t>
        </is>
      </c>
      <c r="B1725" s="8" t="inlineStr">
        <is>
          <t>Karakol Express</t>
        </is>
      </c>
      <c r="C1725" s="8" t="inlineStr">
        <is>
          <t>2459530569</t>
        </is>
      </c>
      <c r="D1725" s="8" t="inlineStr">
        <is>
          <t>Продажа только в реестре</t>
        </is>
      </c>
      <c r="E1725" s="8" t="inlineStr">
        <is>
          <t>Нужна проверка</t>
        </is>
      </c>
      <c r="F1725" s="8" t="inlineStr">
        <is>
          <t>C</t>
        </is>
      </c>
      <c r="G1725" s="14" t="n">
        <v>0</v>
      </c>
      <c r="H1725" s="14" t="n">
        <v>0</v>
      </c>
      <c r="I1725" s="14" t="n">
        <v>24427</v>
      </c>
      <c r="J1725" s="14" t="n">
        <v>0</v>
      </c>
      <c r="K1725" s="21" t="n"/>
      <c r="L1725" s="21" t="n"/>
      <c r="M1725" s="8" t="inlineStr"/>
      <c r="N1725" s="8" t="inlineStr">
        <is>
          <t>Бухгалтер + менеджер субагента</t>
        </is>
      </c>
      <c r="O1725" s="8" t="inlineStr">
        <is>
          <t>n.abdyldaeva</t>
        </is>
      </c>
      <c r="P172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5" s="8" t="inlineStr"/>
    </row>
    <row r="1726">
      <c r="A1726" s="8" t="inlineStr">
        <is>
          <t>G01474</t>
        </is>
      </c>
      <c r="B1726" s="8" t="inlineStr">
        <is>
          <t>Karakol Express</t>
        </is>
      </c>
      <c r="C1726" s="8" t="inlineStr">
        <is>
          <t>2460736350</t>
        </is>
      </c>
      <c r="D1726" s="8" t="inlineStr">
        <is>
          <t>Продажа только в реестре</t>
        </is>
      </c>
      <c r="E1726" s="8" t="inlineStr">
        <is>
          <t>Нужна проверка</t>
        </is>
      </c>
      <c r="F1726" s="8" t="inlineStr">
        <is>
          <t>C</t>
        </is>
      </c>
      <c r="G1726" s="14" t="n">
        <v>0</v>
      </c>
      <c r="H1726" s="14" t="n">
        <v>0</v>
      </c>
      <c r="I1726" s="14" t="n">
        <v>13338</v>
      </c>
      <c r="J1726" s="14" t="n">
        <v>0</v>
      </c>
      <c r="K1726" s="21" t="n"/>
      <c r="L1726" s="21" t="n"/>
      <c r="M1726" s="8" t="inlineStr"/>
      <c r="N1726" s="8" t="inlineStr">
        <is>
          <t>Бухгалтер + менеджер субагента</t>
        </is>
      </c>
      <c r="O1726" s="8" t="inlineStr">
        <is>
          <t>b.isakov</t>
        </is>
      </c>
      <c r="P172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6" s="8" t="inlineStr"/>
    </row>
    <row r="1727">
      <c r="A1727" s="8" t="inlineStr">
        <is>
          <t>G01863</t>
        </is>
      </c>
      <c r="B1727" s="8" t="inlineStr">
        <is>
          <t>Karakol Express</t>
        </is>
      </c>
      <c r="C1727" s="8" t="inlineStr">
        <is>
          <t>2552672545</t>
        </is>
      </c>
      <c r="D1727" s="8" t="inlineStr">
        <is>
          <t>Продажа только в реестре</t>
        </is>
      </c>
      <c r="E1727" s="8" t="inlineStr">
        <is>
          <t>Нужна проверка</t>
        </is>
      </c>
      <c r="F1727" s="8" t="inlineStr">
        <is>
          <t>C</t>
        </is>
      </c>
      <c r="G1727" s="14" t="n">
        <v>0</v>
      </c>
      <c r="H1727" s="14" t="n">
        <v>0</v>
      </c>
      <c r="I1727" s="14" t="n">
        <v>25114</v>
      </c>
      <c r="J1727" s="14" t="n">
        <v>0</v>
      </c>
      <c r="K1727" s="21" t="n"/>
      <c r="L1727" s="21" t="n"/>
      <c r="M1727" s="8" t="inlineStr"/>
      <c r="N1727" s="8" t="inlineStr">
        <is>
          <t>Бухгалтер + менеджер субагента</t>
        </is>
      </c>
      <c r="O1727" s="8" t="inlineStr">
        <is>
          <t>r.sydykov</t>
        </is>
      </c>
      <c r="P172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7" s="8" t="inlineStr"/>
    </row>
    <row r="1728">
      <c r="A1728" s="8" t="inlineStr">
        <is>
          <t>G02203</t>
        </is>
      </c>
      <c r="B1728" s="8" t="inlineStr">
        <is>
          <t>Silk Route Air</t>
        </is>
      </c>
      <c r="C1728" s="8" t="inlineStr">
        <is>
          <t>2552671572</t>
        </is>
      </c>
      <c r="D1728" s="8" t="inlineStr">
        <is>
          <t>Продажа только в реестре</t>
        </is>
      </c>
      <c r="E1728" s="8" t="inlineStr">
        <is>
          <t>Нужна проверка</t>
        </is>
      </c>
      <c r="F1728" s="8" t="inlineStr">
        <is>
          <t>C</t>
        </is>
      </c>
      <c r="G1728" s="14" t="n">
        <v>0</v>
      </c>
      <c r="H1728" s="14" t="n">
        <v>0</v>
      </c>
      <c r="I1728" s="14" t="n">
        <v>48023.1</v>
      </c>
      <c r="J1728" s="14" t="n">
        <v>0</v>
      </c>
      <c r="K1728" s="21" t="n"/>
      <c r="L1728" s="21" t="n"/>
      <c r="M1728" s="8" t="inlineStr"/>
      <c r="N1728" s="8" t="inlineStr">
        <is>
          <t>Бухгалтер + менеджер субагента</t>
        </is>
      </c>
      <c r="O1728" s="8" t="inlineStr">
        <is>
          <t>k.dzhumaev</t>
        </is>
      </c>
      <c r="P172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8" s="8" t="inlineStr"/>
    </row>
    <row r="1729">
      <c r="A1729" s="8" t="inlineStr">
        <is>
          <t>G02417</t>
        </is>
      </c>
      <c r="B1729" s="8" t="inlineStr">
        <is>
          <t>SkyWay Travel</t>
        </is>
      </c>
      <c r="C1729" s="8" t="inlineStr">
        <is>
          <t>2420842982|2420842985|2420842988</t>
        </is>
      </c>
      <c r="D1729" s="8" t="inlineStr">
        <is>
          <t>Продажа только в реестре</t>
        </is>
      </c>
      <c r="E1729" s="8" t="inlineStr">
        <is>
          <t>Нужна проверка</t>
        </is>
      </c>
      <c r="F1729" s="8" t="inlineStr">
        <is>
          <t>C</t>
        </is>
      </c>
      <c r="G1729" s="14" t="n">
        <v>0</v>
      </c>
      <c r="H1729" s="14" t="n">
        <v>0</v>
      </c>
      <c r="I1729" s="14" t="n">
        <v>78066.6318</v>
      </c>
      <c r="J1729" s="14" t="n">
        <v>0</v>
      </c>
      <c r="K1729" s="21" t="n"/>
      <c r="L1729" s="21" t="n"/>
      <c r="M1729" s="8" t="inlineStr"/>
      <c r="N1729" s="8" t="inlineStr">
        <is>
          <t>Бухгалтер + менеджер субагента</t>
        </is>
      </c>
      <c r="O1729" s="8" t="inlineStr">
        <is>
          <t>e.satarov</t>
        </is>
      </c>
      <c r="P172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29" s="8" t="inlineStr"/>
    </row>
    <row r="1730">
      <c r="A1730" s="8" t="inlineStr">
        <is>
          <t>G02683</t>
        </is>
      </c>
      <c r="B1730" s="8" t="inlineStr">
        <is>
          <t>SkyWay Travel</t>
        </is>
      </c>
      <c r="C1730" s="8" t="inlineStr">
        <is>
          <t>2459529181</t>
        </is>
      </c>
      <c r="D1730" s="8" t="inlineStr">
        <is>
          <t>Продажа только в реестре</t>
        </is>
      </c>
      <c r="E1730" s="8" t="inlineStr">
        <is>
          <t>Нужна проверка</t>
        </is>
      </c>
      <c r="F1730" s="8" t="inlineStr">
        <is>
          <t>C</t>
        </is>
      </c>
      <c r="G1730" s="14" t="n">
        <v>0</v>
      </c>
      <c r="H1730" s="14" t="n">
        <v>0</v>
      </c>
      <c r="I1730" s="14" t="n">
        <v>15710</v>
      </c>
      <c r="J1730" s="14" t="n">
        <v>0</v>
      </c>
      <c r="K1730" s="21" t="n"/>
      <c r="L1730" s="21" t="n"/>
      <c r="M1730" s="8" t="inlineStr"/>
      <c r="N1730" s="8" t="inlineStr">
        <is>
          <t>Бухгалтер + менеджер субагента</t>
        </is>
      </c>
      <c r="O1730" s="8" t="inlineStr">
        <is>
          <t>g.omurbekova</t>
        </is>
      </c>
      <c r="P173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0" s="8" t="inlineStr"/>
    </row>
    <row r="1731">
      <c r="A1731" s="8" t="inlineStr">
        <is>
          <t>G02737</t>
        </is>
      </c>
      <c r="B1731" s="8" t="inlineStr">
        <is>
          <t>SkyWay Travel</t>
        </is>
      </c>
      <c r="C1731" s="8" t="inlineStr">
        <is>
          <t>2459530681|2459530682</t>
        </is>
      </c>
      <c r="D1731" s="8" t="inlineStr">
        <is>
          <t>Продажа только в реестре</t>
        </is>
      </c>
      <c r="E1731" s="8" t="inlineStr">
        <is>
          <t>Нужна проверка</t>
        </is>
      </c>
      <c r="F1731" s="8" t="inlineStr">
        <is>
          <t>C</t>
        </is>
      </c>
      <c r="G1731" s="14" t="n">
        <v>0</v>
      </c>
      <c r="H1731" s="14" t="n">
        <v>0</v>
      </c>
      <c r="I1731" s="14" t="n">
        <v>21018</v>
      </c>
      <c r="J1731" s="14" t="n">
        <v>0</v>
      </c>
      <c r="K1731" s="21" t="n"/>
      <c r="L1731" s="21" t="n"/>
      <c r="M1731" s="8" t="inlineStr"/>
      <c r="N1731" s="8" t="inlineStr">
        <is>
          <t>Бухгалтер + менеджер субагента</t>
        </is>
      </c>
      <c r="O1731" s="8" t="inlineStr">
        <is>
          <t>a.toktosunova</t>
        </is>
      </c>
      <c r="P173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1" s="8" t="inlineStr"/>
    </row>
    <row r="1732">
      <c r="A1732" s="8" t="inlineStr">
        <is>
          <t>G02955</t>
        </is>
      </c>
      <c r="B1732" s="8" t="inlineStr">
        <is>
          <t>SkyWay Travel</t>
        </is>
      </c>
      <c r="C1732" s="8" t="inlineStr">
        <is>
          <t>2460738104</t>
        </is>
      </c>
      <c r="D1732" s="8" t="inlineStr">
        <is>
          <t>Продажа только в реестре</t>
        </is>
      </c>
      <c r="E1732" s="8" t="inlineStr">
        <is>
          <t>Нужна проверка</t>
        </is>
      </c>
      <c r="F1732" s="8" t="inlineStr">
        <is>
          <t>C</t>
        </is>
      </c>
      <c r="G1732" s="14" t="n">
        <v>0</v>
      </c>
      <c r="H1732" s="14" t="n">
        <v>0</v>
      </c>
      <c r="I1732" s="14" t="n">
        <v>25113</v>
      </c>
      <c r="J1732" s="14" t="n">
        <v>0</v>
      </c>
      <c r="K1732" s="21" t="n"/>
      <c r="L1732" s="21" t="n"/>
      <c r="M1732" s="8" t="inlineStr"/>
      <c r="N1732" s="8" t="inlineStr">
        <is>
          <t>Бухгалтер + менеджер субагента</t>
        </is>
      </c>
      <c r="O1732" s="8" t="inlineStr">
        <is>
          <t>d.mambetova</t>
        </is>
      </c>
      <c r="P173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2" s="8" t="inlineStr"/>
    </row>
    <row r="1733">
      <c r="A1733" s="8" t="inlineStr">
        <is>
          <t>G03174</t>
        </is>
      </c>
      <c r="B1733" s="8" t="inlineStr">
        <is>
          <t>SkyWay Travel</t>
        </is>
      </c>
      <c r="C1733" s="8" t="inlineStr">
        <is>
          <t>2461886492|2461886495|2461886498</t>
        </is>
      </c>
      <c r="D1733" s="8" t="inlineStr">
        <is>
          <t>Продажа только в реестре</t>
        </is>
      </c>
      <c r="E1733" s="8" t="inlineStr">
        <is>
          <t>Нужна проверка</t>
        </is>
      </c>
      <c r="F1733" s="8" t="inlineStr">
        <is>
          <t>C</t>
        </is>
      </c>
      <c r="G1733" s="14" t="n">
        <v>0</v>
      </c>
      <c r="H1733" s="14" t="n">
        <v>0</v>
      </c>
      <c r="I1733" s="14" t="n">
        <v>41088</v>
      </c>
      <c r="J1733" s="14" t="n">
        <v>0</v>
      </c>
      <c r="K1733" s="21" t="n"/>
      <c r="L1733" s="21" t="n"/>
      <c r="M1733" s="8" t="inlineStr"/>
      <c r="N1733" s="8" t="inlineStr">
        <is>
          <t>Бухгалтер + менеджер субагента</t>
        </is>
      </c>
      <c r="O1733" s="8" t="inlineStr">
        <is>
          <t>k.dzhumaev</t>
        </is>
      </c>
      <c r="P173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3" s="8" t="inlineStr"/>
    </row>
    <row r="1734">
      <c r="A1734" s="8" t="inlineStr">
        <is>
          <t>G03433</t>
        </is>
      </c>
      <c r="B1734" s="8" t="inlineStr">
        <is>
          <t>SkyWay Travel</t>
        </is>
      </c>
      <c r="C1734" s="8" t="inlineStr">
        <is>
          <t>2552669201</t>
        </is>
      </c>
      <c r="D1734" s="8" t="inlineStr">
        <is>
          <t>Продажа только в реестре</t>
        </is>
      </c>
      <c r="E1734" s="8" t="inlineStr">
        <is>
          <t>Нужна проверка</t>
        </is>
      </c>
      <c r="F1734" s="8" t="inlineStr">
        <is>
          <t>C</t>
        </is>
      </c>
      <c r="G1734" s="14" t="n">
        <v>0</v>
      </c>
      <c r="H1734" s="14" t="n">
        <v>0</v>
      </c>
      <c r="I1734" s="14" t="n">
        <v>27599.63</v>
      </c>
      <c r="J1734" s="14" t="n">
        <v>0</v>
      </c>
      <c r="K1734" s="21" t="n"/>
      <c r="L1734" s="21" t="n"/>
      <c r="M1734" s="8" t="inlineStr"/>
      <c r="N1734" s="8" t="inlineStr">
        <is>
          <t>Бухгалтер + менеджер субагента</t>
        </is>
      </c>
      <c r="O1734" s="8" t="inlineStr">
        <is>
          <t>a.toktosunova</t>
        </is>
      </c>
      <c r="P173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4" s="8" t="inlineStr"/>
    </row>
    <row r="1735">
      <c r="A1735" s="8" t="inlineStr">
        <is>
          <t>G04107</t>
        </is>
      </c>
      <c r="B1735" s="8" t="inlineStr">
        <is>
          <t>UNASSIGNED</t>
        </is>
      </c>
      <c r="C1735" s="8" t="inlineStr">
        <is>
          <t>2460738084|2460738087</t>
        </is>
      </c>
      <c r="D1735" s="8" t="inlineStr">
        <is>
          <t>Продажа только в реестре</t>
        </is>
      </c>
      <c r="E1735" s="8" t="inlineStr">
        <is>
          <t>Нужна проверка</t>
        </is>
      </c>
      <c r="F1735" s="8" t="inlineStr">
        <is>
          <t>C</t>
        </is>
      </c>
      <c r="G1735" s="14" t="n">
        <v>0</v>
      </c>
      <c r="H1735" s="14" t="n">
        <v>0</v>
      </c>
      <c r="I1735" s="14" t="n">
        <v>27502</v>
      </c>
      <c r="J1735" s="14" t="n">
        <v>0</v>
      </c>
      <c r="K1735" s="21" t="n"/>
      <c r="L1735" s="21" t="n"/>
      <c r="M1735" s="8" t="inlineStr"/>
      <c r="N1735" s="8" t="inlineStr">
        <is>
          <t>Бухгалтер + менеджер субагента</t>
        </is>
      </c>
      <c r="O1735" s="8" t="inlineStr">
        <is>
          <t>d.mambetova</t>
        </is>
      </c>
      <c r="P173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5" s="8" t="inlineStr"/>
    </row>
    <row r="1736">
      <c r="A1736" s="8" t="inlineStr">
        <is>
          <t>G04173</t>
        </is>
      </c>
      <c r="B1736" s="8" t="inlineStr">
        <is>
          <t>Абдылда уулу Б.</t>
        </is>
      </c>
      <c r="C1736" s="8" t="inlineStr">
        <is>
          <t>2416946436</t>
        </is>
      </c>
      <c r="D1736" s="8" t="inlineStr">
        <is>
          <t>Продажа только в реестре</t>
        </is>
      </c>
      <c r="E1736" s="8" t="inlineStr">
        <is>
          <t>Нужна проверка</t>
        </is>
      </c>
      <c r="F1736" s="8" t="inlineStr">
        <is>
          <t>C</t>
        </is>
      </c>
      <c r="G1736" s="14" t="n">
        <v>0</v>
      </c>
      <c r="H1736" s="14" t="n">
        <v>0</v>
      </c>
      <c r="I1736" s="14" t="n">
        <v>39868.35000000001</v>
      </c>
      <c r="J1736" s="14" t="n">
        <v>0</v>
      </c>
      <c r="K1736" s="21" t="n"/>
      <c r="L1736" s="21" t="n"/>
      <c r="M1736" s="8" t="inlineStr"/>
      <c r="N1736" s="8" t="inlineStr">
        <is>
          <t>Бухгалтер + менеджер субагента</t>
        </is>
      </c>
      <c r="O1736" s="8" t="inlineStr">
        <is>
          <t>a.toktosunova</t>
        </is>
      </c>
      <c r="P173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6" s="8" t="inlineStr"/>
    </row>
    <row r="1737">
      <c r="A1737" s="8" t="inlineStr">
        <is>
          <t>G04285</t>
        </is>
      </c>
      <c r="B1737" s="8" t="inlineStr">
        <is>
          <t>Абдылда уулу Б.</t>
        </is>
      </c>
      <c r="C1737" s="8" t="inlineStr">
        <is>
          <t>2460733173</t>
        </is>
      </c>
      <c r="D1737" s="8" t="inlineStr">
        <is>
          <t>Продажа только в реестре</t>
        </is>
      </c>
      <c r="E1737" s="8" t="inlineStr">
        <is>
          <t>Нужна проверка</t>
        </is>
      </c>
      <c r="F1737" s="8" t="inlineStr">
        <is>
          <t>C</t>
        </is>
      </c>
      <c r="G1737" s="14" t="n">
        <v>0</v>
      </c>
      <c r="H1737" s="14" t="n">
        <v>0</v>
      </c>
      <c r="I1737" s="14" t="n">
        <v>43325</v>
      </c>
      <c r="J1737" s="14" t="n">
        <v>0</v>
      </c>
      <c r="K1737" s="21" t="n"/>
      <c r="L1737" s="21" t="n"/>
      <c r="M1737" s="8" t="inlineStr"/>
      <c r="N1737" s="8" t="inlineStr">
        <is>
          <t>Бухгалтер + менеджер субагента</t>
        </is>
      </c>
      <c r="O1737" s="8" t="inlineStr">
        <is>
          <t>a.toktosunova</t>
        </is>
      </c>
      <c r="P173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7" s="8" t="inlineStr"/>
    </row>
    <row r="1738">
      <c r="A1738" s="8" t="inlineStr">
        <is>
          <t>G04375</t>
        </is>
      </c>
      <c r="B1738" s="8" t="inlineStr">
        <is>
          <t>Абдылда уулу Б.</t>
        </is>
      </c>
      <c r="C1738" s="8" t="inlineStr">
        <is>
          <t>2461884371|2461884372</t>
        </is>
      </c>
      <c r="D1738" s="8" t="inlineStr">
        <is>
          <t>Продажа только в реестре</t>
        </is>
      </c>
      <c r="E1738" s="8" t="inlineStr">
        <is>
          <t>Нужна проверка</t>
        </is>
      </c>
      <c r="F1738" s="8" t="inlineStr">
        <is>
          <t>C</t>
        </is>
      </c>
      <c r="G1738" s="14" t="n">
        <v>0</v>
      </c>
      <c r="H1738" s="14" t="n">
        <v>0</v>
      </c>
      <c r="I1738" s="14" t="n">
        <v>28494</v>
      </c>
      <c r="J1738" s="14" t="n">
        <v>0</v>
      </c>
      <c r="K1738" s="21" t="n"/>
      <c r="L1738" s="21" t="n"/>
      <c r="M1738" s="8" t="inlineStr"/>
      <c r="N1738" s="8" t="inlineStr">
        <is>
          <t>Бухгалтер + менеджер субагента</t>
        </is>
      </c>
      <c r="O1738" s="8" t="inlineStr">
        <is>
          <t>e.satarov</t>
        </is>
      </c>
      <c r="P173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8" s="8" t="inlineStr"/>
    </row>
    <row r="1739">
      <c r="A1739" s="8" t="inlineStr">
        <is>
          <t>G04547</t>
        </is>
      </c>
      <c r="B1739" s="8" t="inlineStr">
        <is>
          <t>Абдылдаов Д. М.</t>
        </is>
      </c>
      <c r="C1739" s="8" t="inlineStr">
        <is>
          <t>2416942181</t>
        </is>
      </c>
      <c r="D1739" s="8" t="inlineStr">
        <is>
          <t>Продажа только в реестре</t>
        </is>
      </c>
      <c r="E1739" s="8" t="inlineStr">
        <is>
          <t>Нужна проверка</t>
        </is>
      </c>
      <c r="F1739" s="8" t="inlineStr">
        <is>
          <t>C</t>
        </is>
      </c>
      <c r="G1739" s="14" t="n">
        <v>0</v>
      </c>
      <c r="H1739" s="14" t="n">
        <v>0</v>
      </c>
      <c r="I1739" s="14" t="n">
        <v>37527.2</v>
      </c>
      <c r="J1739" s="14" t="n">
        <v>0</v>
      </c>
      <c r="K1739" s="21" t="n"/>
      <c r="L1739" s="21" t="n"/>
      <c r="M1739" s="8" t="inlineStr"/>
      <c r="N1739" s="8" t="inlineStr">
        <is>
          <t>Бухгалтер + менеджер субагента</t>
        </is>
      </c>
      <c r="O1739" s="8" t="inlineStr">
        <is>
          <t>r.sydykov</t>
        </is>
      </c>
      <c r="P173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39" s="8" t="inlineStr"/>
    </row>
    <row r="1740">
      <c r="A1740" s="8" t="inlineStr">
        <is>
          <t>G04573</t>
        </is>
      </c>
      <c r="B1740" s="8" t="inlineStr">
        <is>
          <t>Абдылдаов Д. М.</t>
        </is>
      </c>
      <c r="C1740" s="8" t="inlineStr">
        <is>
          <t>2420848039</t>
        </is>
      </c>
      <c r="D1740" s="8" t="inlineStr">
        <is>
          <t>Продажа только в реестре</t>
        </is>
      </c>
      <c r="E1740" s="8" t="inlineStr">
        <is>
          <t>Нужна проверка</t>
        </is>
      </c>
      <c r="F1740" s="8" t="inlineStr">
        <is>
          <t>C</t>
        </is>
      </c>
      <c r="G1740" s="14" t="n">
        <v>0</v>
      </c>
      <c r="H1740" s="14" t="n">
        <v>0</v>
      </c>
      <c r="I1740" s="14" t="n">
        <v>26865.178</v>
      </c>
      <c r="J1740" s="14" t="n">
        <v>0</v>
      </c>
      <c r="K1740" s="21" t="n"/>
      <c r="L1740" s="21" t="n"/>
      <c r="M1740" s="8" t="inlineStr"/>
      <c r="N1740" s="8" t="inlineStr">
        <is>
          <t>Бухгалтер + менеджер субагента</t>
        </is>
      </c>
      <c r="O1740" s="8" t="inlineStr">
        <is>
          <t>k.dzhumaev</t>
        </is>
      </c>
      <c r="P174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0" s="8" t="inlineStr"/>
    </row>
    <row r="1741">
      <c r="A1741" s="8" t="inlineStr">
        <is>
          <t>G05021</t>
        </is>
      </c>
      <c r="B1741" s="8" t="inlineStr">
        <is>
          <t>Ак-Куу Авиа</t>
        </is>
      </c>
      <c r="C1741" s="8" t="inlineStr">
        <is>
          <t>2460734138|2460734141</t>
        </is>
      </c>
      <c r="D1741" s="8" t="inlineStr">
        <is>
          <t>Продажа только в реестре</t>
        </is>
      </c>
      <c r="E1741" s="8" t="inlineStr">
        <is>
          <t>Нужна проверка</t>
        </is>
      </c>
      <c r="F1741" s="8" t="inlineStr">
        <is>
          <t>C</t>
        </is>
      </c>
      <c r="G1741" s="14" t="n">
        <v>0</v>
      </c>
      <c r="H1741" s="14" t="n">
        <v>0</v>
      </c>
      <c r="I1741" s="14" t="n">
        <v>25854</v>
      </c>
      <c r="J1741" s="14" t="n">
        <v>0</v>
      </c>
      <c r="K1741" s="21" t="n"/>
      <c r="L1741" s="21" t="n"/>
      <c r="M1741" s="8" t="inlineStr"/>
      <c r="N1741" s="8" t="inlineStr">
        <is>
          <t>Бухгалтер + менеджер субагента</t>
        </is>
      </c>
      <c r="O1741" s="8" t="inlineStr">
        <is>
          <t>n.abdyldaeva</t>
        </is>
      </c>
      <c r="P174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1" s="8" t="inlineStr"/>
    </row>
    <row r="1742">
      <c r="A1742" s="8" t="inlineStr">
        <is>
          <t>G05093</t>
        </is>
      </c>
      <c r="B1742" s="8" t="inlineStr">
        <is>
          <t>Ак-Куу Авиа</t>
        </is>
      </c>
      <c r="C1742" s="8" t="inlineStr">
        <is>
          <t>2461881645</t>
        </is>
      </c>
      <c r="D1742" s="8" t="inlineStr">
        <is>
          <t>Продажа только в реестре</t>
        </is>
      </c>
      <c r="E1742" s="8" t="inlineStr">
        <is>
          <t>Нужна проверка</t>
        </is>
      </c>
      <c r="F1742" s="8" t="inlineStr">
        <is>
          <t>C</t>
        </is>
      </c>
      <c r="G1742" s="14" t="n">
        <v>0</v>
      </c>
      <c r="H1742" s="14" t="n">
        <v>0</v>
      </c>
      <c r="I1742" s="14" t="n">
        <v>13963</v>
      </c>
      <c r="J1742" s="14" t="n">
        <v>0</v>
      </c>
      <c r="K1742" s="21" t="n"/>
      <c r="L1742" s="21" t="n"/>
      <c r="M1742" s="8" t="inlineStr"/>
      <c r="N1742" s="8" t="inlineStr">
        <is>
          <t>Бухгалтер + менеджер субагента</t>
        </is>
      </c>
      <c r="O1742" s="8" t="inlineStr">
        <is>
          <t>g.omurbekova</t>
        </is>
      </c>
      <c r="P174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2" s="8" t="inlineStr"/>
    </row>
    <row r="1743">
      <c r="A1743" s="8" t="inlineStr">
        <is>
          <t>G05097</t>
        </is>
      </c>
      <c r="B1743" s="8" t="inlineStr">
        <is>
          <t>Ак-Куу Авиа</t>
        </is>
      </c>
      <c r="C1743" s="8" t="inlineStr">
        <is>
          <t>2461882049</t>
        </is>
      </c>
      <c r="D1743" s="8" t="inlineStr">
        <is>
          <t>Продажа только в реестре</t>
        </is>
      </c>
      <c r="E1743" s="8" t="inlineStr">
        <is>
          <t>Нужна проверка</t>
        </is>
      </c>
      <c r="F1743" s="8" t="inlineStr">
        <is>
          <t>C</t>
        </is>
      </c>
      <c r="G1743" s="14" t="n">
        <v>0</v>
      </c>
      <c r="H1743" s="14" t="n">
        <v>0</v>
      </c>
      <c r="I1743" s="14" t="n">
        <v>16012</v>
      </c>
      <c r="J1743" s="14" t="n">
        <v>0</v>
      </c>
      <c r="K1743" s="21" t="n"/>
      <c r="L1743" s="21" t="n"/>
      <c r="M1743" s="8" t="inlineStr"/>
      <c r="N1743" s="8" t="inlineStr">
        <is>
          <t>Бухгалтер + менеджер субагента</t>
        </is>
      </c>
      <c r="O1743" s="8" t="inlineStr">
        <is>
          <t>n.abdyldaeva</t>
        </is>
      </c>
      <c r="P174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3" s="8" t="inlineStr"/>
    </row>
    <row r="1744">
      <c r="A1744" s="8" t="inlineStr">
        <is>
          <t>G05158</t>
        </is>
      </c>
      <c r="B1744" s="8" t="inlineStr">
        <is>
          <t>Ак-Куу Авиа</t>
        </is>
      </c>
      <c r="C1744" s="8" t="inlineStr">
        <is>
          <t>2461885694|2461885697</t>
        </is>
      </c>
      <c r="D1744" s="8" t="inlineStr">
        <is>
          <t>Продажа только в реестре</t>
        </is>
      </c>
      <c r="E1744" s="8" t="inlineStr">
        <is>
          <t>Нужна проверка</t>
        </is>
      </c>
      <c r="F1744" s="8" t="inlineStr">
        <is>
          <t>C</t>
        </is>
      </c>
      <c r="G1744" s="14" t="n">
        <v>0</v>
      </c>
      <c r="H1744" s="14" t="n">
        <v>0</v>
      </c>
      <c r="I1744" s="14" t="n">
        <v>32570</v>
      </c>
      <c r="J1744" s="14" t="n">
        <v>0</v>
      </c>
      <c r="K1744" s="21" t="n"/>
      <c r="L1744" s="21" t="n"/>
      <c r="M1744" s="8" t="inlineStr"/>
      <c r="N1744" s="8" t="inlineStr">
        <is>
          <t>Бухгалтер + менеджер субагента</t>
        </is>
      </c>
      <c r="O1744" s="8" t="inlineStr">
        <is>
          <t>r.sydykov</t>
        </is>
      </c>
      <c r="P174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4" s="8" t="inlineStr"/>
    </row>
    <row r="1745">
      <c r="A1745" s="8" t="inlineStr">
        <is>
          <t>G05446</t>
        </is>
      </c>
      <c r="B1745" s="8" t="inlineStr">
        <is>
          <t>Ак-Куу Авиа</t>
        </is>
      </c>
      <c r="C1745" s="8" t="inlineStr">
        <is>
          <t>2559103994|2559103995</t>
        </is>
      </c>
      <c r="D1745" s="8" t="inlineStr">
        <is>
          <t>Продажа только в реестре</t>
        </is>
      </c>
      <c r="E1745" s="8" t="inlineStr">
        <is>
          <t>Нужна проверка</t>
        </is>
      </c>
      <c r="F1745" s="8" t="inlineStr">
        <is>
          <t>C</t>
        </is>
      </c>
      <c r="G1745" s="14" t="n">
        <v>0</v>
      </c>
      <c r="H1745" s="14" t="n">
        <v>0</v>
      </c>
      <c r="I1745" s="14" t="n">
        <v>104514.75</v>
      </c>
      <c r="J1745" s="14" t="n">
        <v>0</v>
      </c>
      <c r="K1745" s="21" t="n"/>
      <c r="L1745" s="21" t="n"/>
      <c r="M1745" s="8" t="inlineStr"/>
      <c r="N1745" s="8" t="inlineStr">
        <is>
          <t>Бухгалтер + менеджер субагента</t>
        </is>
      </c>
      <c r="O1745" s="8" t="inlineStr">
        <is>
          <t>d.mambetova</t>
        </is>
      </c>
      <c r="P174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5" s="8" t="inlineStr"/>
    </row>
    <row r="1746">
      <c r="A1746" s="8" t="inlineStr">
        <is>
          <t>G06704</t>
        </is>
      </c>
      <c r="B1746" s="8" t="inlineStr">
        <is>
          <t>Джолдошова Салтанат Сатаревна</t>
        </is>
      </c>
      <c r="C1746" s="8" t="inlineStr">
        <is>
          <t>2461885196</t>
        </is>
      </c>
      <c r="D1746" s="8" t="inlineStr">
        <is>
          <t>Продажа только в реестре</t>
        </is>
      </c>
      <c r="E1746" s="8" t="inlineStr">
        <is>
          <t>Нужна проверка</t>
        </is>
      </c>
      <c r="F1746" s="8" t="inlineStr">
        <is>
          <t>C</t>
        </is>
      </c>
      <c r="G1746" s="14" t="n">
        <v>0</v>
      </c>
      <c r="H1746" s="14" t="n">
        <v>0</v>
      </c>
      <c r="I1746" s="14" t="n">
        <v>19314</v>
      </c>
      <c r="J1746" s="14" t="n">
        <v>0</v>
      </c>
      <c r="K1746" s="21" t="n"/>
      <c r="L1746" s="21" t="n"/>
      <c r="M1746" s="8" t="inlineStr"/>
      <c r="N1746" s="8" t="inlineStr">
        <is>
          <t>Бухгалтер + менеджер субагента</t>
        </is>
      </c>
      <c r="O1746" s="8" t="inlineStr">
        <is>
          <t>e.satarov</t>
        </is>
      </c>
      <c r="P174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6" s="8" t="inlineStr"/>
    </row>
    <row r="1747">
      <c r="A1747" s="8" t="inlineStr">
        <is>
          <t>G06922</t>
        </is>
      </c>
      <c r="B1747" s="8" t="inlineStr">
        <is>
          <t>Жибек Авиакасса</t>
        </is>
      </c>
      <c r="C1747" s="8" t="inlineStr">
        <is>
          <t>2459528110</t>
        </is>
      </c>
      <c r="D1747" s="8" t="inlineStr">
        <is>
          <t>Продажа только в реестре</t>
        </is>
      </c>
      <c r="E1747" s="8" t="inlineStr">
        <is>
          <t>Нужна проверка</t>
        </is>
      </c>
      <c r="F1747" s="8" t="inlineStr">
        <is>
          <t>C</t>
        </is>
      </c>
      <c r="G1747" s="14" t="n">
        <v>0</v>
      </c>
      <c r="H1747" s="14" t="n">
        <v>0</v>
      </c>
      <c r="I1747" s="14" t="n">
        <v>32861</v>
      </c>
      <c r="J1747" s="14" t="n">
        <v>0</v>
      </c>
      <c r="K1747" s="21" t="n"/>
      <c r="L1747" s="21" t="n"/>
      <c r="M1747" s="8" t="inlineStr"/>
      <c r="N1747" s="8" t="inlineStr">
        <is>
          <t>Бухгалтер + менеджер субагента</t>
        </is>
      </c>
      <c r="O1747" s="8" t="inlineStr">
        <is>
          <t>a.toktosunova</t>
        </is>
      </c>
      <c r="P174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7" s="8" t="inlineStr"/>
    </row>
    <row r="1748">
      <c r="A1748" s="8" t="inlineStr">
        <is>
          <t>G07075</t>
        </is>
      </c>
      <c r="B1748" s="8" t="inlineStr">
        <is>
          <t>Жибек Вояж</t>
        </is>
      </c>
      <c r="C1748" s="8" t="inlineStr">
        <is>
          <t>2420846129|2420846130</t>
        </is>
      </c>
      <c r="D1748" s="8" t="inlineStr">
        <is>
          <t>Продажа только в реестре</t>
        </is>
      </c>
      <c r="E1748" s="8" t="inlineStr">
        <is>
          <t>Нужна проверка</t>
        </is>
      </c>
      <c r="F1748" s="8" t="inlineStr">
        <is>
          <t>C</t>
        </is>
      </c>
      <c r="G1748" s="14" t="n">
        <v>0</v>
      </c>
      <c r="H1748" s="14" t="n">
        <v>0</v>
      </c>
      <c r="I1748" s="14" t="n">
        <v>36994.1112</v>
      </c>
      <c r="J1748" s="14" t="n">
        <v>0</v>
      </c>
      <c r="K1748" s="21" t="n"/>
      <c r="L1748" s="21" t="n"/>
      <c r="M1748" s="8" t="inlineStr"/>
      <c r="N1748" s="8" t="inlineStr">
        <is>
          <t>Бухгалтер + менеджер субагента</t>
        </is>
      </c>
      <c r="O1748" s="8" t="inlineStr">
        <is>
          <t>g.omurbekova</t>
        </is>
      </c>
      <c r="P174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8" s="8" t="inlineStr"/>
    </row>
    <row r="1749">
      <c r="A1749" s="8" t="inlineStr">
        <is>
          <t>G07467</t>
        </is>
      </c>
      <c r="B1749" s="8" t="inlineStr">
        <is>
          <t>Жолчу кызы А.</t>
        </is>
      </c>
      <c r="C1749" s="8" t="inlineStr">
        <is>
          <t>2420843282</t>
        </is>
      </c>
      <c r="D1749" s="8" t="inlineStr">
        <is>
          <t>Продажа только в реестре</t>
        </is>
      </c>
      <c r="E1749" s="8" t="inlineStr">
        <is>
          <t>Нужна проверка</t>
        </is>
      </c>
      <c r="F1749" s="8" t="inlineStr">
        <is>
          <t>C</t>
        </is>
      </c>
      <c r="G1749" s="14" t="n">
        <v>0</v>
      </c>
      <c r="H1749" s="14" t="n">
        <v>0</v>
      </c>
      <c r="I1749" s="14" t="n">
        <v>28947.5964</v>
      </c>
      <c r="J1749" s="14" t="n">
        <v>0</v>
      </c>
      <c r="K1749" s="21" t="n"/>
      <c r="L1749" s="21" t="n"/>
      <c r="M1749" s="8" t="inlineStr"/>
      <c r="N1749" s="8" t="inlineStr">
        <is>
          <t>Бухгалтер + менеджер субагента</t>
        </is>
      </c>
      <c r="O1749" s="8" t="inlineStr">
        <is>
          <t>n.abdyldaeva</t>
        </is>
      </c>
      <c r="P174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49" s="8" t="inlineStr"/>
    </row>
    <row r="1750">
      <c r="A1750" s="8" t="inlineStr">
        <is>
          <t>G07502</t>
        </is>
      </c>
      <c r="B1750" s="8" t="inlineStr">
        <is>
          <t>Жолчу кызы А.</t>
        </is>
      </c>
      <c r="C1750" s="8" t="inlineStr">
        <is>
          <t>2460733375|2460733378</t>
        </is>
      </c>
      <c r="D1750" s="8" t="inlineStr">
        <is>
          <t>Продажа только в реестре</t>
        </is>
      </c>
      <c r="E1750" s="8" t="inlineStr">
        <is>
          <t>Нужна проверка</t>
        </is>
      </c>
      <c r="F1750" s="8" t="inlineStr">
        <is>
          <t>C</t>
        </is>
      </c>
      <c r="G1750" s="14" t="n">
        <v>0</v>
      </c>
      <c r="H1750" s="14" t="n">
        <v>0</v>
      </c>
      <c r="I1750" s="14" t="n">
        <v>21100</v>
      </c>
      <c r="J1750" s="14" t="n">
        <v>0</v>
      </c>
      <c r="K1750" s="21" t="n"/>
      <c r="L1750" s="21" t="n"/>
      <c r="M1750" s="8" t="inlineStr"/>
      <c r="N1750" s="8" t="inlineStr">
        <is>
          <t>Бухгалтер + менеджер субагента</t>
        </is>
      </c>
      <c r="O1750" s="8" t="inlineStr">
        <is>
          <t>g.omurbekova</t>
        </is>
      </c>
      <c r="P175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0" s="8" t="inlineStr"/>
    </row>
    <row r="1751">
      <c r="A1751" s="8" t="inlineStr">
        <is>
          <t>G07565</t>
        </is>
      </c>
      <c r="B1751" s="8" t="inlineStr">
        <is>
          <t>Жолчу кызы А.</t>
        </is>
      </c>
      <c r="C1751" s="8" t="inlineStr">
        <is>
          <t>2552670911|2552670914|2552670917</t>
        </is>
      </c>
      <c r="D1751" s="8" t="inlineStr">
        <is>
          <t>Продажа только в реестре</t>
        </is>
      </c>
      <c r="E1751" s="8" t="inlineStr">
        <is>
          <t>Нужна проверка</t>
        </is>
      </c>
      <c r="F1751" s="8" t="inlineStr">
        <is>
          <t>C</t>
        </is>
      </c>
      <c r="G1751" s="14" t="n">
        <v>0</v>
      </c>
      <c r="H1751" s="14" t="n">
        <v>0</v>
      </c>
      <c r="I1751" s="14" t="n">
        <v>86222.91750000001</v>
      </c>
      <c r="J1751" s="14" t="n">
        <v>0</v>
      </c>
      <c r="K1751" s="21" t="n"/>
      <c r="L1751" s="21" t="n"/>
      <c r="M1751" s="8" t="inlineStr"/>
      <c r="N1751" s="8" t="inlineStr">
        <is>
          <t>Бухгалтер + менеджер субагента</t>
        </is>
      </c>
      <c r="O1751" s="8" t="inlineStr">
        <is>
          <t>e.satarov</t>
        </is>
      </c>
      <c r="P175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1" s="8" t="inlineStr"/>
    </row>
    <row r="1752">
      <c r="A1752" s="8" t="inlineStr">
        <is>
          <t>G07758</t>
        </is>
      </c>
      <c r="B1752" s="8" t="inlineStr">
        <is>
          <t>ИП Абдыраманова Ж. Д.</t>
        </is>
      </c>
      <c r="C1752" s="8" t="inlineStr">
        <is>
          <t>2420845449</t>
        </is>
      </c>
      <c r="D1752" s="8" t="inlineStr">
        <is>
          <t>Продажа только в реестре</t>
        </is>
      </c>
      <c r="E1752" s="8" t="inlineStr">
        <is>
          <t>Нужна проверка</t>
        </is>
      </c>
      <c r="F1752" s="8" t="inlineStr">
        <is>
          <t>C</t>
        </is>
      </c>
      <c r="G1752" s="14" t="n">
        <v>0</v>
      </c>
      <c r="H1752" s="14" t="n">
        <v>0</v>
      </c>
      <c r="I1752" s="14" t="n">
        <v>16260.5015</v>
      </c>
      <c r="J1752" s="14" t="n">
        <v>0</v>
      </c>
      <c r="K1752" s="21" t="n"/>
      <c r="L1752" s="21" t="n"/>
      <c r="M1752" s="8" t="inlineStr"/>
      <c r="N1752" s="8" t="inlineStr">
        <is>
          <t>Бухгалтер + менеджер субагента</t>
        </is>
      </c>
      <c r="O1752" s="8" t="inlineStr">
        <is>
          <t>e.satarov</t>
        </is>
      </c>
      <c r="P175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2" s="8" t="inlineStr"/>
    </row>
    <row r="1753">
      <c r="A1753" s="8" t="inlineStr">
        <is>
          <t>G07976</t>
        </is>
      </c>
      <c r="B1753" s="8" t="inlineStr">
        <is>
          <t>ИП Бейшенова Д. О.</t>
        </is>
      </c>
      <c r="C1753" s="8" t="inlineStr">
        <is>
          <t>2461886304</t>
        </is>
      </c>
      <c r="D1753" s="8" t="inlineStr">
        <is>
          <t>Продажа только в реестре</t>
        </is>
      </c>
      <c r="E1753" s="8" t="inlineStr">
        <is>
          <t>Нужна проверка</t>
        </is>
      </c>
      <c r="F1753" s="8" t="inlineStr">
        <is>
          <t>C</t>
        </is>
      </c>
      <c r="G1753" s="14" t="n">
        <v>0</v>
      </c>
      <c r="H1753" s="14" t="n">
        <v>0</v>
      </c>
      <c r="I1753" s="14" t="n">
        <v>19025</v>
      </c>
      <c r="J1753" s="14" t="n">
        <v>0</v>
      </c>
      <c r="K1753" s="21" t="n"/>
      <c r="L1753" s="21" t="n"/>
      <c r="M1753" s="8" t="inlineStr"/>
      <c r="N1753" s="8" t="inlineStr">
        <is>
          <t>Бухгалтер + менеджер субагента</t>
        </is>
      </c>
      <c r="O1753" s="8" t="inlineStr">
        <is>
          <t>a.toktosunova</t>
        </is>
      </c>
      <c r="P175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3" s="8" t="inlineStr"/>
    </row>
    <row r="1754">
      <c r="A1754" s="8" t="inlineStr">
        <is>
          <t>G07983</t>
        </is>
      </c>
      <c r="B1754" s="8" t="inlineStr">
        <is>
          <t>ИП Бейшенова Д. О.</t>
        </is>
      </c>
      <c r="C1754" s="8" t="inlineStr">
        <is>
          <t>2476315163|2476315165|2476315167</t>
        </is>
      </c>
      <c r="D1754" s="8" t="inlineStr">
        <is>
          <t>Продажа только в реестре</t>
        </is>
      </c>
      <c r="E1754" s="8" t="inlineStr">
        <is>
          <t>Нужна проверка</t>
        </is>
      </c>
      <c r="F1754" s="8" t="inlineStr">
        <is>
          <t>C</t>
        </is>
      </c>
      <c r="G1754" s="14" t="n">
        <v>0</v>
      </c>
      <c r="H1754" s="14" t="n">
        <v>0</v>
      </c>
      <c r="I1754" s="14" t="n">
        <v>56152.05</v>
      </c>
      <c r="J1754" s="14" t="n">
        <v>0</v>
      </c>
      <c r="K1754" s="21" t="n"/>
      <c r="L1754" s="21" t="n"/>
      <c r="M1754" s="8" t="inlineStr"/>
      <c r="N1754" s="8" t="inlineStr">
        <is>
          <t>Бухгалтер + менеджер субагента</t>
        </is>
      </c>
      <c r="O1754" s="8" t="inlineStr">
        <is>
          <t>g.omurbekova</t>
        </is>
      </c>
      <c r="P175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4" s="8" t="inlineStr"/>
    </row>
    <row r="1755">
      <c r="A1755" s="8" t="inlineStr">
        <is>
          <t>G08092</t>
        </is>
      </c>
      <c r="B1755" s="8" t="inlineStr">
        <is>
          <t>ИП Джолдошов Д. У.</t>
        </is>
      </c>
      <c r="C1755" s="8" t="inlineStr">
        <is>
          <t>2460735269|2460735270</t>
        </is>
      </c>
      <c r="D1755" s="8" t="inlineStr">
        <is>
          <t>Продажа только в реестре</t>
        </is>
      </c>
      <c r="E1755" s="8" t="inlineStr">
        <is>
          <t>Нужна проверка</t>
        </is>
      </c>
      <c r="F1755" s="8" t="inlineStr">
        <is>
          <t>C</t>
        </is>
      </c>
      <c r="G1755" s="14" t="n">
        <v>0</v>
      </c>
      <c r="H1755" s="14" t="n">
        <v>0</v>
      </c>
      <c r="I1755" s="14" t="n">
        <v>52224</v>
      </c>
      <c r="J1755" s="14" t="n">
        <v>0</v>
      </c>
      <c r="K1755" s="21" t="n"/>
      <c r="L1755" s="21" t="n"/>
      <c r="M1755" s="8" t="inlineStr"/>
      <c r="N1755" s="8" t="inlineStr">
        <is>
          <t>Бухгалтер + менеджер субагента</t>
        </is>
      </c>
      <c r="O1755" s="8" t="inlineStr">
        <is>
          <t>g.omurbekova</t>
        </is>
      </c>
      <c r="P175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5" s="8" t="inlineStr"/>
    </row>
    <row r="1756">
      <c r="A1756" s="8" t="inlineStr">
        <is>
          <t>G08093</t>
        </is>
      </c>
      <c r="B1756" s="8" t="inlineStr">
        <is>
          <t>ИП Джолдошов Д. У.</t>
        </is>
      </c>
      <c r="C1756" s="8" t="inlineStr">
        <is>
          <t>2460736899</t>
        </is>
      </c>
      <c r="D1756" s="8" t="inlineStr">
        <is>
          <t>Продажа только в реестре</t>
        </is>
      </c>
      <c r="E1756" s="8" t="inlineStr">
        <is>
          <t>Нужна проверка</t>
        </is>
      </c>
      <c r="F1756" s="8" t="inlineStr">
        <is>
          <t>C</t>
        </is>
      </c>
      <c r="G1756" s="14" t="n">
        <v>0</v>
      </c>
      <c r="H1756" s="14" t="n">
        <v>0</v>
      </c>
      <c r="I1756" s="14" t="n">
        <v>31665</v>
      </c>
      <c r="J1756" s="14" t="n">
        <v>0</v>
      </c>
      <c r="K1756" s="21" t="n"/>
      <c r="L1756" s="21" t="n"/>
      <c r="M1756" s="8" t="inlineStr"/>
      <c r="N1756" s="8" t="inlineStr">
        <is>
          <t>Бухгалтер + менеджер субагента</t>
        </is>
      </c>
      <c r="O1756" s="8" t="inlineStr">
        <is>
          <t>a.toktosunova</t>
        </is>
      </c>
      <c r="P175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6" s="8" t="inlineStr"/>
    </row>
    <row r="1757">
      <c r="A1757" s="8" t="inlineStr">
        <is>
          <t>G08244</t>
        </is>
      </c>
      <c r="B1757" s="8" t="inlineStr">
        <is>
          <t>ИП Мамбетова Ч. Э.</t>
        </is>
      </c>
      <c r="C1757" s="8" t="inlineStr">
        <is>
          <t>2420843822</t>
        </is>
      </c>
      <c r="D1757" s="8" t="inlineStr">
        <is>
          <t>Продажа только в реестре</t>
        </is>
      </c>
      <c r="E1757" s="8" t="inlineStr">
        <is>
          <t>Нужна проверка</t>
        </is>
      </c>
      <c r="F1757" s="8" t="inlineStr">
        <is>
          <t>C</t>
        </is>
      </c>
      <c r="G1757" s="14" t="n">
        <v>0</v>
      </c>
      <c r="H1757" s="14" t="n">
        <v>0</v>
      </c>
      <c r="I1757" s="14" t="n">
        <v>16016.2506</v>
      </c>
      <c r="J1757" s="14" t="n">
        <v>0</v>
      </c>
      <c r="K1757" s="21" t="n"/>
      <c r="L1757" s="21" t="n"/>
      <c r="M1757" s="8" t="inlineStr"/>
      <c r="N1757" s="8" t="inlineStr">
        <is>
          <t>Бухгалтер + менеджер субагента</t>
        </is>
      </c>
      <c r="O1757" s="8" t="inlineStr">
        <is>
          <t>a.toktosunova</t>
        </is>
      </c>
      <c r="P175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7" s="8" t="inlineStr"/>
    </row>
    <row r="1758">
      <c r="A1758" s="8" t="inlineStr">
        <is>
          <t>G08273</t>
        </is>
      </c>
      <c r="B1758" s="8" t="inlineStr">
        <is>
          <t>ИП Мамбетова Ч. Э.</t>
        </is>
      </c>
      <c r="C1758" s="8" t="inlineStr">
        <is>
          <t>2460737485</t>
        </is>
      </c>
      <c r="D1758" s="8" t="inlineStr">
        <is>
          <t>Продажа только в реестре</t>
        </is>
      </c>
      <c r="E1758" s="8" t="inlineStr">
        <is>
          <t>Нужна проверка</t>
        </is>
      </c>
      <c r="F1758" s="8" t="inlineStr">
        <is>
          <t>C</t>
        </is>
      </c>
      <c r="G1758" s="14" t="n">
        <v>0</v>
      </c>
      <c r="H1758" s="14" t="n">
        <v>0</v>
      </c>
      <c r="I1758" s="14" t="n">
        <v>15866</v>
      </c>
      <c r="J1758" s="14" t="n">
        <v>0</v>
      </c>
      <c r="K1758" s="21" t="n"/>
      <c r="L1758" s="21" t="n"/>
      <c r="M1758" s="8" t="inlineStr"/>
      <c r="N1758" s="8" t="inlineStr">
        <is>
          <t>Бухгалтер + менеджер субагента</t>
        </is>
      </c>
      <c r="O1758" s="8" t="inlineStr">
        <is>
          <t>a.toktosunova</t>
        </is>
      </c>
      <c r="P175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8" s="8" t="inlineStr"/>
    </row>
    <row r="1759">
      <c r="A1759" s="8" t="inlineStr">
        <is>
          <t>G08432</t>
        </is>
      </c>
      <c r="B1759" s="8" t="inlineStr">
        <is>
          <t>ИП Муратов Э. У.</t>
        </is>
      </c>
      <c r="C1759" s="8" t="inlineStr">
        <is>
          <t>2476314443|2476314445</t>
        </is>
      </c>
      <c r="D1759" s="8" t="inlineStr">
        <is>
          <t>Продажа только в реестре</t>
        </is>
      </c>
      <c r="E1759" s="8" t="inlineStr">
        <is>
          <t>Нужна проверка</t>
        </is>
      </c>
      <c r="F1759" s="8" t="inlineStr">
        <is>
          <t>C</t>
        </is>
      </c>
      <c r="G1759" s="14" t="n">
        <v>0</v>
      </c>
      <c r="H1759" s="14" t="n">
        <v>0</v>
      </c>
      <c r="I1759" s="14" t="n">
        <v>38970.52</v>
      </c>
      <c r="J1759" s="14" t="n">
        <v>0</v>
      </c>
      <c r="K1759" s="21" t="n"/>
      <c r="L1759" s="21" t="n"/>
      <c r="M1759" s="8" t="inlineStr"/>
      <c r="N1759" s="8" t="inlineStr">
        <is>
          <t>Бухгалтер + менеджер субагента</t>
        </is>
      </c>
      <c r="O1759" s="8" t="inlineStr">
        <is>
          <t>d.mambetova</t>
        </is>
      </c>
      <c r="P175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59" s="8" t="inlineStr"/>
    </row>
    <row r="1760">
      <c r="A1760" s="8" t="inlineStr">
        <is>
          <t>G08489</t>
        </is>
      </c>
      <c r="B1760" s="8" t="inlineStr">
        <is>
          <t>ИП Муратов Э. У.</t>
        </is>
      </c>
      <c r="C1760" s="8" t="inlineStr">
        <is>
          <t>2559103685|2559103687|2559103689</t>
        </is>
      </c>
      <c r="D1760" s="8" t="inlineStr">
        <is>
          <t>Продажа только в реестре</t>
        </is>
      </c>
      <c r="E1760" s="8" t="inlineStr">
        <is>
          <t>Нужна проверка</t>
        </is>
      </c>
      <c r="F1760" s="8" t="inlineStr">
        <is>
          <t>C</t>
        </is>
      </c>
      <c r="G1760" s="14" t="n">
        <v>0</v>
      </c>
      <c r="H1760" s="14" t="n">
        <v>0</v>
      </c>
      <c r="I1760" s="14" t="n">
        <v>68808.21000000001</v>
      </c>
      <c r="J1760" s="14" t="n">
        <v>0</v>
      </c>
      <c r="K1760" s="21" t="n"/>
      <c r="L1760" s="21" t="n"/>
      <c r="M1760" s="8" t="inlineStr"/>
      <c r="N1760" s="8" t="inlineStr">
        <is>
          <t>Бухгалтер + менеджер субагента</t>
        </is>
      </c>
      <c r="O1760" s="8" t="inlineStr">
        <is>
          <t>d.mambetova</t>
        </is>
      </c>
      <c r="P176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0" s="8" t="inlineStr"/>
    </row>
    <row r="1761">
      <c r="A1761" s="8" t="inlineStr">
        <is>
          <t>G08538</t>
        </is>
      </c>
      <c r="B1761" s="8" t="inlineStr">
        <is>
          <t>ИП Токтосун кызы Н.</t>
        </is>
      </c>
      <c r="C1761" s="8" t="inlineStr">
        <is>
          <t>2420848100|2420848101</t>
        </is>
      </c>
      <c r="D1761" s="8" t="inlineStr">
        <is>
          <t>Продажа только в реестре</t>
        </is>
      </c>
      <c r="E1761" s="8" t="inlineStr">
        <is>
          <t>Нужна проверка</t>
        </is>
      </c>
      <c r="F1761" s="8" t="inlineStr">
        <is>
          <t>C</t>
        </is>
      </c>
      <c r="G1761" s="14" t="n">
        <v>0</v>
      </c>
      <c r="H1761" s="14" t="n">
        <v>0</v>
      </c>
      <c r="I1761" s="14" t="n">
        <v>46133.9932</v>
      </c>
      <c r="J1761" s="14" t="n">
        <v>0</v>
      </c>
      <c r="K1761" s="21" t="n"/>
      <c r="L1761" s="21" t="n"/>
      <c r="M1761" s="8" t="inlineStr"/>
      <c r="N1761" s="8" t="inlineStr">
        <is>
          <t>Бухгалтер + менеджер субагента</t>
        </is>
      </c>
      <c r="O1761" s="8" t="inlineStr">
        <is>
          <t>r.sydykov</t>
        </is>
      </c>
      <c r="P176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1" s="8" t="inlineStr"/>
    </row>
    <row r="1762">
      <c r="A1762" s="8" t="inlineStr">
        <is>
          <t>G08705</t>
        </is>
      </c>
      <c r="B1762" s="8" t="inlineStr">
        <is>
          <t>ИП Токтосун кызы Н.</t>
        </is>
      </c>
      <c r="C1762" s="8" t="inlineStr">
        <is>
          <t>2559101188</t>
        </is>
      </c>
      <c r="D1762" s="8" t="inlineStr">
        <is>
          <t>Продажа только в реестре</t>
        </is>
      </c>
      <c r="E1762" s="8" t="inlineStr">
        <is>
          <t>Нужна проверка</t>
        </is>
      </c>
      <c r="F1762" s="8" t="inlineStr">
        <is>
          <t>C</t>
        </is>
      </c>
      <c r="G1762" s="14" t="n">
        <v>0</v>
      </c>
      <c r="H1762" s="14" t="n">
        <v>0</v>
      </c>
      <c r="I1762" s="14" t="n">
        <v>19802.28</v>
      </c>
      <c r="J1762" s="14" t="n">
        <v>0</v>
      </c>
      <c r="K1762" s="21" t="n"/>
      <c r="L1762" s="21" t="n"/>
      <c r="M1762" s="8" t="inlineStr"/>
      <c r="N1762" s="8" t="inlineStr">
        <is>
          <t>Бухгалтер + менеджер субагента</t>
        </is>
      </c>
      <c r="O1762" s="8" t="inlineStr">
        <is>
          <t>a.toktosunova</t>
        </is>
      </c>
      <c r="P176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2" s="8" t="inlineStr"/>
    </row>
    <row r="1763">
      <c r="A1763" s="8" t="inlineStr">
        <is>
          <t>G09253</t>
        </is>
      </c>
      <c r="B1763" s="8" t="inlineStr">
        <is>
          <t>ИССЫК ТРИП</t>
        </is>
      </c>
      <c r="C1763" s="8" t="inlineStr">
        <is>
          <t>2476319916</t>
        </is>
      </c>
      <c r="D1763" s="8" t="inlineStr">
        <is>
          <t>Продажа только в реестре</t>
        </is>
      </c>
      <c r="E1763" s="8" t="inlineStr">
        <is>
          <t>Нужна проверка</t>
        </is>
      </c>
      <c r="F1763" s="8" t="inlineStr">
        <is>
          <t>C</t>
        </is>
      </c>
      <c r="G1763" s="14" t="n">
        <v>0</v>
      </c>
      <c r="H1763" s="14" t="n">
        <v>0</v>
      </c>
      <c r="I1763" s="14" t="n"/>
      <c r="J1763" s="14" t="n">
        <v>0</v>
      </c>
      <c r="K1763" s="21" t="n"/>
      <c r="L1763" s="21" t="n"/>
      <c r="M1763" s="8" t="inlineStr"/>
      <c r="N1763" s="8" t="inlineStr">
        <is>
          <t>Бухгалтер + менеджер субагента</t>
        </is>
      </c>
      <c r="O1763" s="8" t="inlineStr">
        <is>
          <t>g.omurbekova</t>
        </is>
      </c>
      <c r="P176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3" s="8" t="inlineStr"/>
    </row>
    <row r="1764">
      <c r="A1764" s="8" t="inlineStr">
        <is>
          <t>G09329</t>
        </is>
      </c>
      <c r="B1764" s="8" t="inlineStr">
        <is>
          <t>ИССЫК ТРИП</t>
        </is>
      </c>
      <c r="C1764" s="8" t="inlineStr">
        <is>
          <t>2559098476</t>
        </is>
      </c>
      <c r="D1764" s="8" t="inlineStr">
        <is>
          <t>Продажа только в реестре</t>
        </is>
      </c>
      <c r="E1764" s="8" t="inlineStr">
        <is>
          <t>Нужна проверка</t>
        </is>
      </c>
      <c r="F1764" s="8" t="inlineStr">
        <is>
          <t>C</t>
        </is>
      </c>
      <c r="G1764" s="14" t="n">
        <v>0</v>
      </c>
      <c r="H1764" s="14" t="n">
        <v>0</v>
      </c>
      <c r="I1764" s="14" t="n">
        <v>41707.575</v>
      </c>
      <c r="J1764" s="14" t="n">
        <v>0</v>
      </c>
      <c r="K1764" s="21" t="n"/>
      <c r="L1764" s="21" t="n"/>
      <c r="M1764" s="8" t="inlineStr"/>
      <c r="N1764" s="8" t="inlineStr">
        <is>
          <t>Бухгалтер + менеджер субагента</t>
        </is>
      </c>
      <c r="O1764" s="8" t="inlineStr">
        <is>
          <t>d.mambetova</t>
        </is>
      </c>
      <c r="P176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4" s="8" t="inlineStr"/>
    </row>
    <row r="1765">
      <c r="A1765" s="8" t="inlineStr">
        <is>
          <t>G09331</t>
        </is>
      </c>
      <c r="B1765" s="8" t="inlineStr">
        <is>
          <t>ИССЫК ТРИП</t>
        </is>
      </c>
      <c r="C1765" s="8" t="inlineStr">
        <is>
          <t>2559098883</t>
        </is>
      </c>
      <c r="D1765" s="8" t="inlineStr">
        <is>
          <t>Продажа только в реестре</t>
        </is>
      </c>
      <c r="E1765" s="8" t="inlineStr">
        <is>
          <t>Нужна проверка</t>
        </is>
      </c>
      <c r="F1765" s="8" t="inlineStr">
        <is>
          <t>C</t>
        </is>
      </c>
      <c r="G1765" s="14" t="n">
        <v>0</v>
      </c>
      <c r="H1765" s="14" t="n">
        <v>0</v>
      </c>
      <c r="I1765" s="14" t="n">
        <v>23223.09</v>
      </c>
      <c r="J1765" s="14" t="n">
        <v>0</v>
      </c>
      <c r="K1765" s="21" t="n"/>
      <c r="L1765" s="21" t="n"/>
      <c r="M1765" s="8" t="inlineStr"/>
      <c r="N1765" s="8" t="inlineStr">
        <is>
          <t>Бухгалтер + менеджер субагента</t>
        </is>
      </c>
      <c r="O1765" s="8" t="inlineStr">
        <is>
          <t>a.toktosunova</t>
        </is>
      </c>
      <c r="P176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5" s="8" t="inlineStr"/>
    </row>
    <row r="1766">
      <c r="A1766" s="8" t="inlineStr">
        <is>
          <t>G09811</t>
        </is>
      </c>
      <c r="B1766" s="8" t="inlineStr">
        <is>
          <t>Кадырова Айнура Жумабекевна</t>
        </is>
      </c>
      <c r="C1766" s="8" t="inlineStr">
        <is>
          <t>2559101896|2559101897|2559101898</t>
        </is>
      </c>
      <c r="D1766" s="8" t="inlineStr">
        <is>
          <t>Продажа только в реестре</t>
        </is>
      </c>
      <c r="E1766" s="8" t="inlineStr">
        <is>
          <t>Нужна проверка</t>
        </is>
      </c>
      <c r="F1766" s="8" t="inlineStr">
        <is>
          <t>C</t>
        </is>
      </c>
      <c r="G1766" s="14" t="n">
        <v>0</v>
      </c>
      <c r="H1766" s="14" t="n">
        <v>0</v>
      </c>
      <c r="I1766" s="14" t="n">
        <v>118015.2</v>
      </c>
      <c r="J1766" s="14" t="n">
        <v>0</v>
      </c>
      <c r="K1766" s="21" t="n"/>
      <c r="L1766" s="21" t="n"/>
      <c r="M1766" s="8" t="inlineStr"/>
      <c r="N1766" s="8" t="inlineStr">
        <is>
          <t>Бухгалтер + менеджер субагента</t>
        </is>
      </c>
      <c r="O1766" s="8" t="inlineStr">
        <is>
          <t>a.toktosunova</t>
        </is>
      </c>
      <c r="P176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6" s="8" t="inlineStr"/>
    </row>
    <row r="1767">
      <c r="A1767" s="8" t="inlineStr">
        <is>
          <t>G10152</t>
        </is>
      </c>
      <c r="B1767" s="8" t="inlineStr">
        <is>
          <t>Манас Вояж</t>
        </is>
      </c>
      <c r="C1767" s="8" t="inlineStr">
        <is>
          <t>2552668698</t>
        </is>
      </c>
      <c r="D1767" s="8" t="inlineStr">
        <is>
          <t>Продажа только в реестре</t>
        </is>
      </c>
      <c r="E1767" s="8" t="inlineStr">
        <is>
          <t>Нужна проверка</t>
        </is>
      </c>
      <c r="F1767" s="8" t="inlineStr">
        <is>
          <t>C</t>
        </is>
      </c>
      <c r="G1767" s="14" t="n">
        <v>0</v>
      </c>
      <c r="H1767" s="14" t="n">
        <v>0</v>
      </c>
      <c r="I1767" s="14" t="n">
        <v>22997.58</v>
      </c>
      <c r="J1767" s="14" t="n">
        <v>0</v>
      </c>
      <c r="K1767" s="21" t="n"/>
      <c r="L1767" s="21" t="n"/>
      <c r="M1767" s="8" t="inlineStr"/>
      <c r="N1767" s="8" t="inlineStr">
        <is>
          <t>Бухгалтер + менеджер субагента</t>
        </is>
      </c>
      <c r="O1767" s="8" t="inlineStr">
        <is>
          <t>k.dzhumaev</t>
        </is>
      </c>
      <c r="P176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7" s="8" t="inlineStr"/>
    </row>
    <row r="1768">
      <c r="A1768" s="8" t="inlineStr">
        <is>
          <t>G10344</t>
        </is>
      </c>
      <c r="B1768" s="8" t="inlineStr">
        <is>
          <t>Манас Тревел</t>
        </is>
      </c>
      <c r="C1768" s="8" t="inlineStr">
        <is>
          <t>2461881916|2461881919</t>
        </is>
      </c>
      <c r="D1768" s="8" t="inlineStr">
        <is>
          <t>Продажа только в реестре</t>
        </is>
      </c>
      <c r="E1768" s="8" t="inlineStr">
        <is>
          <t>Нужна проверка</t>
        </is>
      </c>
      <c r="F1768" s="8" t="inlineStr">
        <is>
          <t>C</t>
        </is>
      </c>
      <c r="G1768" s="14" t="n">
        <v>0</v>
      </c>
      <c r="H1768" s="14" t="n">
        <v>0</v>
      </c>
      <c r="I1768" s="14" t="n">
        <v>87908</v>
      </c>
      <c r="J1768" s="14" t="n">
        <v>0</v>
      </c>
      <c r="K1768" s="21" t="n"/>
      <c r="L1768" s="21" t="n"/>
      <c r="M1768" s="8" t="inlineStr"/>
      <c r="N1768" s="8" t="inlineStr">
        <is>
          <t>Бухгалтер + менеджер субагента</t>
        </is>
      </c>
      <c r="O1768" s="8" t="inlineStr">
        <is>
          <t>a.toktosunova</t>
        </is>
      </c>
      <c r="P176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8" s="8" t="inlineStr"/>
    </row>
    <row r="1769">
      <c r="A1769" s="8" t="inlineStr">
        <is>
          <t>G10357</t>
        </is>
      </c>
      <c r="B1769" s="8" t="inlineStr">
        <is>
          <t>Манас Тревел</t>
        </is>
      </c>
      <c r="C1769" s="8" t="inlineStr">
        <is>
          <t>2461883316|2461883319</t>
        </is>
      </c>
      <c r="D1769" s="8" t="inlineStr">
        <is>
          <t>Продажа только в реестре</t>
        </is>
      </c>
      <c r="E1769" s="8" t="inlineStr">
        <is>
          <t>Нужна проверка</t>
        </is>
      </c>
      <c r="F1769" s="8" t="inlineStr">
        <is>
          <t>C</t>
        </is>
      </c>
      <c r="G1769" s="14" t="n">
        <v>0</v>
      </c>
      <c r="H1769" s="14" t="n">
        <v>0</v>
      </c>
      <c r="I1769" s="14" t="n">
        <v>21844</v>
      </c>
      <c r="J1769" s="14" t="n">
        <v>0</v>
      </c>
      <c r="K1769" s="21" t="n"/>
      <c r="L1769" s="21" t="n"/>
      <c r="M1769" s="8" t="inlineStr"/>
      <c r="N1769" s="8" t="inlineStr">
        <is>
          <t>Бухгалтер + менеджер субагента</t>
        </is>
      </c>
      <c r="O1769" s="8" t="inlineStr">
        <is>
          <t>g.omurbekova</t>
        </is>
      </c>
      <c r="P176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69" s="8" t="inlineStr"/>
    </row>
    <row r="1770">
      <c r="A1770" s="8" t="inlineStr">
        <is>
          <t>G10763</t>
        </is>
      </c>
      <c r="B1770" s="8" t="inlineStr">
        <is>
          <t>Небо Авиа</t>
        </is>
      </c>
      <c r="C1770" s="8" t="inlineStr">
        <is>
          <t>2476317543</t>
        </is>
      </c>
      <c r="D1770" s="8" t="inlineStr">
        <is>
          <t>Продажа только в реестре</t>
        </is>
      </c>
      <c r="E1770" s="8" t="inlineStr">
        <is>
          <t>Нужна проверка</t>
        </is>
      </c>
      <c r="F1770" s="8" t="inlineStr">
        <is>
          <t>C</t>
        </is>
      </c>
      <c r="G1770" s="14" t="n">
        <v>0</v>
      </c>
      <c r="H1770" s="14" t="n">
        <v>0</v>
      </c>
      <c r="I1770" s="14" t="n">
        <v>18490.82</v>
      </c>
      <c r="J1770" s="14" t="n">
        <v>0</v>
      </c>
      <c r="K1770" s="21" t="n"/>
      <c r="L1770" s="21" t="n"/>
      <c r="M1770" s="8" t="inlineStr"/>
      <c r="N1770" s="8" t="inlineStr">
        <is>
          <t>Бухгалтер + менеджер субагента</t>
        </is>
      </c>
      <c r="O1770" s="8" t="inlineStr">
        <is>
          <t>d.mambetova</t>
        </is>
      </c>
      <c r="P177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0" s="8" t="inlineStr"/>
    </row>
    <row r="1771">
      <c r="A1771" s="8" t="inlineStr">
        <is>
          <t>G11254</t>
        </is>
      </c>
      <c r="B1771" s="8" t="inlineStr">
        <is>
          <t>ОсОО Алтын Эйр</t>
        </is>
      </c>
      <c r="C1771" s="8" t="inlineStr">
        <is>
          <t>2476315649</t>
        </is>
      </c>
      <c r="D1771" s="8" t="inlineStr">
        <is>
          <t>Продажа только в реестре</t>
        </is>
      </c>
      <c r="E1771" s="8" t="inlineStr">
        <is>
          <t>Нужна проверка</t>
        </is>
      </c>
      <c r="F1771" s="8" t="inlineStr">
        <is>
          <t>C</t>
        </is>
      </c>
      <c r="G1771" s="14" t="n">
        <v>0</v>
      </c>
      <c r="H1771" s="14" t="n">
        <v>0</v>
      </c>
      <c r="I1771" s="14" t="n">
        <v>26732.95</v>
      </c>
      <c r="J1771" s="14" t="n">
        <v>0</v>
      </c>
      <c r="K1771" s="21" t="n"/>
      <c r="L1771" s="21" t="n"/>
      <c r="M1771" s="8" t="inlineStr"/>
      <c r="N1771" s="8" t="inlineStr">
        <is>
          <t>Бухгалтер + менеджер субагента</t>
        </is>
      </c>
      <c r="O1771" s="8" t="inlineStr">
        <is>
          <t>e.satarov</t>
        </is>
      </c>
      <c r="P177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1" s="8" t="inlineStr"/>
    </row>
    <row r="1772">
      <c r="A1772" s="8" t="inlineStr">
        <is>
          <t>G11304</t>
        </is>
      </c>
      <c r="B1772" s="8" t="inlineStr">
        <is>
          <t>ОсОО Алтын Эйр</t>
        </is>
      </c>
      <c r="C1772" s="8" t="inlineStr">
        <is>
          <t>2559103125</t>
        </is>
      </c>
      <c r="D1772" s="8" t="inlineStr">
        <is>
          <t>Продажа только в реестре</t>
        </is>
      </c>
      <c r="E1772" s="8" t="inlineStr">
        <is>
          <t>Нужна проверка</t>
        </is>
      </c>
      <c r="F1772" s="8" t="inlineStr">
        <is>
          <t>C</t>
        </is>
      </c>
      <c r="G1772" s="14" t="n">
        <v>0</v>
      </c>
      <c r="H1772" s="14" t="n">
        <v>0</v>
      </c>
      <c r="I1772" s="14" t="n">
        <v>21141.575</v>
      </c>
      <c r="J1772" s="14" t="n">
        <v>0</v>
      </c>
      <c r="K1772" s="21" t="n"/>
      <c r="L1772" s="21" t="n"/>
      <c r="M1772" s="8" t="inlineStr"/>
      <c r="N1772" s="8" t="inlineStr">
        <is>
          <t>Бухгалтер + менеджер субагента</t>
        </is>
      </c>
      <c r="O1772" s="8" t="inlineStr">
        <is>
          <t>k.dzhumaev</t>
        </is>
      </c>
      <c r="P177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2" s="8" t="inlineStr"/>
    </row>
    <row r="1773">
      <c r="A1773" s="8" t="inlineStr">
        <is>
          <t>G11670</t>
        </is>
      </c>
      <c r="B1773" s="8" t="inlineStr">
        <is>
          <t>ОсОО Кок-Жайык Вояж</t>
        </is>
      </c>
      <c r="C1773" s="8" t="inlineStr">
        <is>
          <t>2460737496|2460737499</t>
        </is>
      </c>
      <c r="D1773" s="8" t="inlineStr">
        <is>
          <t>Продажа только в реестре</t>
        </is>
      </c>
      <c r="E1773" s="8" t="inlineStr">
        <is>
          <t>Нужна проверка</t>
        </is>
      </c>
      <c r="F1773" s="8" t="inlineStr">
        <is>
          <t>C</t>
        </is>
      </c>
      <c r="G1773" s="14" t="n">
        <v>0</v>
      </c>
      <c r="H1773" s="14" t="n">
        <v>0</v>
      </c>
      <c r="I1773" s="14" t="n">
        <v>50760</v>
      </c>
      <c r="J1773" s="14" t="n">
        <v>0</v>
      </c>
      <c r="K1773" s="21" t="n"/>
      <c r="L1773" s="21" t="n"/>
      <c r="M1773" s="8" t="inlineStr"/>
      <c r="N1773" s="8" t="inlineStr">
        <is>
          <t>Бухгалтер + менеджер субагента</t>
        </is>
      </c>
      <c r="O1773" s="8" t="inlineStr">
        <is>
          <t>g.omurbekova</t>
        </is>
      </c>
      <c r="P177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3" s="8" t="inlineStr"/>
    </row>
    <row r="1774">
      <c r="A1774" s="8" t="inlineStr">
        <is>
          <t>G11985</t>
        </is>
      </c>
      <c r="B1774" s="8" t="inlineStr">
        <is>
          <t>ОсОО Чолпон Авиакасса</t>
        </is>
      </c>
      <c r="C1774" s="8" t="inlineStr">
        <is>
          <t>2420846166</t>
        </is>
      </c>
      <c r="D1774" s="8" t="inlineStr">
        <is>
          <t>Продажа только в реестре</t>
        </is>
      </c>
      <c r="E1774" s="8" t="inlineStr">
        <is>
          <t>Нужна проверка</t>
        </is>
      </c>
      <c r="F1774" s="8" t="inlineStr">
        <is>
          <t>C</t>
        </is>
      </c>
      <c r="G1774" s="14" t="n">
        <v>0</v>
      </c>
      <c r="H1774" s="14" t="n">
        <v>0</v>
      </c>
      <c r="I1774" s="14" t="n">
        <v>16519.9615</v>
      </c>
      <c r="J1774" s="14" t="n">
        <v>0</v>
      </c>
      <c r="K1774" s="21" t="n"/>
      <c r="L1774" s="21" t="n"/>
      <c r="M1774" s="8" t="inlineStr"/>
      <c r="N1774" s="8" t="inlineStr">
        <is>
          <t>Бухгалтер + менеджер субагента</t>
        </is>
      </c>
      <c r="O1774" s="8" t="inlineStr">
        <is>
          <t>r.sydykov</t>
        </is>
      </c>
      <c r="P177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4" s="8" t="inlineStr"/>
    </row>
    <row r="1775">
      <c r="A1775" s="8" t="inlineStr">
        <is>
          <t>G12025</t>
        </is>
      </c>
      <c r="B1775" s="8" t="inlineStr">
        <is>
          <t>ОсОО Чолпон Авиакасса</t>
        </is>
      </c>
      <c r="C1775" s="8" t="inlineStr">
        <is>
          <t>2460735945|2460735947|2460735948|2460735951</t>
        </is>
      </c>
      <c r="D1775" s="8" t="inlineStr">
        <is>
          <t>Продажа только в реестре</t>
        </is>
      </c>
      <c r="E1775" s="8" t="inlineStr">
        <is>
          <t>Нужна проверка</t>
        </is>
      </c>
      <c r="F1775" s="8" t="inlineStr">
        <is>
          <t>C</t>
        </is>
      </c>
      <c r="G1775" s="14" t="n">
        <v>0</v>
      </c>
      <c r="H1775" s="14" t="n">
        <v>0</v>
      </c>
      <c r="I1775" s="14" t="n">
        <v>54604</v>
      </c>
      <c r="J1775" s="14" t="n">
        <v>0</v>
      </c>
      <c r="K1775" s="21" t="n"/>
      <c r="L1775" s="21" t="n"/>
      <c r="M1775" s="8" t="inlineStr"/>
      <c r="N1775" s="8" t="inlineStr">
        <is>
          <t>Бухгалтер + менеджер субагента</t>
        </is>
      </c>
      <c r="O1775" s="8" t="inlineStr">
        <is>
          <t>e.satarov</t>
        </is>
      </c>
      <c r="P177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5" s="8" t="inlineStr"/>
    </row>
    <row r="1776">
      <c r="A1776" s="8" t="inlineStr">
        <is>
          <t>G12095</t>
        </is>
      </c>
      <c r="B1776" s="8" t="inlineStr">
        <is>
          <t>ОсОО Чолпон Авиакасса</t>
        </is>
      </c>
      <c r="C1776" s="8" t="inlineStr">
        <is>
          <t>2559101934</t>
        </is>
      </c>
      <c r="D1776" s="8" t="inlineStr">
        <is>
          <t>Продажа только в реестре</t>
        </is>
      </c>
      <c r="E1776" s="8" t="inlineStr">
        <is>
          <t>Нужна проверка</t>
        </is>
      </c>
      <c r="F1776" s="8" t="inlineStr">
        <is>
          <t>C</t>
        </is>
      </c>
      <c r="G1776" s="14" t="n">
        <v>0</v>
      </c>
      <c r="H1776" s="14" t="n">
        <v>0</v>
      </c>
      <c r="I1776" s="14" t="n">
        <v>60129.25</v>
      </c>
      <c r="J1776" s="14" t="n">
        <v>0</v>
      </c>
      <c r="K1776" s="21" t="n"/>
      <c r="L1776" s="21" t="n"/>
      <c r="M1776" s="8" t="inlineStr"/>
      <c r="N1776" s="8" t="inlineStr">
        <is>
          <t>Бухгалтер + менеджер субагента</t>
        </is>
      </c>
      <c r="O1776" s="8" t="inlineStr">
        <is>
          <t>k.dzhumaev</t>
        </is>
      </c>
      <c r="P177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6" s="8" t="inlineStr"/>
    </row>
    <row r="1777">
      <c r="A1777" s="8" t="inlineStr">
        <is>
          <t>G12136</t>
        </is>
      </c>
      <c r="B1777" s="8" t="inlineStr">
        <is>
          <t>Осмонова А. Н.</t>
        </is>
      </c>
      <c r="C1777" s="8" t="inlineStr">
        <is>
          <t>2460735853</t>
        </is>
      </c>
      <c r="D1777" s="8" t="inlineStr">
        <is>
          <t>Продажа только в реестре</t>
        </is>
      </c>
      <c r="E1777" s="8" t="inlineStr">
        <is>
          <t>Нужна проверка</t>
        </is>
      </c>
      <c r="F1777" s="8" t="inlineStr">
        <is>
          <t>C</t>
        </is>
      </c>
      <c r="G1777" s="14" t="n">
        <v>0</v>
      </c>
      <c r="H1777" s="14" t="n">
        <v>0</v>
      </c>
      <c r="I1777" s="14" t="n">
        <v>43405</v>
      </c>
      <c r="J1777" s="14" t="n">
        <v>0</v>
      </c>
      <c r="K1777" s="21" t="n"/>
      <c r="L1777" s="21" t="n"/>
      <c r="M1777" s="8" t="inlineStr"/>
      <c r="N1777" s="8" t="inlineStr">
        <is>
          <t>Бухгалтер + менеджер субагента</t>
        </is>
      </c>
      <c r="O1777" s="8" t="inlineStr">
        <is>
          <t>k.dzhumaev</t>
        </is>
      </c>
      <c r="P177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7" s="8" t="inlineStr"/>
    </row>
    <row r="1778">
      <c r="A1778" s="8" t="inlineStr">
        <is>
          <t>G12446</t>
        </is>
      </c>
      <c r="B1778" s="8" t="inlineStr">
        <is>
          <t>СОН-КУЛЬ ТУР</t>
        </is>
      </c>
      <c r="C1778" s="8" t="inlineStr">
        <is>
          <t>2459527789|2459527790|2459527792|2459527794</t>
        </is>
      </c>
      <c r="D1778" s="8" t="inlineStr">
        <is>
          <t>Продажа только в реестре</t>
        </is>
      </c>
      <c r="E1778" s="8" t="inlineStr">
        <is>
          <t>Нужна проверка</t>
        </is>
      </c>
      <c r="F1778" s="8" t="inlineStr">
        <is>
          <t>C</t>
        </is>
      </c>
      <c r="G1778" s="14" t="n">
        <v>0</v>
      </c>
      <c r="H1778" s="14" t="n">
        <v>0</v>
      </c>
      <c r="I1778" s="14" t="n">
        <v>50580</v>
      </c>
      <c r="J1778" s="14" t="n">
        <v>0</v>
      </c>
      <c r="K1778" s="21" t="n"/>
      <c r="L1778" s="21" t="n"/>
      <c r="M1778" s="8" t="inlineStr"/>
      <c r="N1778" s="8" t="inlineStr">
        <is>
          <t>Бухгалтер + менеджер субагента</t>
        </is>
      </c>
      <c r="O1778" s="8" t="inlineStr">
        <is>
          <t>r.sydykov</t>
        </is>
      </c>
      <c r="P177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8" s="8" t="inlineStr"/>
    </row>
    <row r="1779">
      <c r="A1779" s="8" t="inlineStr">
        <is>
          <t>G12648</t>
        </is>
      </c>
      <c r="B1779" s="8" t="inlineStr">
        <is>
          <t>Салам Авиакасса</t>
        </is>
      </c>
      <c r="C1779" s="8" t="inlineStr">
        <is>
          <t>2461880854|2461880855</t>
        </is>
      </c>
      <c r="D1779" s="8" t="inlineStr">
        <is>
          <t>Продажа только в реестре</t>
        </is>
      </c>
      <c r="E1779" s="8" t="inlineStr">
        <is>
          <t>Нужна проверка</t>
        </is>
      </c>
      <c r="F1779" s="8" t="inlineStr">
        <is>
          <t>C</t>
        </is>
      </c>
      <c r="G1779" s="14" t="n">
        <v>0</v>
      </c>
      <c r="H1779" s="14" t="n">
        <v>0</v>
      </c>
      <c r="I1779" s="14" t="n">
        <v>64372</v>
      </c>
      <c r="J1779" s="14" t="n">
        <v>0</v>
      </c>
      <c r="K1779" s="21" t="n"/>
      <c r="L1779" s="21" t="n"/>
      <c r="M1779" s="8" t="inlineStr"/>
      <c r="N1779" s="8" t="inlineStr">
        <is>
          <t>Бухгалтер + менеджер субагента</t>
        </is>
      </c>
      <c r="O1779" s="8" t="inlineStr">
        <is>
          <t>a.toktosunova</t>
        </is>
      </c>
      <c r="P177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79" s="8" t="inlineStr"/>
    </row>
    <row r="1780">
      <c r="A1780" s="8" t="inlineStr">
        <is>
          <t>G12798</t>
        </is>
      </c>
      <c r="B1780" s="8" t="inlineStr">
        <is>
          <t>Салам Экспресс</t>
        </is>
      </c>
      <c r="C1780" s="8" t="inlineStr">
        <is>
          <t>2461885063</t>
        </is>
      </c>
      <c r="D1780" s="8" t="inlineStr">
        <is>
          <t>Продажа только в реестре</t>
        </is>
      </c>
      <c r="E1780" s="8" t="inlineStr">
        <is>
          <t>Нужна проверка</t>
        </is>
      </c>
      <c r="F1780" s="8" t="inlineStr">
        <is>
          <t>C</t>
        </is>
      </c>
      <c r="G1780" s="14" t="n">
        <v>0</v>
      </c>
      <c r="H1780" s="14" t="n">
        <v>0</v>
      </c>
      <c r="I1780" s="14" t="n">
        <v>10607</v>
      </c>
      <c r="J1780" s="14" t="n">
        <v>0</v>
      </c>
      <c r="K1780" s="21" t="n"/>
      <c r="L1780" s="21" t="n"/>
      <c r="M1780" s="8" t="inlineStr"/>
      <c r="N1780" s="8" t="inlineStr">
        <is>
          <t>Бухгалтер + менеджер субагента</t>
        </is>
      </c>
      <c r="O1780" s="8" t="inlineStr">
        <is>
          <t>b.isakov</t>
        </is>
      </c>
      <c r="P178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0" s="8" t="inlineStr"/>
    </row>
    <row r="1781">
      <c r="A1781" s="8" t="inlineStr">
        <is>
          <t>G13052</t>
        </is>
      </c>
      <c r="B1781" s="8" t="inlineStr">
        <is>
          <t>Сатар уулу Санжар</t>
        </is>
      </c>
      <c r="C1781" s="8" t="inlineStr">
        <is>
          <t>2459531589|2459531591|2459531594</t>
        </is>
      </c>
      <c r="D1781" s="8" t="inlineStr">
        <is>
          <t>Продажа только в реестре</t>
        </is>
      </c>
      <c r="E1781" s="8" t="inlineStr">
        <is>
          <t>Нужна проверка</t>
        </is>
      </c>
      <c r="F1781" s="8" t="inlineStr">
        <is>
          <t>C</t>
        </is>
      </c>
      <c r="G1781" s="14" t="n">
        <v>0</v>
      </c>
      <c r="H1781" s="14" t="n">
        <v>0</v>
      </c>
      <c r="I1781" s="14" t="n">
        <v>59553</v>
      </c>
      <c r="J1781" s="14" t="n">
        <v>0</v>
      </c>
      <c r="K1781" s="21" t="n"/>
      <c r="L1781" s="21" t="n"/>
      <c r="M1781" s="8" t="inlineStr"/>
      <c r="N1781" s="8" t="inlineStr">
        <is>
          <t>Бухгалтер + менеджер субагента</t>
        </is>
      </c>
      <c r="O1781" s="8" t="inlineStr">
        <is>
          <t>n.abdyldaeva</t>
        </is>
      </c>
      <c r="P178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1" s="8" t="inlineStr"/>
    </row>
    <row r="1782">
      <c r="A1782" s="8" t="inlineStr">
        <is>
          <t>G13130</t>
        </is>
      </c>
      <c r="B1782" s="8" t="inlineStr">
        <is>
          <t>Сатар уулу Санжар</t>
        </is>
      </c>
      <c r="C1782" s="8" t="inlineStr">
        <is>
          <t>2461881273</t>
        </is>
      </c>
      <c r="D1782" s="8" t="inlineStr">
        <is>
          <t>Продажа только в реестре</t>
        </is>
      </c>
      <c r="E1782" s="8" t="inlineStr">
        <is>
          <t>Нужна проверка</t>
        </is>
      </c>
      <c r="F1782" s="8" t="inlineStr">
        <is>
          <t>C</t>
        </is>
      </c>
      <c r="G1782" s="14" t="n">
        <v>0</v>
      </c>
      <c r="H1782" s="14" t="n">
        <v>0</v>
      </c>
      <c r="I1782" s="14" t="n">
        <v>10096</v>
      </c>
      <c r="J1782" s="14" t="n">
        <v>0</v>
      </c>
      <c r="K1782" s="21" t="n"/>
      <c r="L1782" s="21" t="n"/>
      <c r="M1782" s="8" t="inlineStr"/>
      <c r="N1782" s="8" t="inlineStr">
        <is>
          <t>Бухгалтер + менеджер субагента</t>
        </is>
      </c>
      <c r="O1782" s="8" t="inlineStr">
        <is>
          <t>a.toktosunova</t>
        </is>
      </c>
      <c r="P178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2" s="8" t="inlineStr"/>
    </row>
    <row r="1783">
      <c r="A1783" s="8" t="inlineStr">
        <is>
          <t>G13318</t>
        </is>
      </c>
      <c r="B1783" s="8" t="inlineStr">
        <is>
          <t>Сатар уулу Санжар</t>
        </is>
      </c>
      <c r="C1783" s="8" t="inlineStr">
        <is>
          <t>2559098442|2559098445|2559098447|2559098450</t>
        </is>
      </c>
      <c r="D1783" s="8" t="inlineStr">
        <is>
          <t>Продажа только в реестре</t>
        </is>
      </c>
      <c r="E1783" s="8" t="inlineStr">
        <is>
          <t>Нужна проверка</t>
        </is>
      </c>
      <c r="F1783" s="8" t="inlineStr">
        <is>
          <t>C</t>
        </is>
      </c>
      <c r="G1783" s="14" t="n">
        <v>0</v>
      </c>
      <c r="H1783" s="14" t="n">
        <v>0</v>
      </c>
      <c r="I1783" s="14" t="n">
        <v>163110.36</v>
      </c>
      <c r="J1783" s="14" t="n">
        <v>0</v>
      </c>
      <c r="K1783" s="21" t="n"/>
      <c r="L1783" s="21" t="n"/>
      <c r="M1783" s="8" t="inlineStr"/>
      <c r="N1783" s="8" t="inlineStr">
        <is>
          <t>Бухгалтер + менеджер субагента</t>
        </is>
      </c>
      <c r="O1783" s="8" t="inlineStr">
        <is>
          <t>g.omurbekova</t>
        </is>
      </c>
      <c r="P178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3" s="8" t="inlineStr"/>
    </row>
    <row r="1784">
      <c r="A1784" s="8" t="inlineStr">
        <is>
          <t>G13334</t>
        </is>
      </c>
      <c r="B1784" s="8" t="inlineStr">
        <is>
          <t>Сатар уулу Санжар</t>
        </is>
      </c>
      <c r="C1784" s="8" t="inlineStr">
        <is>
          <t>2559099705</t>
        </is>
      </c>
      <c r="D1784" s="8" t="inlineStr">
        <is>
          <t>Продажа только в реестре</t>
        </is>
      </c>
      <c r="E1784" s="8" t="inlineStr">
        <is>
          <t>Нужна проверка</t>
        </is>
      </c>
      <c r="F1784" s="8" t="inlineStr">
        <is>
          <t>C</t>
        </is>
      </c>
      <c r="G1784" s="14" t="n">
        <v>0</v>
      </c>
      <c r="H1784" s="14" t="n">
        <v>0</v>
      </c>
      <c r="I1784" s="14" t="n">
        <v>25972.08</v>
      </c>
      <c r="J1784" s="14" t="n">
        <v>0</v>
      </c>
      <c r="K1784" s="21" t="n"/>
      <c r="L1784" s="21" t="n"/>
      <c r="M1784" s="8" t="inlineStr"/>
      <c r="N1784" s="8" t="inlineStr">
        <is>
          <t>Бухгалтер + менеджер субагента</t>
        </is>
      </c>
      <c r="O1784" s="8" t="inlineStr">
        <is>
          <t>e.satarov</t>
        </is>
      </c>
      <c r="P178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4" s="8" t="inlineStr"/>
    </row>
    <row r="1785">
      <c r="A1785" s="8" t="inlineStr">
        <is>
          <t>G13478</t>
        </is>
      </c>
      <c r="B1785" s="8" t="inlineStr">
        <is>
          <t>Сатарова Жылдыз Жумабековна</t>
        </is>
      </c>
      <c r="C1785" s="8" t="inlineStr">
        <is>
          <t>2459530844</t>
        </is>
      </c>
      <c r="D1785" s="8" t="inlineStr">
        <is>
          <t>Продажа только в реестре</t>
        </is>
      </c>
      <c r="E1785" s="8" t="inlineStr">
        <is>
          <t>Нужна проверка</t>
        </is>
      </c>
      <c r="F1785" s="8" t="inlineStr">
        <is>
          <t>C</t>
        </is>
      </c>
      <c r="G1785" s="14" t="n">
        <v>0</v>
      </c>
      <c r="H1785" s="14" t="n">
        <v>0</v>
      </c>
      <c r="I1785" s="14" t="n">
        <v>9952</v>
      </c>
      <c r="J1785" s="14" t="n">
        <v>0</v>
      </c>
      <c r="K1785" s="21" t="n"/>
      <c r="L1785" s="21" t="n"/>
      <c r="M1785" s="8" t="inlineStr"/>
      <c r="N1785" s="8" t="inlineStr">
        <is>
          <t>Бухгалтер + менеджер субагента</t>
        </is>
      </c>
      <c r="O1785" s="8" t="inlineStr">
        <is>
          <t>g.omurbekova</t>
        </is>
      </c>
      <c r="P178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5" s="8" t="inlineStr"/>
    </row>
    <row r="1786">
      <c r="A1786" s="8" t="inlineStr">
        <is>
          <t>G13992</t>
        </is>
      </c>
      <c r="B1786" s="8" t="inlineStr">
        <is>
          <t>Тянь-Шань Тур</t>
        </is>
      </c>
      <c r="C1786" s="8" t="inlineStr">
        <is>
          <t>2420847444|2420847447|2420847448</t>
        </is>
      </c>
      <c r="D1786" s="8" t="inlineStr">
        <is>
          <t>Продажа только в реестре</t>
        </is>
      </c>
      <c r="E1786" s="8" t="inlineStr">
        <is>
          <t>Нужна проверка</t>
        </is>
      </c>
      <c r="F1786" s="8" t="inlineStr">
        <is>
          <t>C</t>
        </is>
      </c>
      <c r="G1786" s="14" t="n">
        <v>0</v>
      </c>
      <c r="H1786" s="14" t="n">
        <v>0</v>
      </c>
      <c r="I1786" s="14" t="n">
        <v>46262.3568</v>
      </c>
      <c r="J1786" s="14" t="n">
        <v>0</v>
      </c>
      <c r="K1786" s="21" t="n"/>
      <c r="L1786" s="21" t="n"/>
      <c r="M1786" s="8" t="inlineStr"/>
      <c r="N1786" s="8" t="inlineStr">
        <is>
          <t>Бухгалтер + менеджер субагента</t>
        </is>
      </c>
      <c r="O1786" s="8" t="inlineStr">
        <is>
          <t>d.mambetova</t>
        </is>
      </c>
      <c r="P1786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6" s="8" t="inlineStr"/>
    </row>
    <row r="1787">
      <c r="A1787" s="8" t="inlineStr">
        <is>
          <t>G14004</t>
        </is>
      </c>
      <c r="B1787" s="8" t="inlineStr">
        <is>
          <t>Тянь-Шань Тур</t>
        </is>
      </c>
      <c r="C1787" s="8" t="inlineStr">
        <is>
          <t>2460736467</t>
        </is>
      </c>
      <c r="D1787" s="8" t="inlineStr">
        <is>
          <t>Продажа только в реестре</t>
        </is>
      </c>
      <c r="E1787" s="8" t="inlineStr">
        <is>
          <t>Нужна проверка</t>
        </is>
      </c>
      <c r="F1787" s="8" t="inlineStr">
        <is>
          <t>C</t>
        </is>
      </c>
      <c r="G1787" s="14" t="n">
        <v>0</v>
      </c>
      <c r="H1787" s="14" t="n">
        <v>0</v>
      </c>
      <c r="I1787" s="14" t="n">
        <v>10287</v>
      </c>
      <c r="J1787" s="14" t="n">
        <v>0</v>
      </c>
      <c r="K1787" s="21" t="n"/>
      <c r="L1787" s="21" t="n"/>
      <c r="M1787" s="8" t="inlineStr"/>
      <c r="N1787" s="8" t="inlineStr">
        <is>
          <t>Бухгалтер + менеджер субагента</t>
        </is>
      </c>
      <c r="O1787" s="8" t="inlineStr">
        <is>
          <t>d.mambetova</t>
        </is>
      </c>
      <c r="P1787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7" s="8" t="inlineStr"/>
    </row>
    <row r="1788">
      <c r="A1788" s="8" t="inlineStr">
        <is>
          <t>G14026</t>
        </is>
      </c>
      <c r="B1788" s="8" t="inlineStr">
        <is>
          <t>Тянь-Шань Тур</t>
        </is>
      </c>
      <c r="C1788" s="8" t="inlineStr">
        <is>
          <t>2476314214|2476314215|2476314217</t>
        </is>
      </c>
      <c r="D1788" s="8" t="inlineStr">
        <is>
          <t>Продажа только в реестре</t>
        </is>
      </c>
      <c r="E1788" s="8" t="inlineStr">
        <is>
          <t>Нужна проверка</t>
        </is>
      </c>
      <c r="F1788" s="8" t="inlineStr">
        <is>
          <t>C</t>
        </is>
      </c>
      <c r="G1788" s="14" t="n">
        <v>0</v>
      </c>
      <c r="H1788" s="14" t="n">
        <v>0</v>
      </c>
      <c r="I1788" s="14" t="n">
        <v>80521.31999999999</v>
      </c>
      <c r="J1788" s="14" t="n">
        <v>0</v>
      </c>
      <c r="K1788" s="21" t="n"/>
      <c r="L1788" s="21" t="n"/>
      <c r="M1788" s="8" t="inlineStr"/>
      <c r="N1788" s="8" t="inlineStr">
        <is>
          <t>Бухгалтер + менеджер субагента</t>
        </is>
      </c>
      <c r="O1788" s="8" t="inlineStr">
        <is>
          <t>b.isakov</t>
        </is>
      </c>
      <c r="P1788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8" s="8" t="inlineStr"/>
    </row>
    <row r="1789">
      <c r="A1789" s="8" t="inlineStr">
        <is>
          <t>G14294</t>
        </is>
      </c>
      <c r="B1789" s="8" t="inlineStr">
        <is>
          <t>ЧОЛПОН ТУР</t>
        </is>
      </c>
      <c r="C1789" s="8" t="inlineStr">
        <is>
          <t>2460738673</t>
        </is>
      </c>
      <c r="D1789" s="8" t="inlineStr">
        <is>
          <t>Продажа только в реестре</t>
        </is>
      </c>
      <c r="E1789" s="8" t="inlineStr">
        <is>
          <t>Нужна проверка</t>
        </is>
      </c>
      <c r="F1789" s="8" t="inlineStr">
        <is>
          <t>C</t>
        </is>
      </c>
      <c r="G1789" s="14" t="n">
        <v>0</v>
      </c>
      <c r="H1789" s="14" t="n">
        <v>0</v>
      </c>
      <c r="I1789" s="14" t="n">
        <v>43641</v>
      </c>
      <c r="J1789" s="14" t="n">
        <v>0</v>
      </c>
      <c r="K1789" s="21" t="n"/>
      <c r="L1789" s="21" t="n"/>
      <c r="M1789" s="8" t="inlineStr"/>
      <c r="N1789" s="8" t="inlineStr">
        <is>
          <t>Бухгалтер + менеджер субагента</t>
        </is>
      </c>
      <c r="O1789" s="8" t="inlineStr">
        <is>
          <t>k.dzhumaev</t>
        </is>
      </c>
      <c r="P1789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89" s="8" t="inlineStr"/>
    </row>
    <row r="1790">
      <c r="A1790" s="8" t="inlineStr">
        <is>
          <t>G14362</t>
        </is>
      </c>
      <c r="B1790" s="8" t="inlineStr">
        <is>
          <t>ЧОЛПОН ЭЙР</t>
        </is>
      </c>
      <c r="C1790" s="8" t="inlineStr">
        <is>
          <t>2416946219</t>
        </is>
      </c>
      <c r="D1790" s="8" t="inlineStr">
        <is>
          <t>Продажа только в реестре</t>
        </is>
      </c>
      <c r="E1790" s="8" t="inlineStr">
        <is>
          <t>Нужна проверка</t>
        </is>
      </c>
      <c r="F1790" s="8" t="inlineStr">
        <is>
          <t>C</t>
        </is>
      </c>
      <c r="G1790" s="14" t="n">
        <v>0</v>
      </c>
      <c r="H1790" s="14" t="n">
        <v>0</v>
      </c>
      <c r="I1790" s="14" t="n">
        <v>23703.125</v>
      </c>
      <c r="J1790" s="14" t="n">
        <v>0</v>
      </c>
      <c r="K1790" s="21" t="n"/>
      <c r="L1790" s="21" t="n"/>
      <c r="M1790" s="8" t="inlineStr"/>
      <c r="N1790" s="8" t="inlineStr">
        <is>
          <t>Бухгалтер + менеджер субагента</t>
        </is>
      </c>
      <c r="O1790" s="8" t="inlineStr">
        <is>
          <t>a.toktosunova</t>
        </is>
      </c>
      <c r="P1790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0" s="8" t="inlineStr"/>
    </row>
    <row r="1791">
      <c r="A1791" s="8" t="inlineStr">
        <is>
          <t>G14580</t>
        </is>
      </c>
      <c r="B1791" s="8" t="inlineStr">
        <is>
          <t>Чынарова Бурул Джолдошовна</t>
        </is>
      </c>
      <c r="C1791" s="8" t="inlineStr">
        <is>
          <t>2420843149</t>
        </is>
      </c>
      <c r="D1791" s="8" t="inlineStr">
        <is>
          <t>Продажа только в реестре</t>
        </is>
      </c>
      <c r="E1791" s="8" t="inlineStr">
        <is>
          <t>Нужна проверка</t>
        </is>
      </c>
      <c r="F1791" s="8" t="inlineStr">
        <is>
          <t>C</t>
        </is>
      </c>
      <c r="G1791" s="14" t="n">
        <v>0</v>
      </c>
      <c r="H1791" s="14" t="n">
        <v>0</v>
      </c>
      <c r="I1791" s="14" t="n">
        <v>17671.04</v>
      </c>
      <c r="J1791" s="14" t="n">
        <v>0</v>
      </c>
      <c r="K1791" s="21" t="n"/>
      <c r="L1791" s="21" t="n"/>
      <c r="M1791" s="8" t="inlineStr"/>
      <c r="N1791" s="8" t="inlineStr">
        <is>
          <t>Бухгалтер + менеджер субагента</t>
        </is>
      </c>
      <c r="O1791" s="8" t="inlineStr">
        <is>
          <t>k.dzhumaev</t>
        </is>
      </c>
      <c r="P1791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1" s="8" t="inlineStr"/>
    </row>
    <row r="1792">
      <c r="A1792" s="8" t="inlineStr">
        <is>
          <t>G14581</t>
        </is>
      </c>
      <c r="B1792" s="8" t="inlineStr">
        <is>
          <t>Чынарова Бурул Джолдошовна</t>
        </is>
      </c>
      <c r="C1792" s="8" t="inlineStr">
        <is>
          <t>2420843602|2420843604|2420843607|2420843610</t>
        </is>
      </c>
      <c r="D1792" s="8" t="inlineStr">
        <is>
          <t>Продажа только в реестре</t>
        </is>
      </c>
      <c r="E1792" s="8" t="inlineStr">
        <is>
          <t>Нужна проверка</t>
        </is>
      </c>
      <c r="F1792" s="8" t="inlineStr">
        <is>
          <t>C</t>
        </is>
      </c>
      <c r="G1792" s="14" t="n">
        <v>0</v>
      </c>
      <c r="H1792" s="14" t="n">
        <v>0</v>
      </c>
      <c r="I1792" s="14" t="n">
        <v>82488.24399999999</v>
      </c>
      <c r="J1792" s="14" t="n">
        <v>0</v>
      </c>
      <c r="K1792" s="21" t="n"/>
      <c r="L1792" s="21" t="n"/>
      <c r="M1792" s="8" t="inlineStr"/>
      <c r="N1792" s="8" t="inlineStr">
        <is>
          <t>Бухгалтер + менеджер субагента</t>
        </is>
      </c>
      <c r="O1792" s="8" t="inlineStr">
        <is>
          <t>n.abdyldaeva</t>
        </is>
      </c>
      <c r="P1792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2" s="8" t="inlineStr"/>
    </row>
    <row r="1793">
      <c r="A1793" s="8" t="inlineStr">
        <is>
          <t>G14599</t>
        </is>
      </c>
      <c r="B1793" s="8" t="inlineStr">
        <is>
          <t>Чынарова Бурул Джолдошовна</t>
        </is>
      </c>
      <c r="C1793" s="8" t="inlineStr">
        <is>
          <t>2459526978</t>
        </is>
      </c>
      <c r="D1793" s="8" t="inlineStr">
        <is>
          <t>Продажа только в реестре</t>
        </is>
      </c>
      <c r="E1793" s="8" t="inlineStr">
        <is>
          <t>Нужна проверка</t>
        </is>
      </c>
      <c r="F1793" s="8" t="inlineStr">
        <is>
          <t>C</t>
        </is>
      </c>
      <c r="G1793" s="14" t="n">
        <v>0</v>
      </c>
      <c r="H1793" s="14" t="n">
        <v>0</v>
      </c>
      <c r="I1793" s="14" t="n">
        <v>24384</v>
      </c>
      <c r="J1793" s="14" t="n">
        <v>0</v>
      </c>
      <c r="K1793" s="21" t="n"/>
      <c r="L1793" s="21" t="n"/>
      <c r="M1793" s="8" t="inlineStr"/>
      <c r="N1793" s="8" t="inlineStr">
        <is>
          <t>Бухгалтер + менеджер субагента</t>
        </is>
      </c>
      <c r="O1793" s="8" t="inlineStr">
        <is>
          <t>n.abdyldaeva</t>
        </is>
      </c>
      <c r="P1793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3" s="8" t="inlineStr"/>
    </row>
    <row r="1794">
      <c r="A1794" s="8" t="inlineStr">
        <is>
          <t>G15133</t>
        </is>
      </c>
      <c r="B1794" s="8" t="inlineStr">
        <is>
          <t>Ыйык Тур</t>
        </is>
      </c>
      <c r="C1794" s="8" t="inlineStr">
        <is>
          <t>2461886574</t>
        </is>
      </c>
      <c r="D1794" s="8" t="inlineStr">
        <is>
          <t>Продажа только в реестре</t>
        </is>
      </c>
      <c r="E1794" s="8" t="inlineStr">
        <is>
          <t>Нужна проверка</t>
        </is>
      </c>
      <c r="F1794" s="8" t="inlineStr">
        <is>
          <t>C</t>
        </is>
      </c>
      <c r="G1794" s="14" t="n">
        <v>0</v>
      </c>
      <c r="H1794" s="14" t="n">
        <v>0</v>
      </c>
      <c r="I1794" s="14" t="n">
        <v>32708</v>
      </c>
      <c r="J1794" s="14" t="n">
        <v>0</v>
      </c>
      <c r="K1794" s="21" t="n"/>
      <c r="L1794" s="21" t="n"/>
      <c r="M1794" s="8" t="inlineStr"/>
      <c r="N1794" s="8" t="inlineStr">
        <is>
          <t>Бухгалтер + менеджер субагента</t>
        </is>
      </c>
      <c r="O1794" s="8" t="inlineStr">
        <is>
          <t>e.satarov</t>
        </is>
      </c>
      <c r="P1794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4" s="8" t="inlineStr"/>
    </row>
    <row r="1795">
      <c r="A1795" s="8" t="inlineStr">
        <is>
          <t>G15451</t>
        </is>
      </c>
      <c r="B1795" s="8" t="inlineStr">
        <is>
          <t>Эсенбекова Айгуль Нурбекевна</t>
        </is>
      </c>
      <c r="C1795" s="8" t="inlineStr">
        <is>
          <t>2416943192|2416943194</t>
        </is>
      </c>
      <c r="D1795" s="8" t="inlineStr">
        <is>
          <t>Продажа только в реестре</t>
        </is>
      </c>
      <c r="E1795" s="8" t="inlineStr">
        <is>
          <t>Нужна проверка</t>
        </is>
      </c>
      <c r="F1795" s="8" t="inlineStr">
        <is>
          <t>C</t>
        </is>
      </c>
      <c r="G1795" s="14" t="n">
        <v>0</v>
      </c>
      <c r="H1795" s="14" t="n">
        <v>0</v>
      </c>
      <c r="I1795" s="14" t="n">
        <v>105279.7</v>
      </c>
      <c r="J1795" s="14" t="n">
        <v>0</v>
      </c>
      <c r="K1795" s="21" t="n"/>
      <c r="L1795" s="21" t="n"/>
      <c r="M1795" s="8" t="inlineStr"/>
      <c r="N1795" s="8" t="inlineStr">
        <is>
          <t>Бухгалтер + менеджер субагента</t>
        </is>
      </c>
      <c r="O1795" s="8" t="inlineStr">
        <is>
          <t>d.mambetova</t>
        </is>
      </c>
      <c r="P1795" s="12" t="inlineStr">
        <is>
          <t>Продажа есть только в реестре: нет ни ETM, ни 1С. Возможно, бот пропустил и счёт не выставлен, либо агент внёс лишнюю запись</t>
        </is>
      </c>
      <c r="Q1795" s="8" t="inlineStr"/>
    </row>
  </sheetData>
  <autoFilter ref="A3:Q17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36" customWidth="1" min="4" max="4"/>
    <col width="11" customWidth="1" min="5" max="5"/>
    <col width="34" customWidth="1" min="6" max="6"/>
    <col width="13" customWidth="1" min="7" max="7"/>
    <col width="11" customWidth="1" min="8" max="8"/>
    <col width="85" customWidth="1" min="9" max="9"/>
    <col width="12" customWidth="1" min="10" max="10"/>
  </cols>
  <sheetData>
    <row r="1">
      <c r="A1" s="1" t="inlineStr">
        <is>
          <t>Платежи: оплаты ETM без поступления в 1С и поступления 1С без оплаты в ETM</t>
        </is>
      </c>
    </row>
    <row r="3" ht="42" customHeight="1">
      <c r="A3" s="13" t="inlineStr">
        <is>
          <t>Субагент</t>
        </is>
      </c>
      <c r="B3" s="13" t="inlineStr">
        <is>
          <t>Дата</t>
        </is>
      </c>
      <c r="C3" s="13" t="inlineStr">
        <is>
          <t>Где найдено</t>
        </is>
      </c>
      <c r="D3" s="13" t="inlineStr">
        <is>
          <t>Документ/ID</t>
        </is>
      </c>
      <c r="E3" s="13" t="inlineStr">
        <is>
          <t>Сумма</t>
        </is>
      </c>
      <c r="F3" s="13" t="inlineStr">
        <is>
          <t>Тип</t>
        </is>
      </c>
      <c r="G3" s="13" t="inlineStr">
        <is>
          <t>Источник</t>
        </is>
      </c>
      <c r="H3" s="13" t="inlineStr">
        <is>
          <t>Уверенность</t>
        </is>
      </c>
      <c r="I3" s="13" t="inlineStr">
        <is>
          <t>Что произошло</t>
        </is>
      </c>
      <c r="J3" s="13" t="inlineStr">
        <is>
          <t>Влияние на разрыв</t>
        </is>
      </c>
    </row>
    <row r="4">
      <c r="A4" s="8" t="inlineStr">
        <is>
          <t>Джолдош уулу Руслан</t>
        </is>
      </c>
      <c r="B4" s="21" t="n">
        <v>46136</v>
      </c>
      <c r="C4" s="8" t="inlineStr">
        <is>
          <t>1C</t>
        </is>
      </c>
      <c r="D4" s="8" t="inlineStr">
        <is>
          <t>Поступление на р/с, п/п ЦБ-С000203</t>
        </is>
      </c>
      <c r="E4" s="14" t="n">
        <v>706600</v>
      </c>
      <c r="F4" s="8" t="inlineStr">
        <is>
          <t>PAYMENT_NOT_IN_ETM</t>
        </is>
      </c>
      <c r="G4" s="8" t="inlineStr">
        <is>
          <t>Бот ETM</t>
        </is>
      </c>
      <c r="H4" s="8" t="inlineStr">
        <is>
          <t>B</t>
        </is>
      </c>
      <c r="I4" s="12" t="inlineStr">
        <is>
          <t>Поступление 706,600.00 есть в 1С, зачисления на баланс ETM нет</t>
        </is>
      </c>
      <c r="J4" s="14" t="n">
        <v>-706600</v>
      </c>
    </row>
    <row r="5">
      <c r="A5" s="8" t="inlineStr">
        <is>
          <t>Issyk-Kul Air</t>
        </is>
      </c>
      <c r="B5" s="21" t="n">
        <v>46207</v>
      </c>
      <c r="C5" s="8" t="inlineStr">
        <is>
          <t>1C</t>
        </is>
      </c>
      <c r="D5" s="8" t="inlineStr">
        <is>
          <t>Поступление на р/с, п/п ЦБ-С000536</t>
        </is>
      </c>
      <c r="E5" s="14" t="n">
        <v>698600</v>
      </c>
      <c r="F5" s="8" t="inlineStr">
        <is>
          <t>PAYMENT_NOT_IN_ETM</t>
        </is>
      </c>
      <c r="G5" s="8" t="inlineStr">
        <is>
          <t>Бот ETM</t>
        </is>
      </c>
      <c r="H5" s="8" t="inlineStr">
        <is>
          <t>B</t>
        </is>
      </c>
      <c r="I5" s="12" t="inlineStr">
        <is>
          <t>Поступление 698,600.00 есть в 1С, зачисления на баланс ETM нет</t>
        </is>
      </c>
      <c r="J5" s="14" t="n">
        <v>-698600</v>
      </c>
    </row>
    <row r="6">
      <c r="A6" s="8" t="inlineStr">
        <is>
          <t>Ak-Bulak Voyage</t>
        </is>
      </c>
      <c r="B6" s="21" t="n">
        <v>46109.45483796296</v>
      </c>
      <c r="C6" s="8" t="inlineStr">
        <is>
          <t>ETM</t>
        </is>
      </c>
      <c r="D6" s="8" t="inlineStr">
        <is>
          <t>57174246</t>
        </is>
      </c>
      <c r="E6" s="14" t="n">
        <v>562800</v>
      </c>
      <c r="F6" s="8" t="inlineStr">
        <is>
          <t>REPEATED_CREDIT</t>
        </is>
      </c>
      <c r="G6" s="8" t="inlineStr">
        <is>
          <t>Бот ETM</t>
        </is>
      </c>
      <c r="H6" s="8" t="inlineStr">
        <is>
          <t>A</t>
        </is>
      </c>
      <c r="I6" s="12" t="inlineStr">
        <is>
          <t>Оплата на 562,800.00 повторно зачислена в ETM через 21.4 ч, в 1С поступление одно</t>
        </is>
      </c>
      <c r="J6" s="14" t="n">
        <v>562800</v>
      </c>
    </row>
    <row r="7">
      <c r="A7" s="8" t="inlineStr">
        <is>
          <t>Ыйык Тур</t>
        </is>
      </c>
      <c r="B7" s="21" t="n">
        <v>46035.53916666667</v>
      </c>
      <c r="C7" s="8" t="inlineStr">
        <is>
          <t>ETM</t>
        </is>
      </c>
      <c r="D7" s="8" t="inlineStr">
        <is>
          <t>57021400</t>
        </is>
      </c>
      <c r="E7" s="14" t="n">
        <v>529600</v>
      </c>
      <c r="F7" s="8" t="inlineStr">
        <is>
          <t>REPEATED_CREDIT</t>
        </is>
      </c>
      <c r="G7" s="8" t="inlineStr">
        <is>
          <t>Бот ETM</t>
        </is>
      </c>
      <c r="H7" s="8" t="inlineStr">
        <is>
          <t>A</t>
        </is>
      </c>
      <c r="I7" s="12" t="inlineStr">
        <is>
          <t>Оплата на 529,600.00 повторно зачислена в ETM через 23.7 ч, в 1С поступление одно</t>
        </is>
      </c>
      <c r="J7" s="14" t="n">
        <v>529600</v>
      </c>
    </row>
    <row r="8">
      <c r="A8" s="8" t="inlineStr">
        <is>
          <t>ИССЫК ТРИП</t>
        </is>
      </c>
      <c r="B8" s="21" t="n">
        <v>46065.55930555556</v>
      </c>
      <c r="C8" s="8" t="inlineStr">
        <is>
          <t>ETM</t>
        </is>
      </c>
      <c r="D8" s="8" t="inlineStr">
        <is>
          <t>57086445</t>
        </is>
      </c>
      <c r="E8" s="14" t="n">
        <v>525900</v>
      </c>
      <c r="F8" s="8" t="inlineStr">
        <is>
          <t>ETM_PAYMENT_IN_MISSING_ACT_MONTH</t>
        </is>
      </c>
      <c r="G8" s="8" t="inlineStr">
        <is>
          <t>Выгрузка 1С</t>
        </is>
      </c>
      <c r="H8" s="8" t="inlineStr">
        <is>
          <t>B</t>
        </is>
      </c>
      <c r="I8" s="12" t="inlineStr">
        <is>
          <t>Оплата есть в ETM, акт 1С за месяц не выгружен</t>
        </is>
      </c>
      <c r="J8" s="14" t="n">
        <v>525900</v>
      </c>
    </row>
    <row r="9">
      <c r="A9" s="8" t="inlineStr">
        <is>
          <t>Ыйык Тур</t>
        </is>
      </c>
      <c r="B9" s="21" t="n">
        <v>46080</v>
      </c>
      <c r="C9" s="8" t="inlineStr">
        <is>
          <t>1C</t>
        </is>
      </c>
      <c r="D9" s="8" t="inlineStr">
        <is>
          <t>Поступление на р/с, п/п ЦБ-С000298</t>
        </is>
      </c>
      <c r="E9" s="14" t="n">
        <v>506000</v>
      </c>
      <c r="F9" s="8" t="inlineStr">
        <is>
          <t>PAYMENT_NOT_IN_ETM</t>
        </is>
      </c>
      <c r="G9" s="8" t="inlineStr">
        <is>
          <t>Бот ETM</t>
        </is>
      </c>
      <c r="H9" s="8" t="inlineStr">
        <is>
          <t>B</t>
        </is>
      </c>
      <c r="I9" s="12" t="inlineStr">
        <is>
          <t>Поступление 506,000.00 есть в 1С, зачисления на баланс ETM нет</t>
        </is>
      </c>
      <c r="J9" s="14" t="n">
        <v>-506000</v>
      </c>
    </row>
    <row r="10">
      <c r="A10" s="8" t="inlineStr">
        <is>
          <t>Sunrise Tours</t>
        </is>
      </c>
      <c r="B10" s="21" t="n">
        <v>46092</v>
      </c>
      <c r="C10" s="8" t="inlineStr">
        <is>
          <t>1C</t>
        </is>
      </c>
      <c r="D10" s="8" t="inlineStr">
        <is>
          <t>Поступление на р/с, п/п ЦБ-С001532</t>
        </is>
      </c>
      <c r="E10" s="14" t="n">
        <v>501500</v>
      </c>
      <c r="F10" s="8" t="inlineStr">
        <is>
          <t>PAYMENT_NOT_IN_ETM</t>
        </is>
      </c>
      <c r="G10" s="8" t="inlineStr">
        <is>
          <t>Бот ETM</t>
        </is>
      </c>
      <c r="H10" s="8" t="inlineStr">
        <is>
          <t>B</t>
        </is>
      </c>
      <c r="I10" s="12" t="inlineStr">
        <is>
          <t>Поступление 501,500.00 есть в 1С, зачисления на баланс ETM нет</t>
        </is>
      </c>
      <c r="J10" s="14" t="n">
        <v>-501500</v>
      </c>
    </row>
    <row r="11">
      <c r="A11" s="8" t="inlineStr">
        <is>
          <t>SkyWay Travel</t>
        </is>
      </c>
      <c r="B11" s="21" t="n">
        <v>46178</v>
      </c>
      <c r="C11" s="8" t="inlineStr">
        <is>
          <t>1C</t>
        </is>
      </c>
      <c r="D11" s="8" t="inlineStr">
        <is>
          <t>Поступление на р/с, п/п ЦБ-С001264</t>
        </is>
      </c>
      <c r="E11" s="14" t="n">
        <v>495300</v>
      </c>
      <c r="F11" s="8" t="inlineStr">
        <is>
          <t>PAYMENT_NOT_IN_ETM</t>
        </is>
      </c>
      <c r="G11" s="8" t="inlineStr">
        <is>
          <t>Бот ETM</t>
        </is>
      </c>
      <c r="H11" s="8" t="inlineStr">
        <is>
          <t>B</t>
        </is>
      </c>
      <c r="I11" s="12" t="inlineStr">
        <is>
          <t>Поступление 495,300.00 есть в 1С, зачисления на баланс ETM нет</t>
        </is>
      </c>
      <c r="J11" s="14" t="n">
        <v>-495300</v>
      </c>
    </row>
    <row r="12">
      <c r="A12" s="8" t="inlineStr">
        <is>
          <t>Абдыраманова Д. А.</t>
        </is>
      </c>
      <c r="B12" s="21" t="n">
        <v>46173</v>
      </c>
      <c r="C12" s="8" t="inlineStr">
        <is>
          <t>1C</t>
        </is>
      </c>
      <c r="D12" s="8" t="inlineStr">
        <is>
          <t>Поступление на р/с, п/п ЦБ-С001306</t>
        </is>
      </c>
      <c r="E12" s="14" t="n">
        <v>493600</v>
      </c>
      <c r="F12" s="8" t="inlineStr">
        <is>
          <t>PAYMENT_NOT_IN_ETM</t>
        </is>
      </c>
      <c r="G12" s="8" t="inlineStr">
        <is>
          <t>Бот ETM</t>
        </is>
      </c>
      <c r="H12" s="8" t="inlineStr">
        <is>
          <t>B</t>
        </is>
      </c>
      <c r="I12" s="12" t="inlineStr">
        <is>
          <t>Поступление 493,600.00 есть в 1С, зачисления на баланс ETM нет</t>
        </is>
      </c>
      <c r="J12" s="14" t="n">
        <v>-493600</v>
      </c>
    </row>
    <row r="13">
      <c r="A13" s="8" t="inlineStr">
        <is>
          <t>Осмонова А. Н.</t>
        </is>
      </c>
      <c r="B13" s="21" t="n">
        <v>46160</v>
      </c>
      <c r="C13" s="8" t="inlineStr">
        <is>
          <t>1C</t>
        </is>
      </c>
      <c r="D13" s="8" t="inlineStr">
        <is>
          <t>Поступление на р/с, п/п ЦБ-С002359</t>
        </is>
      </c>
      <c r="E13" s="14" t="n">
        <v>493300</v>
      </c>
      <c r="F13" s="8" t="inlineStr">
        <is>
          <t>PAYMENT_NOT_IN_ETM</t>
        </is>
      </c>
      <c r="G13" s="8" t="inlineStr">
        <is>
          <t>Бот ETM</t>
        </is>
      </c>
      <c r="H13" s="8" t="inlineStr">
        <is>
          <t>B</t>
        </is>
      </c>
      <c r="I13" s="12" t="inlineStr">
        <is>
          <t>Поступление 493,300.00 есть в 1С, зачисления на баланс ETM нет</t>
        </is>
      </c>
      <c r="J13" s="14" t="n">
        <v>-493300</v>
      </c>
    </row>
    <row r="14">
      <c r="A14" s="8" t="inlineStr">
        <is>
          <t>SkyWay Travel</t>
        </is>
      </c>
      <c r="B14" s="21" t="n">
        <v>46165</v>
      </c>
      <c r="C14" s="8" t="inlineStr">
        <is>
          <t>1C</t>
        </is>
      </c>
      <c r="D14" s="8" t="inlineStr">
        <is>
          <t>Поступление на р/с, п/п ЦБ-С001221</t>
        </is>
      </c>
      <c r="E14" s="14" t="n">
        <v>487700</v>
      </c>
      <c r="F14" s="8" t="inlineStr">
        <is>
          <t>PAYMENT_NOT_IN_ETM</t>
        </is>
      </c>
      <c r="G14" s="8" t="inlineStr">
        <is>
          <t>Бот ETM</t>
        </is>
      </c>
      <c r="H14" s="8" t="inlineStr">
        <is>
          <t>B</t>
        </is>
      </c>
      <c r="I14" s="12" t="inlineStr">
        <is>
          <t>Поступление 487,700.00 есть в 1С, зачисления на баланс ETM нет</t>
        </is>
      </c>
      <c r="J14" s="14" t="n">
        <v>-487700</v>
      </c>
    </row>
    <row r="15">
      <c r="A15" s="8" t="inlineStr">
        <is>
          <t>Ак-Куу Авиа</t>
        </is>
      </c>
      <c r="B15" s="21" t="n">
        <v>46104</v>
      </c>
      <c r="C15" s="8" t="inlineStr">
        <is>
          <t>1C</t>
        </is>
      </c>
      <c r="D15" s="8" t="inlineStr">
        <is>
          <t>Поступление на р/с, п/п ЦБ-С002034</t>
        </is>
      </c>
      <c r="E15" s="14" t="n">
        <v>486900</v>
      </c>
      <c r="F15" s="8" t="inlineStr">
        <is>
          <t>PAYMENT_NOT_IN_ETM</t>
        </is>
      </c>
      <c r="G15" s="8" t="inlineStr">
        <is>
          <t>Бот ETM</t>
        </is>
      </c>
      <c r="H15" s="8" t="inlineStr">
        <is>
          <t>B</t>
        </is>
      </c>
      <c r="I15" s="12" t="inlineStr">
        <is>
          <t>Поступление 486,900.00 есть в 1С, зачисления на баланс ETM нет</t>
        </is>
      </c>
      <c r="J15" s="14" t="n">
        <v>-486900</v>
      </c>
    </row>
    <row r="16">
      <c r="A16" s="8" t="inlineStr">
        <is>
          <t>Kumtor Tours</t>
        </is>
      </c>
      <c r="B16" s="21" t="n">
        <v>46158</v>
      </c>
      <c r="C16" s="8" t="inlineStr">
        <is>
          <t>1C</t>
        </is>
      </c>
      <c r="D16" s="8" t="inlineStr">
        <is>
          <t>Поступление на р/с, п/п ЦБ-С001506</t>
        </is>
      </c>
      <c r="E16" s="14" t="n">
        <v>486500</v>
      </c>
      <c r="F16" s="8" t="inlineStr">
        <is>
          <t>PAYMENT_NOT_IN_ETM</t>
        </is>
      </c>
      <c r="G16" s="8" t="inlineStr">
        <is>
          <t>Бот ETM</t>
        </is>
      </c>
      <c r="H16" s="8" t="inlineStr">
        <is>
          <t>B</t>
        </is>
      </c>
      <c r="I16" s="12" t="inlineStr">
        <is>
          <t>Поступление 486,500.00 есть в 1С, зачисления на баланс ETM нет</t>
        </is>
      </c>
      <c r="J16" s="14" t="n">
        <v>-486500</v>
      </c>
    </row>
    <row r="17">
      <c r="A17" s="8" t="inlineStr">
        <is>
          <t>Байтур Трип</t>
        </is>
      </c>
      <c r="B17" s="21" t="n">
        <v>46226</v>
      </c>
      <c r="C17" s="8" t="inlineStr">
        <is>
          <t>1C</t>
        </is>
      </c>
      <c r="D17" s="8" t="inlineStr">
        <is>
          <t>Приход в кассу ЦБ-С001130</t>
        </is>
      </c>
      <c r="E17" s="14" t="n">
        <v>484400</v>
      </c>
      <c r="F17" s="8" t="inlineStr">
        <is>
          <t>PAYMENT_NOT_IN_ETM</t>
        </is>
      </c>
      <c r="G17" s="8" t="inlineStr">
        <is>
          <t>Бот ETM</t>
        </is>
      </c>
      <c r="H17" s="8" t="inlineStr">
        <is>
          <t>B</t>
        </is>
      </c>
      <c r="I17" s="12" t="inlineStr">
        <is>
          <t>Поступление 484,400.00 есть в 1С, зачисления на баланс ETM нет</t>
        </is>
      </c>
      <c r="J17" s="14" t="n">
        <v>-484400</v>
      </c>
    </row>
    <row r="18">
      <c r="A18" s="8" t="inlineStr">
        <is>
          <t>SkyWay Travel</t>
        </is>
      </c>
      <c r="B18" s="21" t="n">
        <v>46194</v>
      </c>
      <c r="C18" s="8" t="inlineStr">
        <is>
          <t>1C</t>
        </is>
      </c>
      <c r="D18" s="8" t="inlineStr">
        <is>
          <t>Поступление на р/с, п/п ЦБ-С000300</t>
        </is>
      </c>
      <c r="E18" s="14" t="n">
        <v>479800</v>
      </c>
      <c r="F18" s="8" t="inlineStr">
        <is>
          <t>PAYMENT_NOT_IN_ETM</t>
        </is>
      </c>
      <c r="G18" s="8" t="inlineStr">
        <is>
          <t>Бот ETM</t>
        </is>
      </c>
      <c r="H18" s="8" t="inlineStr">
        <is>
          <t>B</t>
        </is>
      </c>
      <c r="I18" s="12" t="inlineStr">
        <is>
          <t>Поступление 479,800.00 есть в 1С, зачисления на баланс ETM нет</t>
        </is>
      </c>
      <c r="J18" s="14" t="n">
        <v>-479800</v>
      </c>
    </row>
    <row r="19">
      <c r="A19" s="8" t="inlineStr">
        <is>
          <t>Урматова Айпери Нурбековна</t>
        </is>
      </c>
      <c r="B19" s="21" t="n">
        <v>46118</v>
      </c>
      <c r="C19" s="8" t="inlineStr">
        <is>
          <t>1C</t>
        </is>
      </c>
      <c r="D19" s="8" t="inlineStr">
        <is>
          <t>Поступление на р/с, п/п ЦБ-С002342</t>
        </is>
      </c>
      <c r="E19" s="14" t="n">
        <v>475000</v>
      </c>
      <c r="F19" s="8" t="inlineStr">
        <is>
          <t>PAYMENT_NOT_IN_ETM</t>
        </is>
      </c>
      <c r="G19" s="8" t="inlineStr">
        <is>
          <t>Бот ETM</t>
        </is>
      </c>
      <c r="H19" s="8" t="inlineStr">
        <is>
          <t>B</t>
        </is>
      </c>
      <c r="I19" s="12" t="inlineStr">
        <is>
          <t>Поступление 475,000.00 есть в 1С, зачисления на баланс ETM нет</t>
        </is>
      </c>
      <c r="J19" s="14" t="n">
        <v>-475000</v>
      </c>
    </row>
    <row r="20">
      <c r="A20" s="8" t="inlineStr">
        <is>
          <t>Манас Туризм</t>
        </is>
      </c>
      <c r="B20" s="21" t="n">
        <v>46182.63962962963</v>
      </c>
      <c r="C20" s="8" t="inlineStr">
        <is>
          <t>ETM</t>
        </is>
      </c>
      <c r="D20" s="8" t="inlineStr">
        <is>
          <t>57353156</t>
        </is>
      </c>
      <c r="E20" s="14" t="n">
        <v>458800</v>
      </c>
      <c r="F20" s="8" t="inlineStr">
        <is>
          <t>ETM_PAYMENT_IN_MISSING_ACT_MONTH</t>
        </is>
      </c>
      <c r="G20" s="8" t="inlineStr">
        <is>
          <t>Выгрузка 1С</t>
        </is>
      </c>
      <c r="H20" s="8" t="inlineStr">
        <is>
          <t>B</t>
        </is>
      </c>
      <c r="I20" s="12" t="inlineStr">
        <is>
          <t>Оплата есть в ETM, акт 1С за месяц не выгружен</t>
        </is>
      </c>
      <c r="J20" s="14" t="n">
        <v>458800</v>
      </c>
    </row>
    <row r="21">
      <c r="A21" s="8" t="inlineStr">
        <is>
          <t>Steppe Travel</t>
        </is>
      </c>
      <c r="B21" s="21" t="n">
        <v>46105</v>
      </c>
      <c r="C21" s="8" t="inlineStr">
        <is>
          <t>1C</t>
        </is>
      </c>
      <c r="D21" s="8" t="inlineStr">
        <is>
          <t>Поступление на р/с, п/п ЦБ-С000224</t>
        </is>
      </c>
      <c r="E21" s="14" t="n">
        <v>453100</v>
      </c>
      <c r="F21" s="8" t="inlineStr">
        <is>
          <t>PAYMENT_NOT_IN_ETM</t>
        </is>
      </c>
      <c r="G21" s="8" t="inlineStr">
        <is>
          <t>Бот ETM</t>
        </is>
      </c>
      <c r="H21" s="8" t="inlineStr">
        <is>
          <t>B</t>
        </is>
      </c>
      <c r="I21" s="12" t="inlineStr">
        <is>
          <t>Поступление 453,100.00 есть в 1С, зачисления на баланс ETM нет</t>
        </is>
      </c>
      <c r="J21" s="14" t="n">
        <v>-453100</v>
      </c>
    </row>
    <row r="22">
      <c r="A22" s="8" t="inlineStr">
        <is>
          <t>SkyWay Travel</t>
        </is>
      </c>
      <c r="B22" s="21" t="n">
        <v>46056</v>
      </c>
      <c r="C22" s="8" t="inlineStr">
        <is>
          <t>1C</t>
        </is>
      </c>
      <c r="D22" s="8" t="inlineStr">
        <is>
          <t>Поступление на р/с, п/п ЦБ-С001968</t>
        </is>
      </c>
      <c r="E22" s="14" t="n">
        <v>452000</v>
      </c>
      <c r="F22" s="8" t="inlineStr">
        <is>
          <t>PAYMENT_NOT_IN_ETM</t>
        </is>
      </c>
      <c r="G22" s="8" t="inlineStr">
        <is>
          <t>Бот ETM</t>
        </is>
      </c>
      <c r="H22" s="8" t="inlineStr">
        <is>
          <t>B</t>
        </is>
      </c>
      <c r="I22" s="12" t="inlineStr">
        <is>
          <t>Поступление 452,000.00 есть в 1С, зачисления на баланс ETM нет</t>
        </is>
      </c>
      <c r="J22" s="14" t="n">
        <v>-452000</v>
      </c>
    </row>
    <row r="23">
      <c r="A23" s="8" t="inlineStr">
        <is>
          <t>SkyWay Travel</t>
        </is>
      </c>
      <c r="B23" s="21" t="n">
        <v>46213</v>
      </c>
      <c r="C23" s="8" t="inlineStr">
        <is>
          <t>1C</t>
        </is>
      </c>
      <c r="D23" s="8" t="inlineStr">
        <is>
          <t>Поступление на р/с, п/п ЦБ-С002099</t>
        </is>
      </c>
      <c r="E23" s="14" t="n">
        <v>444300</v>
      </c>
      <c r="F23" s="8" t="inlineStr">
        <is>
          <t>PAYMENT_NOT_IN_ETM</t>
        </is>
      </c>
      <c r="G23" s="8" t="inlineStr">
        <is>
          <t>Бот ETM</t>
        </is>
      </c>
      <c r="H23" s="8" t="inlineStr">
        <is>
          <t>B</t>
        </is>
      </c>
      <c r="I23" s="12" t="inlineStr">
        <is>
          <t>Поступление 444,300.00 есть в 1С, зачисления на баланс ETM нет</t>
        </is>
      </c>
      <c r="J23" s="14" t="n">
        <v>-444300</v>
      </c>
    </row>
    <row r="24">
      <c r="A24" s="8" t="inlineStr">
        <is>
          <t>SkyWay Travel</t>
        </is>
      </c>
      <c r="B24" s="21" t="n">
        <v>46234</v>
      </c>
      <c r="C24" s="8" t="inlineStr">
        <is>
          <t>1C</t>
        </is>
      </c>
      <c r="D24" s="8" t="inlineStr">
        <is>
          <t>Поступление на р/с, п/п ЦБ-С000736</t>
        </is>
      </c>
      <c r="E24" s="14" t="n">
        <v>444300</v>
      </c>
      <c r="F24" s="8" t="inlineStr">
        <is>
          <t>PAYMENT_NOT_IN_ETM</t>
        </is>
      </c>
      <c r="G24" s="8" t="inlineStr">
        <is>
          <t>Бот ETM</t>
        </is>
      </c>
      <c r="H24" s="8" t="inlineStr">
        <is>
          <t>B</t>
        </is>
      </c>
      <c r="I24" s="12" t="inlineStr">
        <is>
          <t>Поступление 444,300.00 есть в 1С, зачисления на баланс ETM нет</t>
        </is>
      </c>
      <c r="J24" s="14" t="n">
        <v>-444300</v>
      </c>
    </row>
    <row r="25">
      <c r="A25" s="8" t="inlineStr">
        <is>
          <t>Ыйык Тур</t>
        </is>
      </c>
      <c r="B25" s="21" t="n">
        <v>46081</v>
      </c>
      <c r="C25" s="8" t="inlineStr">
        <is>
          <t>1C</t>
        </is>
      </c>
      <c r="D25" s="8" t="inlineStr">
        <is>
          <t>Поступление на р/с, п/п ЦБ-С002168</t>
        </is>
      </c>
      <c r="E25" s="14" t="n">
        <v>442400</v>
      </c>
      <c r="F25" s="8" t="inlineStr">
        <is>
          <t>PAYMENT_NOT_IN_ETM</t>
        </is>
      </c>
      <c r="G25" s="8" t="inlineStr">
        <is>
          <t>Бот ETM</t>
        </is>
      </c>
      <c r="H25" s="8" t="inlineStr">
        <is>
          <t>B</t>
        </is>
      </c>
      <c r="I25" s="12" t="inlineStr">
        <is>
          <t>Поступление 442,400.00 есть в 1С, зачисления на баланс ETM нет</t>
        </is>
      </c>
      <c r="J25" s="14" t="n">
        <v>-442400</v>
      </c>
    </row>
    <row r="26">
      <c r="A26" s="8" t="inlineStr">
        <is>
          <t>SkyWay Travel</t>
        </is>
      </c>
      <c r="B26" s="21" t="n">
        <v>46091</v>
      </c>
      <c r="C26" s="8" t="inlineStr">
        <is>
          <t>1C</t>
        </is>
      </c>
      <c r="D26" s="8" t="inlineStr">
        <is>
          <t>Приход в кассу ЦБ-С000079</t>
        </is>
      </c>
      <c r="E26" s="14" t="n">
        <v>441200</v>
      </c>
      <c r="F26" s="8" t="inlineStr">
        <is>
          <t>PAYMENT_NOT_IN_ETM</t>
        </is>
      </c>
      <c r="G26" s="8" t="inlineStr">
        <is>
          <t>Бот ETM</t>
        </is>
      </c>
      <c r="H26" s="8" t="inlineStr">
        <is>
          <t>B</t>
        </is>
      </c>
      <c r="I26" s="12" t="inlineStr">
        <is>
          <t>Поступление 441,200.00 есть в 1С, зачисления на баланс ETM нет</t>
        </is>
      </c>
      <c r="J26" s="14" t="n">
        <v>-441200</v>
      </c>
    </row>
    <row r="27">
      <c r="A27" s="8" t="inlineStr">
        <is>
          <t>SkyWay Travel</t>
        </is>
      </c>
      <c r="B27" s="21" t="n">
        <v>46231</v>
      </c>
      <c r="C27" s="8" t="inlineStr">
        <is>
          <t>1C</t>
        </is>
      </c>
      <c r="D27" s="8" t="inlineStr">
        <is>
          <t>Поступление на р/с, п/п ЦБ-С000401</t>
        </is>
      </c>
      <c r="E27" s="14" t="n">
        <v>437800</v>
      </c>
      <c r="F27" s="8" t="inlineStr">
        <is>
          <t>PAYMENT_NOT_IN_ETM</t>
        </is>
      </c>
      <c r="G27" s="8" t="inlineStr">
        <is>
          <t>Бот ETM</t>
        </is>
      </c>
      <c r="H27" s="8" t="inlineStr">
        <is>
          <t>B</t>
        </is>
      </c>
      <c r="I27" s="12" t="inlineStr">
        <is>
          <t>Поступление 437,800.00 есть в 1С, зачисления на баланс ETM нет</t>
        </is>
      </c>
      <c r="J27" s="14" t="n">
        <v>-437800</v>
      </c>
    </row>
    <row r="28">
      <c r="A28" s="8" t="inlineStr">
        <is>
          <t>Kumtor Tours</t>
        </is>
      </c>
      <c r="B28" s="21" t="n">
        <v>46081</v>
      </c>
      <c r="C28" s="8" t="inlineStr">
        <is>
          <t>1C</t>
        </is>
      </c>
      <c r="D28" s="8" t="inlineStr">
        <is>
          <t>Поступление на р/с, п/п ЦБ-С000927</t>
        </is>
      </c>
      <c r="E28" s="14" t="n">
        <v>434700</v>
      </c>
      <c r="F28" s="8" t="inlineStr">
        <is>
          <t>PAYMENT_NOT_IN_ETM</t>
        </is>
      </c>
      <c r="G28" s="8" t="inlineStr">
        <is>
          <t>Бот ETM</t>
        </is>
      </c>
      <c r="H28" s="8" t="inlineStr">
        <is>
          <t>B</t>
        </is>
      </c>
      <c r="I28" s="12" t="inlineStr">
        <is>
          <t>Поступление 434,700.00 есть в 1С, зачисления на баланс ETM нет</t>
        </is>
      </c>
      <c r="J28" s="14" t="n">
        <v>-434700</v>
      </c>
    </row>
    <row r="29">
      <c r="A29" s="8" t="inlineStr">
        <is>
          <t>SkyWay Travel</t>
        </is>
      </c>
      <c r="B29" s="21" t="n">
        <v>46183</v>
      </c>
      <c r="C29" s="8" t="inlineStr">
        <is>
          <t>1C</t>
        </is>
      </c>
      <c r="D29" s="8" t="inlineStr">
        <is>
          <t>Приход в кассу ЦБ-С001502</t>
        </is>
      </c>
      <c r="E29" s="14" t="n">
        <v>431800</v>
      </c>
      <c r="F29" s="8" t="inlineStr">
        <is>
          <t>PAYMENT_NOT_IN_ETM</t>
        </is>
      </c>
      <c r="G29" s="8" t="inlineStr">
        <is>
          <t>Бот ETM</t>
        </is>
      </c>
      <c r="H29" s="8" t="inlineStr">
        <is>
          <t>B</t>
        </is>
      </c>
      <c r="I29" s="12" t="inlineStr">
        <is>
          <t>Поступление 431,800.00 есть в 1С, зачисления на баланс ETM нет</t>
        </is>
      </c>
      <c r="J29" s="14" t="n">
        <v>-431800</v>
      </c>
    </row>
    <row r="30">
      <c r="A30" s="8" t="inlineStr">
        <is>
          <t>ИССЫК ТРИП</t>
        </is>
      </c>
      <c r="B30" s="21" t="n">
        <v>46067.66564814815</v>
      </c>
      <c r="C30" s="8" t="inlineStr">
        <is>
          <t>ETM</t>
        </is>
      </c>
      <c r="D30" s="8" t="inlineStr">
        <is>
          <t>57090129</t>
        </is>
      </c>
      <c r="E30" s="14" t="n">
        <v>415800</v>
      </c>
      <c r="F30" s="8" t="inlineStr">
        <is>
          <t>ETM_PAYMENT_IN_MISSING_ACT_MONTH</t>
        </is>
      </c>
      <c r="G30" s="8" t="inlineStr">
        <is>
          <t>Выгрузка 1С</t>
        </is>
      </c>
      <c r="H30" s="8" t="inlineStr">
        <is>
          <t>B</t>
        </is>
      </c>
      <c r="I30" s="12" t="inlineStr">
        <is>
          <t>Оплата есть в ETM, акт 1С за месяц не выгружен</t>
        </is>
      </c>
      <c r="J30" s="14" t="n">
        <v>415800</v>
      </c>
    </row>
    <row r="31">
      <c r="A31" s="8" t="inlineStr">
        <is>
          <t>ИП Бейшенова Д. О.</t>
        </is>
      </c>
      <c r="B31" s="21" t="n">
        <v>46156</v>
      </c>
      <c r="C31" s="8" t="inlineStr">
        <is>
          <t>1C</t>
        </is>
      </c>
      <c r="D31" s="8" t="inlineStr">
        <is>
          <t>Поступление на р/с, п/п ЦБ-С000945</t>
        </is>
      </c>
      <c r="E31" s="14" t="n">
        <v>415100</v>
      </c>
      <c r="F31" s="8" t="inlineStr">
        <is>
          <t>PAYMENT_NOT_IN_ETM</t>
        </is>
      </c>
      <c r="G31" s="8" t="inlineStr">
        <is>
          <t>Бот ETM</t>
        </is>
      </c>
      <c r="H31" s="8" t="inlineStr">
        <is>
          <t>B</t>
        </is>
      </c>
      <c r="I31" s="12" t="inlineStr">
        <is>
          <t>Поступление 415,100.00 есть в 1С, зачисления на баланс ETM нет</t>
        </is>
      </c>
      <c r="J31" s="14" t="n">
        <v>-415100</v>
      </c>
    </row>
    <row r="32">
      <c r="A32" s="8" t="inlineStr">
        <is>
          <t>SkyWay Travel</t>
        </is>
      </c>
      <c r="B32" s="21" t="n">
        <v>46206.6140162037</v>
      </c>
      <c r="C32" s="8" t="inlineStr">
        <is>
          <t>ETM</t>
        </is>
      </c>
      <c r="D32" s="8" t="inlineStr">
        <is>
          <t>57419271</t>
        </is>
      </c>
      <c r="E32" s="14" t="n">
        <v>410800</v>
      </c>
      <c r="F32" s="8" t="inlineStr">
        <is>
          <t>REPEATED_CREDIT</t>
        </is>
      </c>
      <c r="G32" s="8" t="inlineStr">
        <is>
          <t>Бот ETM</t>
        </is>
      </c>
      <c r="H32" s="8" t="inlineStr">
        <is>
          <t>A</t>
        </is>
      </c>
      <c r="I32" s="12" t="inlineStr">
        <is>
          <t>Оплата на 410,800.00 повторно зачислена в ETM через 30.7 ч, в 1С поступление одно</t>
        </is>
      </c>
      <c r="J32" s="14" t="n">
        <v>410800</v>
      </c>
    </row>
    <row r="33">
      <c r="A33" s="8" t="inlineStr">
        <is>
          <t>Ала-Арча Авиакасса</t>
        </is>
      </c>
      <c r="B33" s="21" t="n">
        <v>46145</v>
      </c>
      <c r="C33" s="8" t="inlineStr">
        <is>
          <t>1C</t>
        </is>
      </c>
      <c r="D33" s="8" t="inlineStr">
        <is>
          <t>Поступление на р/с, п/п ЦБ-С000240</t>
        </is>
      </c>
      <c r="E33" s="14" t="n">
        <v>408900</v>
      </c>
      <c r="F33" s="8" t="inlineStr">
        <is>
          <t>PAYMENT_NOT_IN_ETM</t>
        </is>
      </c>
      <c r="G33" s="8" t="inlineStr">
        <is>
          <t>Бот ETM</t>
        </is>
      </c>
      <c r="H33" s="8" t="inlineStr">
        <is>
          <t>B</t>
        </is>
      </c>
      <c r="I33" s="12" t="inlineStr">
        <is>
          <t>Поступление 408,900.00 есть в 1С, зачисления на баланс ETM нет</t>
        </is>
      </c>
      <c r="J33" s="14" t="n">
        <v>-408900</v>
      </c>
    </row>
    <row r="34">
      <c r="A34" s="8" t="inlineStr">
        <is>
          <t>ИП Муратов Э. У.</t>
        </is>
      </c>
      <c r="B34" s="21" t="n">
        <v>46084.39807870371</v>
      </c>
      <c r="C34" s="8" t="inlineStr">
        <is>
          <t>ETM</t>
        </is>
      </c>
      <c r="D34" s="8" t="inlineStr">
        <is>
          <t>57119283</t>
        </is>
      </c>
      <c r="E34" s="14" t="n">
        <v>408700</v>
      </c>
      <c r="F34" s="8" t="inlineStr">
        <is>
          <t>ETM_PAYMENT_IN_MISSING_ACT_MONTH</t>
        </is>
      </c>
      <c r="G34" s="8" t="inlineStr">
        <is>
          <t>Выгрузка 1С</t>
        </is>
      </c>
      <c r="H34" s="8" t="inlineStr">
        <is>
          <t>B</t>
        </is>
      </c>
      <c r="I34" s="12" t="inlineStr">
        <is>
          <t>Оплата есть в ETM, акт 1С за месяц не выгружен</t>
        </is>
      </c>
      <c r="J34" s="14" t="n">
        <v>408700</v>
      </c>
    </row>
    <row r="35">
      <c r="A35" s="8" t="inlineStr">
        <is>
          <t>Эсенбекова Айгуль Нурбекевна</t>
        </is>
      </c>
      <c r="B35" s="21" t="n">
        <v>46090</v>
      </c>
      <c r="C35" s="8" t="inlineStr">
        <is>
          <t>1C</t>
        </is>
      </c>
      <c r="D35" s="8" t="inlineStr">
        <is>
          <t>Поступление на р/с, п/п ЦБ-С002301</t>
        </is>
      </c>
      <c r="E35" s="14" t="n">
        <v>408500</v>
      </c>
      <c r="F35" s="8" t="inlineStr">
        <is>
          <t>PAYMENT_NOT_IN_ETM</t>
        </is>
      </c>
      <c r="G35" s="8" t="inlineStr">
        <is>
          <t>Бот ETM</t>
        </is>
      </c>
      <c r="H35" s="8" t="inlineStr">
        <is>
          <t>B</t>
        </is>
      </c>
      <c r="I35" s="12" t="inlineStr">
        <is>
          <t>Поступление 408,500.00 есть в 1С, зачисления на баланс ETM нет</t>
        </is>
      </c>
      <c r="J35" s="14" t="n">
        <v>-408500</v>
      </c>
    </row>
    <row r="36">
      <c r="A36" s="8" t="inlineStr">
        <is>
          <t>SkyWay Travel</t>
        </is>
      </c>
      <c r="B36" s="21" t="n">
        <v>46073</v>
      </c>
      <c r="C36" s="8" t="inlineStr">
        <is>
          <t>1C</t>
        </is>
      </c>
      <c r="D36" s="8" t="inlineStr">
        <is>
          <t>Поступление на р/с, п/п ЦБ-С000484</t>
        </is>
      </c>
      <c r="E36" s="14" t="n">
        <v>404500</v>
      </c>
      <c r="F36" s="8" t="inlineStr">
        <is>
          <t>PAYMENT_NOT_IN_ETM</t>
        </is>
      </c>
      <c r="G36" s="8" t="inlineStr">
        <is>
          <t>Бот ETM</t>
        </is>
      </c>
      <c r="H36" s="8" t="inlineStr">
        <is>
          <t>B</t>
        </is>
      </c>
      <c r="I36" s="12" t="inlineStr">
        <is>
          <t>Поступление 404,500.00 есть в 1С, зачисления на баланс ETM нет</t>
        </is>
      </c>
      <c r="J36" s="14" t="n">
        <v>-404500</v>
      </c>
    </row>
    <row r="37">
      <c r="A37" s="8" t="inlineStr">
        <is>
          <t>SkyWay Travel</t>
        </is>
      </c>
      <c r="B37" s="21" t="n">
        <v>46026</v>
      </c>
      <c r="C37" s="8" t="inlineStr">
        <is>
          <t>1C</t>
        </is>
      </c>
      <c r="D37" s="8" t="inlineStr">
        <is>
          <t>Приход в кассу ЦБ-С001798</t>
        </is>
      </c>
      <c r="E37" s="14" t="n">
        <v>398700</v>
      </c>
      <c r="F37" s="8" t="inlineStr">
        <is>
          <t>PAYMENT_NOT_IN_ETM</t>
        </is>
      </c>
      <c r="G37" s="8" t="inlineStr">
        <is>
          <t>Бот ETM</t>
        </is>
      </c>
      <c r="H37" s="8" t="inlineStr">
        <is>
          <t>B</t>
        </is>
      </c>
      <c r="I37" s="12" t="inlineStr">
        <is>
          <t>Поступление 398,700.00 есть в 1С, зачисления на баланс ETM нет</t>
        </is>
      </c>
      <c r="J37" s="14" t="n">
        <v>-398700</v>
      </c>
    </row>
    <row r="38">
      <c r="A38" s="8" t="inlineStr">
        <is>
          <t>Байтур Трип</t>
        </is>
      </c>
      <c r="B38" s="21" t="n">
        <v>46045</v>
      </c>
      <c r="C38" s="8" t="inlineStr">
        <is>
          <t>1C</t>
        </is>
      </c>
      <c r="D38" s="8" t="inlineStr">
        <is>
          <t>Поступление на р/с, п/п ЦБ-С001360</t>
        </is>
      </c>
      <c r="E38" s="14" t="n">
        <v>395300</v>
      </c>
      <c r="F38" s="8" t="inlineStr">
        <is>
          <t>PAYMENT_NOT_IN_ETM</t>
        </is>
      </c>
      <c r="G38" s="8" t="inlineStr">
        <is>
          <t>Бот ETM</t>
        </is>
      </c>
      <c r="H38" s="8" t="inlineStr">
        <is>
          <t>B</t>
        </is>
      </c>
      <c r="I38" s="12" t="inlineStr">
        <is>
          <t>Поступление 395,300.00 есть в 1С, зачисления на баланс ETM нет</t>
        </is>
      </c>
      <c r="J38" s="14" t="n">
        <v>-395300</v>
      </c>
    </row>
    <row r="39">
      <c r="A39" s="8" t="inlineStr">
        <is>
          <t>Kumtor Tours</t>
        </is>
      </c>
      <c r="B39" s="21" t="n">
        <v>46080</v>
      </c>
      <c r="C39" s="8" t="inlineStr">
        <is>
          <t>1C</t>
        </is>
      </c>
      <c r="D39" s="8" t="inlineStr">
        <is>
          <t>Поступление на р/с, п/п ЦБ-С000458</t>
        </is>
      </c>
      <c r="E39" s="14" t="n">
        <v>393900</v>
      </c>
      <c r="F39" s="8" t="inlineStr">
        <is>
          <t>PAYMENT_NOT_IN_ETM</t>
        </is>
      </c>
      <c r="G39" s="8" t="inlineStr">
        <is>
          <t>Бот ETM</t>
        </is>
      </c>
      <c r="H39" s="8" t="inlineStr">
        <is>
          <t>B</t>
        </is>
      </c>
      <c r="I39" s="12" t="inlineStr">
        <is>
          <t>Поступление 393,900.00 есть в 1С, зачисления на баланс ETM нет</t>
        </is>
      </c>
      <c r="J39" s="14" t="n">
        <v>-393900</v>
      </c>
    </row>
    <row r="40">
      <c r="A40" s="8" t="inlineStr">
        <is>
          <t>ОсОО Кок-Жайык Лайн</t>
        </is>
      </c>
      <c r="B40" s="21" t="n">
        <v>46104</v>
      </c>
      <c r="C40" s="8" t="inlineStr">
        <is>
          <t>1C</t>
        </is>
      </c>
      <c r="D40" s="8" t="inlineStr">
        <is>
          <t>Поступление на р/с, п/п ЦБ-С000706</t>
        </is>
      </c>
      <c r="E40" s="14" t="n">
        <v>392900</v>
      </c>
      <c r="F40" s="8" t="inlineStr">
        <is>
          <t>PAYMENT_NOT_IN_ETM</t>
        </is>
      </c>
      <c r="G40" s="8" t="inlineStr">
        <is>
          <t>Бот ETM</t>
        </is>
      </c>
      <c r="H40" s="8" t="inlineStr">
        <is>
          <t>B</t>
        </is>
      </c>
      <c r="I40" s="12" t="inlineStr">
        <is>
          <t>Поступление 392,900.00 есть в 1С, зачисления на баланс ETM нет</t>
        </is>
      </c>
      <c r="J40" s="14" t="n">
        <v>-392900</v>
      </c>
    </row>
    <row r="41">
      <c r="A41" s="8" t="inlineStr">
        <is>
          <t>ТАЛАС ЛАЙН</t>
        </is>
      </c>
      <c r="B41" s="21" t="n">
        <v>46200</v>
      </c>
      <c r="C41" s="8" t="inlineStr">
        <is>
          <t>1C</t>
        </is>
      </c>
      <c r="D41" s="8" t="inlineStr">
        <is>
          <t>Поступление на р/с, п/п ЦБ-С000208</t>
        </is>
      </c>
      <c r="E41" s="14" t="n">
        <v>392800</v>
      </c>
      <c r="F41" s="8" t="inlineStr">
        <is>
          <t>PAYMENT_NOT_IN_ETM</t>
        </is>
      </c>
      <c r="G41" s="8" t="inlineStr">
        <is>
          <t>Бот ETM</t>
        </is>
      </c>
      <c r="H41" s="8" t="inlineStr">
        <is>
          <t>B</t>
        </is>
      </c>
      <c r="I41" s="12" t="inlineStr">
        <is>
          <t>Поступление 392,800.00 есть в 1С, зачисления на баланс ETM нет</t>
        </is>
      </c>
      <c r="J41" s="14" t="n">
        <v>-392800</v>
      </c>
    </row>
    <row r="42">
      <c r="A42" s="8" t="inlineStr">
        <is>
          <t>Абдылда уулу Б.</t>
        </is>
      </c>
      <c r="B42" s="21" t="n">
        <v>46160</v>
      </c>
      <c r="C42" s="8" t="inlineStr">
        <is>
          <t>1C</t>
        </is>
      </c>
      <c r="D42" s="8" t="inlineStr">
        <is>
          <t>Поступление на р/с, п/п ЦБ-С000088</t>
        </is>
      </c>
      <c r="E42" s="14" t="n">
        <v>389200</v>
      </c>
      <c r="F42" s="8" t="inlineStr">
        <is>
          <t>PAYMENT_NOT_IN_ETM</t>
        </is>
      </c>
      <c r="G42" s="8" t="inlineStr">
        <is>
          <t>Бот ETM</t>
        </is>
      </c>
      <c r="H42" s="8" t="inlineStr">
        <is>
          <t>B</t>
        </is>
      </c>
      <c r="I42" s="12" t="inlineStr">
        <is>
          <t>Поступление 389,200.00 есть в 1С, зачисления на баланс ETM нет</t>
        </is>
      </c>
      <c r="J42" s="14" t="n">
        <v>-389200</v>
      </c>
    </row>
    <row r="43">
      <c r="A43" s="8" t="inlineStr">
        <is>
          <t>Ак-Куу Авиа</t>
        </is>
      </c>
      <c r="B43" s="21" t="n">
        <v>46067</v>
      </c>
      <c r="C43" s="8" t="inlineStr">
        <is>
          <t>1C</t>
        </is>
      </c>
      <c r="D43" s="8" t="inlineStr">
        <is>
          <t>Поступление на р/с, п/п ЦБ-С002383</t>
        </is>
      </c>
      <c r="E43" s="14" t="n">
        <v>389100</v>
      </c>
      <c r="F43" s="8" t="inlineStr">
        <is>
          <t>PAYMENT_NOT_IN_ETM</t>
        </is>
      </c>
      <c r="G43" s="8" t="inlineStr">
        <is>
          <t>Бот ETM</t>
        </is>
      </c>
      <c r="H43" s="8" t="inlineStr">
        <is>
          <t>B</t>
        </is>
      </c>
      <c r="I43" s="12" t="inlineStr">
        <is>
          <t>Поступление 389,100.00 есть в 1С, зачисления на баланс ETM нет</t>
        </is>
      </c>
      <c r="J43" s="14" t="n">
        <v>-389100</v>
      </c>
    </row>
    <row r="44">
      <c r="A44" s="8" t="inlineStr">
        <is>
          <t>ИП Бейшенова Д. О.</t>
        </is>
      </c>
      <c r="B44" s="21" t="n">
        <v>46083.76814814815</v>
      </c>
      <c r="C44" s="8" t="inlineStr">
        <is>
          <t>ETM</t>
        </is>
      </c>
      <c r="D44" s="8" t="inlineStr">
        <is>
          <t>57117017</t>
        </is>
      </c>
      <c r="E44" s="14" t="n">
        <v>388600</v>
      </c>
      <c r="F44" s="8" t="inlineStr">
        <is>
          <t>REPEATED_CREDIT</t>
        </is>
      </c>
      <c r="G44" s="8" t="inlineStr">
        <is>
          <t>Бот ETM</t>
        </is>
      </c>
      <c r="H44" s="8" t="inlineStr">
        <is>
          <t>A</t>
        </is>
      </c>
      <c r="I44" s="12" t="inlineStr">
        <is>
          <t>Оплата на 388,600.00 повторно зачислена в ETM через 8.1 ч, в 1С поступление одно</t>
        </is>
      </c>
      <c r="J44" s="14" t="n">
        <v>388600</v>
      </c>
    </row>
    <row r="45">
      <c r="A45" s="8" t="inlineStr">
        <is>
          <t>Абдылда уулу Б.</t>
        </is>
      </c>
      <c r="B45" s="21" t="n">
        <v>46048</v>
      </c>
      <c r="C45" s="8" t="inlineStr">
        <is>
          <t>1C</t>
        </is>
      </c>
      <c r="D45" s="8" t="inlineStr">
        <is>
          <t>Приход в кассу ЦБ-С001881</t>
        </is>
      </c>
      <c r="E45" s="14" t="n">
        <v>386500</v>
      </c>
      <c r="F45" s="8" t="inlineStr">
        <is>
          <t>PAYMENT_NOT_IN_ETM</t>
        </is>
      </c>
      <c r="G45" s="8" t="inlineStr">
        <is>
          <t>Бот ETM</t>
        </is>
      </c>
      <c r="H45" s="8" t="inlineStr">
        <is>
          <t>B</t>
        </is>
      </c>
      <c r="I45" s="12" t="inlineStr">
        <is>
          <t>Поступление 386,500.00 есть в 1С, зачисления на баланс ETM нет</t>
        </is>
      </c>
      <c r="J45" s="14" t="n">
        <v>-386500</v>
      </c>
    </row>
    <row r="46">
      <c r="A46" s="8" t="inlineStr">
        <is>
          <t>Чынар уулу Эмир</t>
        </is>
      </c>
      <c r="B46" s="21" t="n">
        <v>46075.49528935185</v>
      </c>
      <c r="C46" s="8" t="inlineStr">
        <is>
          <t>ETM</t>
        </is>
      </c>
      <c r="D46" s="8" t="inlineStr">
        <is>
          <t>57102637</t>
        </is>
      </c>
      <c r="E46" s="14" t="n">
        <v>381200</v>
      </c>
      <c r="F46" s="8" t="inlineStr">
        <is>
          <t>ETM_PAYMENT_IN_MISSING_ACT_MONTH</t>
        </is>
      </c>
      <c r="G46" s="8" t="inlineStr">
        <is>
          <t>Выгрузка 1С</t>
        </is>
      </c>
      <c r="H46" s="8" t="inlineStr">
        <is>
          <t>B</t>
        </is>
      </c>
      <c r="I46" s="12" t="inlineStr">
        <is>
          <t>Оплата есть в ETM, акт 1С за месяц не выгружен</t>
        </is>
      </c>
      <c r="J46" s="14" t="n">
        <v>381200</v>
      </c>
    </row>
    <row r="47">
      <c r="A47" s="8" t="inlineStr">
        <is>
          <t>Бейшенова Н. Ч.</t>
        </is>
      </c>
      <c r="B47" s="21" t="n">
        <v>46037</v>
      </c>
      <c r="C47" s="8" t="inlineStr">
        <is>
          <t>1C</t>
        </is>
      </c>
      <c r="D47" s="8" t="inlineStr">
        <is>
          <t>Приход в кассу ЦБ-С000390</t>
        </is>
      </c>
      <c r="E47" s="14" t="n">
        <v>377600</v>
      </c>
      <c r="F47" s="8" t="inlineStr">
        <is>
          <t>PAYMENT_NOT_IN_ETM</t>
        </is>
      </c>
      <c r="G47" s="8" t="inlineStr">
        <is>
          <t>Бот ETM</t>
        </is>
      </c>
      <c r="H47" s="8" t="inlineStr">
        <is>
          <t>B</t>
        </is>
      </c>
      <c r="I47" s="12" t="inlineStr">
        <is>
          <t>Поступление 377,600.00 есть в 1С, зачисления на баланс ETM нет</t>
        </is>
      </c>
      <c r="J47" s="14" t="n">
        <v>-377600</v>
      </c>
    </row>
    <row r="48">
      <c r="A48" s="8" t="inlineStr">
        <is>
          <t>ОсОО Алтын Эйр</t>
        </is>
      </c>
      <c r="B48" s="21" t="n">
        <v>46147</v>
      </c>
      <c r="C48" s="8" t="inlineStr">
        <is>
          <t>1C</t>
        </is>
      </c>
      <c r="D48" s="8" t="inlineStr">
        <is>
          <t>Поступление на р/с, п/п ЦБ-С001465</t>
        </is>
      </c>
      <c r="E48" s="14" t="n">
        <v>377600</v>
      </c>
      <c r="F48" s="8" t="inlineStr">
        <is>
          <t>PAYMENT_NOT_IN_ETM</t>
        </is>
      </c>
      <c r="G48" s="8" t="inlineStr">
        <is>
          <t>Бот ETM</t>
        </is>
      </c>
      <c r="H48" s="8" t="inlineStr">
        <is>
          <t>B</t>
        </is>
      </c>
      <c r="I48" s="12" t="inlineStr">
        <is>
          <t>Поступление 377,600.00 есть в 1С, зачисления на баланс ETM нет</t>
        </is>
      </c>
      <c r="J48" s="14" t="n">
        <v>-377600</v>
      </c>
    </row>
    <row r="49">
      <c r="A49" s="8" t="inlineStr">
        <is>
          <t>Сатар уулу Санжар</t>
        </is>
      </c>
      <c r="B49" s="21" t="n">
        <v>46232.70319444445</v>
      </c>
      <c r="C49" s="8" t="inlineStr">
        <is>
          <t>ETM</t>
        </is>
      </c>
      <c r="D49" s="8" t="inlineStr">
        <is>
          <t>57493417</t>
        </is>
      </c>
      <c r="E49" s="14" t="n">
        <v>375900</v>
      </c>
      <c r="F49" s="8" t="inlineStr">
        <is>
          <t>REPEATED_CREDIT</t>
        </is>
      </c>
      <c r="G49" s="8" t="inlineStr">
        <is>
          <t>Бот ETM</t>
        </is>
      </c>
      <c r="H49" s="8" t="inlineStr">
        <is>
          <t>A</t>
        </is>
      </c>
      <c r="I49" s="12" t="inlineStr">
        <is>
          <t>Оплата на 375,900.00 повторно зачислена в ETM через 29.0 ч, в 1С поступление одно</t>
        </is>
      </c>
      <c r="J49" s="14" t="n">
        <v>375900</v>
      </c>
    </row>
    <row r="50">
      <c r="A50" s="8" t="inlineStr">
        <is>
          <t>ТАЛАС ЛАЙН</t>
        </is>
      </c>
      <c r="B50" s="21" t="n">
        <v>46132</v>
      </c>
      <c r="C50" s="8" t="inlineStr">
        <is>
          <t>1C</t>
        </is>
      </c>
      <c r="D50" s="8" t="inlineStr">
        <is>
          <t>Поступление на р/с, п/п ЦБ-С001653</t>
        </is>
      </c>
      <c r="E50" s="14" t="n">
        <v>374700</v>
      </c>
      <c r="F50" s="8" t="inlineStr">
        <is>
          <t>PAYMENT_NOT_IN_ETM</t>
        </is>
      </c>
      <c r="G50" s="8" t="inlineStr">
        <is>
          <t>Бот ETM</t>
        </is>
      </c>
      <c r="H50" s="8" t="inlineStr">
        <is>
          <t>B</t>
        </is>
      </c>
      <c r="I50" s="12" t="inlineStr">
        <is>
          <t>Поступление 374,700.00 есть в 1С, зачисления на баланс ETM нет</t>
        </is>
      </c>
      <c r="J50" s="14" t="n">
        <v>-374700</v>
      </c>
    </row>
    <row r="51">
      <c r="A51" s="8" t="inlineStr">
        <is>
          <t>Сатар уулу Санжар</t>
        </is>
      </c>
      <c r="B51" s="21" t="n">
        <v>46185.49255787037</v>
      </c>
      <c r="C51" s="8" t="inlineStr">
        <is>
          <t>ETM</t>
        </is>
      </c>
      <c r="D51" s="8" t="inlineStr">
        <is>
          <t>57360373</t>
        </is>
      </c>
      <c r="E51" s="14" t="n">
        <v>366400</v>
      </c>
      <c r="F51" s="8" t="inlineStr">
        <is>
          <t>ETM_PAYMENT_IN_MISSING_ACT_MONTH</t>
        </is>
      </c>
      <c r="G51" s="8" t="inlineStr">
        <is>
          <t>Выгрузка 1С</t>
        </is>
      </c>
      <c r="H51" s="8" t="inlineStr">
        <is>
          <t>B</t>
        </is>
      </c>
      <c r="I51" s="12" t="inlineStr">
        <is>
          <t>Оплата есть в ETM, акт 1С за месяц не выгружен</t>
        </is>
      </c>
      <c r="J51" s="14" t="n">
        <v>366400</v>
      </c>
    </row>
    <row r="52">
      <c r="A52" s="8" t="inlineStr">
        <is>
          <t>Ак-Куу Авиа</t>
        </is>
      </c>
      <c r="B52" s="21" t="n">
        <v>46056.80211805556</v>
      </c>
      <c r="C52" s="8" t="inlineStr">
        <is>
          <t>ETM</t>
        </is>
      </c>
      <c r="D52" s="8" t="inlineStr">
        <is>
          <t>57070163</t>
        </is>
      </c>
      <c r="E52" s="14" t="n">
        <v>365100</v>
      </c>
      <c r="F52" s="8" t="inlineStr">
        <is>
          <t>REPEATED_CREDIT</t>
        </is>
      </c>
      <c r="G52" s="8" t="inlineStr">
        <is>
          <t>Бот ETM</t>
        </is>
      </c>
      <c r="H52" s="8" t="inlineStr">
        <is>
          <t>A</t>
        </is>
      </c>
      <c r="I52" s="12" t="inlineStr">
        <is>
          <t>Оплата на 365,100.00 повторно зачислена в ETM через 3.1 ч, в 1С поступление одно</t>
        </is>
      </c>
      <c r="J52" s="14" t="n">
        <v>365100</v>
      </c>
    </row>
    <row r="53">
      <c r="A53" s="8" t="inlineStr">
        <is>
          <t>Чынар уулу Эмир</t>
        </is>
      </c>
      <c r="B53" s="21" t="n">
        <v>46103.83230324074</v>
      </c>
      <c r="C53" s="8" t="inlineStr">
        <is>
          <t>ETM</t>
        </is>
      </c>
      <c r="D53" s="8" t="inlineStr">
        <is>
          <t>57163336</t>
        </is>
      </c>
      <c r="E53" s="14" t="n">
        <v>364400</v>
      </c>
      <c r="F53" s="8" t="inlineStr">
        <is>
          <t>ETM_PAYMENT_IN_MISSING_ACT_MONTH</t>
        </is>
      </c>
      <c r="G53" s="8" t="inlineStr">
        <is>
          <t>Выгрузка 1С</t>
        </is>
      </c>
      <c r="H53" s="8" t="inlineStr">
        <is>
          <t>B</t>
        </is>
      </c>
      <c r="I53" s="12" t="inlineStr">
        <is>
          <t>Оплата есть в ETM, акт 1С за месяц не выгружен</t>
        </is>
      </c>
      <c r="J53" s="14" t="n">
        <v>364400</v>
      </c>
    </row>
    <row r="54">
      <c r="A54" s="8" t="inlineStr">
        <is>
          <t>Сатар уулу Санжар</t>
        </is>
      </c>
      <c r="B54" s="21" t="n">
        <v>46176.4012037037</v>
      </c>
      <c r="C54" s="8" t="inlineStr">
        <is>
          <t>ETM</t>
        </is>
      </c>
      <c r="D54" s="8" t="inlineStr">
        <is>
          <t>57337646</t>
        </is>
      </c>
      <c r="E54" s="14" t="n">
        <v>364300</v>
      </c>
      <c r="F54" s="8" t="inlineStr">
        <is>
          <t>ETM_PAYMENT_IN_MISSING_ACT_MONTH</t>
        </is>
      </c>
      <c r="G54" s="8" t="inlineStr">
        <is>
          <t>Выгрузка 1С</t>
        </is>
      </c>
      <c r="H54" s="8" t="inlineStr">
        <is>
          <t>B</t>
        </is>
      </c>
      <c r="I54" s="12" t="inlineStr">
        <is>
          <t>Оплата есть в ETM, акт 1С за месяц не выгружен</t>
        </is>
      </c>
      <c r="J54" s="14" t="n">
        <v>364300</v>
      </c>
    </row>
    <row r="55">
      <c r="A55" s="8" t="inlineStr">
        <is>
          <t>ИП Абдылдаова У. О.</t>
        </is>
      </c>
      <c r="B55" s="21" t="n">
        <v>46192</v>
      </c>
      <c r="C55" s="8" t="inlineStr">
        <is>
          <t>1C</t>
        </is>
      </c>
      <c r="D55" s="8" t="inlineStr">
        <is>
          <t>Приход в кассу ЦБ-С002236</t>
        </is>
      </c>
      <c r="E55" s="14" t="n">
        <v>362200</v>
      </c>
      <c r="F55" s="8" t="inlineStr">
        <is>
          <t>PAYMENT_NOT_IN_ETM</t>
        </is>
      </c>
      <c r="G55" s="8" t="inlineStr">
        <is>
          <t>Бот ETM</t>
        </is>
      </c>
      <c r="H55" s="8" t="inlineStr">
        <is>
          <t>B</t>
        </is>
      </c>
      <c r="I55" s="12" t="inlineStr">
        <is>
          <t>Поступление 362,200.00 есть в 1С, зачисления на баланс ETM нет</t>
        </is>
      </c>
      <c r="J55" s="14" t="n">
        <v>-362200</v>
      </c>
    </row>
    <row r="56">
      <c r="A56" s="8" t="inlineStr">
        <is>
          <t>Tengri Trip</t>
        </is>
      </c>
      <c r="B56" s="21" t="n">
        <v>46178</v>
      </c>
      <c r="C56" s="8" t="inlineStr">
        <is>
          <t>1C</t>
        </is>
      </c>
      <c r="D56" s="8" t="inlineStr">
        <is>
          <t>Поступление на р/с, п/п ЦБ-С001371</t>
        </is>
      </c>
      <c r="E56" s="14" t="n">
        <v>362100</v>
      </c>
      <c r="F56" s="8" t="inlineStr">
        <is>
          <t>PAYMENT_NOT_IN_ETM</t>
        </is>
      </c>
      <c r="G56" s="8" t="inlineStr">
        <is>
          <t>Бот ETM</t>
        </is>
      </c>
      <c r="H56" s="8" t="inlineStr">
        <is>
          <t>B</t>
        </is>
      </c>
      <c r="I56" s="12" t="inlineStr">
        <is>
          <t>Поступление 362,100.00 есть в 1С, зачисления на баланс ETM нет</t>
        </is>
      </c>
      <c r="J56" s="14" t="n">
        <v>-362100</v>
      </c>
    </row>
    <row r="57">
      <c r="A57" s="8" t="inlineStr">
        <is>
          <t>ИП Жумабекова Б. Н.</t>
        </is>
      </c>
      <c r="B57" s="21" t="n">
        <v>46143.51449074074</v>
      </c>
      <c r="C57" s="8" t="inlineStr">
        <is>
          <t>ETM</t>
        </is>
      </c>
      <c r="D57" s="8" t="inlineStr">
        <is>
          <t>57240781</t>
        </is>
      </c>
      <c r="E57" s="14" t="n">
        <v>356500</v>
      </c>
      <c r="F57" s="8" t="inlineStr">
        <is>
          <t>ETM_PAYMENT_IN_MISSING_ACT_MONTH</t>
        </is>
      </c>
      <c r="G57" s="8" t="inlineStr">
        <is>
          <t>Выгрузка 1С</t>
        </is>
      </c>
      <c r="H57" s="8" t="inlineStr">
        <is>
          <t>B</t>
        </is>
      </c>
      <c r="I57" s="12" t="inlineStr">
        <is>
          <t>Оплата есть в ETM, акт 1С за месяц не выгружен</t>
        </is>
      </c>
      <c r="J57" s="14" t="n">
        <v>356500</v>
      </c>
    </row>
    <row r="58">
      <c r="A58" s="8" t="inlineStr">
        <is>
          <t>ИП Токтосун кызы Н.</t>
        </is>
      </c>
      <c r="B58" s="21" t="n">
        <v>46087</v>
      </c>
      <c r="C58" s="8" t="inlineStr">
        <is>
          <t>1C</t>
        </is>
      </c>
      <c r="D58" s="8" t="inlineStr">
        <is>
          <t>Поступление на р/с, п/п ЦБ-С000837</t>
        </is>
      </c>
      <c r="E58" s="14" t="n">
        <v>355300</v>
      </c>
      <c r="F58" s="8" t="inlineStr">
        <is>
          <t>PAYMENT_NOT_IN_ETM</t>
        </is>
      </c>
      <c r="G58" s="8" t="inlineStr">
        <is>
          <t>Бот ETM</t>
        </is>
      </c>
      <c r="H58" s="8" t="inlineStr">
        <is>
          <t>B</t>
        </is>
      </c>
      <c r="I58" s="12" t="inlineStr">
        <is>
          <t>Поступление 355,300.00 есть в 1С, зачисления на баланс ETM нет</t>
        </is>
      </c>
      <c r="J58" s="14" t="n">
        <v>-355300</v>
      </c>
    </row>
    <row r="59">
      <c r="A59" s="8" t="inlineStr">
        <is>
          <t>Steppe Travel</t>
        </is>
      </c>
      <c r="B59" s="21" t="n">
        <v>46092</v>
      </c>
      <c r="C59" s="8" t="inlineStr">
        <is>
          <t>1C</t>
        </is>
      </c>
      <c r="D59" s="8" t="inlineStr">
        <is>
          <t>Поступление на р/с, п/п ЦБ-С002297</t>
        </is>
      </c>
      <c r="E59" s="14" t="n">
        <v>354300</v>
      </c>
      <c r="F59" s="8" t="inlineStr">
        <is>
          <t>PAYMENT_NOT_IN_ETM</t>
        </is>
      </c>
      <c r="G59" s="8" t="inlineStr">
        <is>
          <t>Бот ETM</t>
        </is>
      </c>
      <c r="H59" s="8" t="inlineStr">
        <is>
          <t>B</t>
        </is>
      </c>
      <c r="I59" s="12" t="inlineStr">
        <is>
          <t>Поступление 354,300.00 есть в 1С, зачисления на баланс ETM нет</t>
        </is>
      </c>
      <c r="J59" s="14" t="n">
        <v>-354300</v>
      </c>
    </row>
    <row r="60">
      <c r="A60" s="8" t="inlineStr">
        <is>
          <t>ИССЫК ТРИП</t>
        </is>
      </c>
      <c r="B60" s="21" t="n">
        <v>46054.37175925926</v>
      </c>
      <c r="C60" s="8" t="inlineStr">
        <is>
          <t>ETM</t>
        </is>
      </c>
      <c r="D60" s="8" t="inlineStr">
        <is>
          <t>57066560</t>
        </is>
      </c>
      <c r="E60" s="14" t="n">
        <v>354100</v>
      </c>
      <c r="F60" s="8" t="inlineStr">
        <is>
          <t>ETM_PAYMENT_IN_MISSING_ACT_MONTH</t>
        </is>
      </c>
      <c r="G60" s="8" t="inlineStr">
        <is>
          <t>Выгрузка 1С</t>
        </is>
      </c>
      <c r="H60" s="8" t="inlineStr">
        <is>
          <t>B</t>
        </is>
      </c>
      <c r="I60" s="12" t="inlineStr">
        <is>
          <t>Оплата есть в ETM, акт 1С за месяц не выгружен</t>
        </is>
      </c>
      <c r="J60" s="14" t="n">
        <v>354100</v>
      </c>
    </row>
    <row r="61">
      <c r="A61" s="8" t="inlineStr">
        <is>
          <t>ИССЫК ТРИП</t>
        </is>
      </c>
      <c r="B61" s="21" t="n">
        <v>46067.65099537037</v>
      </c>
      <c r="C61" s="8" t="inlineStr">
        <is>
          <t>ETM</t>
        </is>
      </c>
      <c r="D61" s="8" t="inlineStr">
        <is>
          <t>57090105</t>
        </is>
      </c>
      <c r="E61" s="14" t="n">
        <v>353300</v>
      </c>
      <c r="F61" s="8" t="inlineStr">
        <is>
          <t>ETM_PAYMENT_IN_MISSING_ACT_MONTH</t>
        </is>
      </c>
      <c r="G61" s="8" t="inlineStr">
        <is>
          <t>Выгрузка 1С</t>
        </is>
      </c>
      <c r="H61" s="8" t="inlineStr">
        <is>
          <t>B</t>
        </is>
      </c>
      <c r="I61" s="12" t="inlineStr">
        <is>
          <t>Оплата есть в ETM, акт 1С за месяц не выгружен</t>
        </is>
      </c>
      <c r="J61" s="14" t="n">
        <v>353300</v>
      </c>
    </row>
    <row r="62">
      <c r="A62" s="8" t="inlineStr">
        <is>
          <t>Тянь-Шань Тур</t>
        </is>
      </c>
      <c r="B62" s="21" t="n">
        <v>46126.58655092592</v>
      </c>
      <c r="C62" s="8" t="inlineStr">
        <is>
          <t>ETM</t>
        </is>
      </c>
      <c r="D62" s="8" t="inlineStr">
        <is>
          <t>57206242</t>
        </is>
      </c>
      <c r="E62" s="14" t="n">
        <v>350600</v>
      </c>
      <c r="F62" s="8" t="inlineStr">
        <is>
          <t>ETM_PAYMENT_IN_MISSING_ACT_MONTH</t>
        </is>
      </c>
      <c r="G62" s="8" t="inlineStr">
        <is>
          <t>Выгрузка 1С</t>
        </is>
      </c>
      <c r="H62" s="8" t="inlineStr">
        <is>
          <t>B</t>
        </is>
      </c>
      <c r="I62" s="12" t="inlineStr">
        <is>
          <t>Оплата есть в ETM, акт 1С за месяц не выгружен</t>
        </is>
      </c>
      <c r="J62" s="14" t="n">
        <v>350600</v>
      </c>
    </row>
    <row r="63">
      <c r="A63" s="8" t="inlineStr">
        <is>
          <t>ИП Абдылдаова У. О.</t>
        </is>
      </c>
      <c r="B63" s="21" t="n">
        <v>46035</v>
      </c>
      <c r="C63" s="8" t="inlineStr">
        <is>
          <t>1C</t>
        </is>
      </c>
      <c r="D63" s="8" t="inlineStr">
        <is>
          <t>Поступление на р/с, п/п ЦБ-С000512</t>
        </is>
      </c>
      <c r="E63" s="14" t="n">
        <v>350100</v>
      </c>
      <c r="F63" s="8" t="inlineStr">
        <is>
          <t>PAYMENT_NOT_IN_ETM</t>
        </is>
      </c>
      <c r="G63" s="8" t="inlineStr">
        <is>
          <t>Бот ETM</t>
        </is>
      </c>
      <c r="H63" s="8" t="inlineStr">
        <is>
          <t>B</t>
        </is>
      </c>
      <c r="I63" s="12" t="inlineStr">
        <is>
          <t>Поступление 350,100.00 есть в 1С, зачисления на баланс ETM нет</t>
        </is>
      </c>
      <c r="J63" s="14" t="n">
        <v>-350100</v>
      </c>
    </row>
    <row r="64">
      <c r="A64" s="8" t="inlineStr">
        <is>
          <t>Абдыраманова Д. А.</t>
        </is>
      </c>
      <c r="B64" s="21" t="n">
        <v>46048</v>
      </c>
      <c r="C64" s="8" t="inlineStr">
        <is>
          <t>1C</t>
        </is>
      </c>
      <c r="D64" s="8" t="inlineStr">
        <is>
          <t>Поступление на р/с, п/п ЦБ-С001185</t>
        </is>
      </c>
      <c r="E64" s="14" t="n">
        <v>348900</v>
      </c>
      <c r="F64" s="8" t="inlineStr">
        <is>
          <t>PAYMENT_NOT_IN_ETM</t>
        </is>
      </c>
      <c r="G64" s="8" t="inlineStr">
        <is>
          <t>Бот ETM</t>
        </is>
      </c>
      <c r="H64" s="8" t="inlineStr">
        <is>
          <t>B</t>
        </is>
      </c>
      <c r="I64" s="12" t="inlineStr">
        <is>
          <t>Поступление 348,900.00 есть в 1С, зачисления на баланс ETM нет</t>
        </is>
      </c>
      <c r="J64" s="14" t="n">
        <v>-348900</v>
      </c>
    </row>
    <row r="65">
      <c r="A65" s="8" t="inlineStr">
        <is>
          <t>Жолчу кызы А.</t>
        </is>
      </c>
      <c r="B65" s="21" t="n">
        <v>46223</v>
      </c>
      <c r="C65" s="8" t="inlineStr">
        <is>
          <t>1C</t>
        </is>
      </c>
      <c r="D65" s="8" t="inlineStr">
        <is>
          <t>Поступление на р/с, п/п ЦБ-С002170</t>
        </is>
      </c>
      <c r="E65" s="14" t="n">
        <v>348700</v>
      </c>
      <c r="F65" s="8" t="inlineStr">
        <is>
          <t>PAYMENT_NOT_IN_ETM</t>
        </is>
      </c>
      <c r="G65" s="8" t="inlineStr">
        <is>
          <t>Бот ETM</t>
        </is>
      </c>
      <c r="H65" s="8" t="inlineStr">
        <is>
          <t>B</t>
        </is>
      </c>
      <c r="I65" s="12" t="inlineStr">
        <is>
          <t>Поступление 348,700.00 есть в 1С, зачисления на баланс ETM нет</t>
        </is>
      </c>
      <c r="J65" s="14" t="n">
        <v>-348700</v>
      </c>
    </row>
    <row r="66">
      <c r="A66" s="8" t="inlineStr">
        <is>
          <t>ИССЫК ТРИП</t>
        </is>
      </c>
      <c r="B66" s="21" t="n">
        <v>46162.64026620371</v>
      </c>
      <c r="C66" s="8" t="inlineStr">
        <is>
          <t>ETM</t>
        </is>
      </c>
      <c r="D66" s="8" t="inlineStr">
        <is>
          <t>57300423</t>
        </is>
      </c>
      <c r="E66" s="14" t="n">
        <v>347500</v>
      </c>
      <c r="F66" s="8" t="inlineStr">
        <is>
          <t>REPEATED_CREDIT</t>
        </is>
      </c>
      <c r="G66" s="8" t="inlineStr">
        <is>
          <t>Бот ETM</t>
        </is>
      </c>
      <c r="H66" s="8" t="inlineStr">
        <is>
          <t>A</t>
        </is>
      </c>
      <c r="I66" s="12" t="inlineStr">
        <is>
          <t>Оплата на 347,500.00 повторно зачислена в ETM через 5.7 ч, в 1С поступление одно</t>
        </is>
      </c>
      <c r="J66" s="14" t="n">
        <v>347500</v>
      </c>
    </row>
    <row r="67">
      <c r="A67" s="8" t="inlineStr">
        <is>
          <t>Сатар уулу Санжар</t>
        </is>
      </c>
      <c r="B67" s="21" t="n">
        <v>46193.41438657408</v>
      </c>
      <c r="C67" s="8" t="inlineStr">
        <is>
          <t>ETM</t>
        </is>
      </c>
      <c r="D67" s="8" t="inlineStr">
        <is>
          <t>57382435</t>
        </is>
      </c>
      <c r="E67" s="14" t="n">
        <v>342700</v>
      </c>
      <c r="F67" s="8" t="inlineStr">
        <is>
          <t>ETM_PAYMENT_IN_MISSING_ACT_MONTH</t>
        </is>
      </c>
      <c r="G67" s="8" t="inlineStr">
        <is>
          <t>Выгрузка 1С</t>
        </is>
      </c>
      <c r="H67" s="8" t="inlineStr">
        <is>
          <t>B</t>
        </is>
      </c>
      <c r="I67" s="12" t="inlineStr">
        <is>
          <t>Оплата есть в ETM, акт 1С за месяц не выгружен</t>
        </is>
      </c>
      <c r="J67" s="14" t="n">
        <v>342700</v>
      </c>
    </row>
    <row r="68">
      <c r="A68" s="8" t="inlineStr">
        <is>
          <t>Жолчу кызы А.</t>
        </is>
      </c>
      <c r="B68" s="21" t="n">
        <v>46184.48518518519</v>
      </c>
      <c r="C68" s="8" t="inlineStr">
        <is>
          <t>ETM</t>
        </is>
      </c>
      <c r="D68" s="8" t="inlineStr">
        <is>
          <t>57358265</t>
        </is>
      </c>
      <c r="E68" s="14" t="n">
        <v>342400</v>
      </c>
      <c r="F68" s="8" t="inlineStr">
        <is>
          <t>ETM_PAYMENT_IN_MISSING_ACT_MONTH</t>
        </is>
      </c>
      <c r="G68" s="8" t="inlineStr">
        <is>
          <t>Выгрузка 1С</t>
        </is>
      </c>
      <c r="H68" s="8" t="inlineStr">
        <is>
          <t>B</t>
        </is>
      </c>
      <c r="I68" s="12" t="inlineStr">
        <is>
          <t>Оплата есть в ETM, акт 1С за месяц не выгружен</t>
        </is>
      </c>
      <c r="J68" s="14" t="n">
        <v>342400</v>
      </c>
    </row>
    <row r="69">
      <c r="A69" s="8" t="inlineStr">
        <is>
          <t>ОсОО Чолпон Авиакасса</t>
        </is>
      </c>
      <c r="B69" s="21" t="n">
        <v>46048</v>
      </c>
      <c r="C69" s="8" t="inlineStr">
        <is>
          <t>1C</t>
        </is>
      </c>
      <c r="D69" s="8" t="inlineStr">
        <is>
          <t>Приход в кассу ЦБ-С001190</t>
        </is>
      </c>
      <c r="E69" s="14" t="n">
        <v>341900</v>
      </c>
      <c r="F69" s="8" t="inlineStr">
        <is>
          <t>PAYMENT_NOT_IN_ETM</t>
        </is>
      </c>
      <c r="G69" s="8" t="inlineStr">
        <is>
          <t>Бот ETM</t>
        </is>
      </c>
      <c r="H69" s="8" t="inlineStr">
        <is>
          <t>B</t>
        </is>
      </c>
      <c r="I69" s="12" t="inlineStr">
        <is>
          <t>Поступление 341,900.00 есть в 1С, зачисления на баланс ETM нет</t>
        </is>
      </c>
      <c r="J69" s="14" t="n">
        <v>-341900</v>
      </c>
    </row>
    <row r="70">
      <c r="A70" s="8" t="inlineStr">
        <is>
          <t>Сатар уулу Санжар</t>
        </is>
      </c>
      <c r="B70" s="21" t="n">
        <v>46197.43700231481</v>
      </c>
      <c r="C70" s="8" t="inlineStr">
        <is>
          <t>ETM</t>
        </is>
      </c>
      <c r="D70" s="8" t="inlineStr">
        <is>
          <t>57394687</t>
        </is>
      </c>
      <c r="E70" s="14" t="n">
        <v>339600</v>
      </c>
      <c r="F70" s="8" t="inlineStr">
        <is>
          <t>ETM_PAYMENT_IN_MISSING_ACT_MONTH</t>
        </is>
      </c>
      <c r="G70" s="8" t="inlineStr">
        <is>
          <t>Выгрузка 1С</t>
        </is>
      </c>
      <c r="H70" s="8" t="inlineStr">
        <is>
          <t>B</t>
        </is>
      </c>
      <c r="I70" s="12" t="inlineStr">
        <is>
          <t>Оплата есть в ETM, акт 1С за месяц не выгружен</t>
        </is>
      </c>
      <c r="J70" s="14" t="n">
        <v>339600</v>
      </c>
    </row>
    <row r="71">
      <c r="A71" s="8" t="inlineStr">
        <is>
          <t>Ыйык Тур</t>
        </is>
      </c>
      <c r="B71" s="21" t="n">
        <v>46197</v>
      </c>
      <c r="C71" s="8" t="inlineStr">
        <is>
          <t>1C</t>
        </is>
      </c>
      <c r="D71" s="8" t="inlineStr">
        <is>
          <t>Приход в кассу ЦБ-С000006</t>
        </is>
      </c>
      <c r="E71" s="14" t="n">
        <v>339400</v>
      </c>
      <c r="F71" s="8" t="inlineStr">
        <is>
          <t>PAYMENT_NOT_IN_ETM</t>
        </is>
      </c>
      <c r="G71" s="8" t="inlineStr">
        <is>
          <t>Бот ETM</t>
        </is>
      </c>
      <c r="H71" s="8" t="inlineStr">
        <is>
          <t>B</t>
        </is>
      </c>
      <c r="I71" s="12" t="inlineStr">
        <is>
          <t>Поступление 339,400.00 есть в 1С, зачисления на баланс ETM нет</t>
        </is>
      </c>
      <c r="J71" s="14" t="n">
        <v>-339400</v>
      </c>
    </row>
    <row r="72">
      <c r="A72" s="8" t="inlineStr">
        <is>
          <t>ИССЫК ТРИП</t>
        </is>
      </c>
      <c r="B72" s="21" t="n">
        <v>46071.66207175926</v>
      </c>
      <c r="C72" s="8" t="inlineStr">
        <is>
          <t>ETM</t>
        </is>
      </c>
      <c r="D72" s="8" t="inlineStr">
        <is>
          <t>57095664</t>
        </is>
      </c>
      <c r="E72" s="14" t="n">
        <v>338700</v>
      </c>
      <c r="F72" s="8" t="inlineStr">
        <is>
          <t>ETM_PAYMENT_IN_MISSING_ACT_MONTH</t>
        </is>
      </c>
      <c r="G72" s="8" t="inlineStr">
        <is>
          <t>Выгрузка 1С</t>
        </is>
      </c>
      <c r="H72" s="8" t="inlineStr">
        <is>
          <t>B</t>
        </is>
      </c>
      <c r="I72" s="12" t="inlineStr">
        <is>
          <t>Оплата есть в ETM, акт 1С за месяц не выгружен</t>
        </is>
      </c>
      <c r="J72" s="14" t="n">
        <v>338700</v>
      </c>
    </row>
    <row r="73">
      <c r="A73" s="8" t="inlineStr">
        <is>
          <t>SkyWay Travel</t>
        </is>
      </c>
      <c r="B73" s="21" t="n">
        <v>46140</v>
      </c>
      <c r="C73" s="8" t="inlineStr">
        <is>
          <t>1C</t>
        </is>
      </c>
      <c r="D73" s="8" t="inlineStr">
        <is>
          <t>Приход в кассу ЦБ-С000756</t>
        </is>
      </c>
      <c r="E73" s="14" t="n">
        <v>338200</v>
      </c>
      <c r="F73" s="8" t="inlineStr">
        <is>
          <t>PAYMENT_NOT_IN_ETM</t>
        </is>
      </c>
      <c r="G73" s="8" t="inlineStr">
        <is>
          <t>Бот ETM</t>
        </is>
      </c>
      <c r="H73" s="8" t="inlineStr">
        <is>
          <t>B</t>
        </is>
      </c>
      <c r="I73" s="12" t="inlineStr">
        <is>
          <t>Поступление 338,200.00 есть в 1С, зачисления на баланс ETM нет</t>
        </is>
      </c>
      <c r="J73" s="14" t="n">
        <v>-338200</v>
      </c>
    </row>
    <row r="74">
      <c r="A74" s="8" t="inlineStr">
        <is>
          <t>Сатар уулу Санжар</t>
        </is>
      </c>
      <c r="B74" s="21" t="n">
        <v>46232</v>
      </c>
      <c r="C74" s="8" t="inlineStr">
        <is>
          <t>1C</t>
        </is>
      </c>
      <c r="D74" s="8" t="inlineStr">
        <is>
          <t>Поступление на р/с, п/п ЦБ-С000891</t>
        </is>
      </c>
      <c r="E74" s="14" t="n">
        <v>337400</v>
      </c>
      <c r="F74" s="8" t="inlineStr">
        <is>
          <t>PAYMENT_NOT_IN_ETM</t>
        </is>
      </c>
      <c r="G74" s="8" t="inlineStr">
        <is>
          <t>Бот ETM</t>
        </is>
      </c>
      <c r="H74" s="8" t="inlineStr">
        <is>
          <t>B</t>
        </is>
      </c>
      <c r="I74" s="12" t="inlineStr">
        <is>
          <t>Поступление 337,400.00 есть в 1С, зачисления на баланс ETM нет</t>
        </is>
      </c>
      <c r="J74" s="14" t="n">
        <v>-337400</v>
      </c>
    </row>
    <row r="75">
      <c r="A75" s="8" t="inlineStr">
        <is>
          <t>Ак-Куу Авиа</t>
        </is>
      </c>
      <c r="B75" s="21" t="n">
        <v>46191</v>
      </c>
      <c r="C75" s="8" t="inlineStr">
        <is>
          <t>1C</t>
        </is>
      </c>
      <c r="D75" s="8" t="inlineStr">
        <is>
          <t>Поступление на р/с, п/п ЦБ-С001054</t>
        </is>
      </c>
      <c r="E75" s="14" t="n">
        <v>336800</v>
      </c>
      <c r="F75" s="8" t="inlineStr">
        <is>
          <t>PAYMENT_NOT_IN_ETM</t>
        </is>
      </c>
      <c r="G75" s="8" t="inlineStr">
        <is>
          <t>Бот ETM</t>
        </is>
      </c>
      <c r="H75" s="8" t="inlineStr">
        <is>
          <t>B</t>
        </is>
      </c>
      <c r="I75" s="12" t="inlineStr">
        <is>
          <t>Поступление 336,800.00 есть в 1С, зачисления на баланс ETM нет</t>
        </is>
      </c>
      <c r="J75" s="14" t="n">
        <v>-336800</v>
      </c>
    </row>
    <row r="76">
      <c r="A76" s="8" t="inlineStr">
        <is>
          <t>ЧОЛПОН ЭЙР</t>
        </is>
      </c>
      <c r="B76" s="21" t="n">
        <v>46155.79525462963</v>
      </c>
      <c r="C76" s="8" t="inlineStr">
        <is>
          <t>ETM</t>
        </is>
      </c>
      <c r="D76" s="8" t="inlineStr">
        <is>
          <t>57278297</t>
        </is>
      </c>
      <c r="E76" s="14" t="n">
        <v>335700</v>
      </c>
      <c r="F76" s="8" t="inlineStr">
        <is>
          <t>REPEATED_CREDIT</t>
        </is>
      </c>
      <c r="G76" s="8" t="inlineStr">
        <is>
          <t>Бот ETM</t>
        </is>
      </c>
      <c r="H76" s="8" t="inlineStr">
        <is>
          <t>A</t>
        </is>
      </c>
      <c r="I76" s="12" t="inlineStr">
        <is>
          <t>Оплата на 335,700.00 повторно зачислена в ETM через 10.0 ч, в 1С поступление одно</t>
        </is>
      </c>
      <c r="J76" s="14" t="n">
        <v>335700</v>
      </c>
    </row>
    <row r="77">
      <c r="A77" s="8" t="inlineStr">
        <is>
          <t>ИССЫК ТРИП</t>
        </is>
      </c>
      <c r="B77" s="21" t="n">
        <v>46054.52894675926</v>
      </c>
      <c r="C77" s="8" t="inlineStr">
        <is>
          <t>ETM</t>
        </is>
      </c>
      <c r="D77" s="8" t="inlineStr">
        <is>
          <t>57066520</t>
        </is>
      </c>
      <c r="E77" s="14" t="n">
        <v>335600</v>
      </c>
      <c r="F77" s="8" t="inlineStr">
        <is>
          <t>ETM_PAYMENT_IN_MISSING_ACT_MONTH</t>
        </is>
      </c>
      <c r="G77" s="8" t="inlineStr">
        <is>
          <t>Выгрузка 1С</t>
        </is>
      </c>
      <c r="H77" s="8" t="inlineStr">
        <is>
          <t>B</t>
        </is>
      </c>
      <c r="I77" s="12" t="inlineStr">
        <is>
          <t>Оплата есть в ETM, акт 1С за месяц не выгружен</t>
        </is>
      </c>
      <c r="J77" s="14" t="n">
        <v>335600</v>
      </c>
    </row>
    <row r="78">
      <c r="A78" s="8" t="inlineStr">
        <is>
          <t>ИССЫК ТРИП</t>
        </is>
      </c>
      <c r="B78" s="21" t="n">
        <v>46057.56234953704</v>
      </c>
      <c r="C78" s="8" t="inlineStr">
        <is>
          <t>ETM</t>
        </is>
      </c>
      <c r="D78" s="8" t="inlineStr">
        <is>
          <t>57066539</t>
        </is>
      </c>
      <c r="E78" s="14" t="n">
        <v>335600</v>
      </c>
      <c r="F78" s="8" t="inlineStr">
        <is>
          <t>ETM_PAYMENT_IN_MISSING_ACT_MONTH</t>
        </is>
      </c>
      <c r="G78" s="8" t="inlineStr">
        <is>
          <t>Выгрузка 1С</t>
        </is>
      </c>
      <c r="H78" s="8" t="inlineStr">
        <is>
          <t>B</t>
        </is>
      </c>
      <c r="I78" s="12" t="inlineStr">
        <is>
          <t>Оплата есть в ETM, акт 1С за месяц не выгружен</t>
        </is>
      </c>
      <c r="J78" s="14" t="n">
        <v>335600</v>
      </c>
    </row>
    <row r="79">
      <c r="A79" s="8" t="inlineStr">
        <is>
          <t>Чынар уулу Эмир</t>
        </is>
      </c>
      <c r="B79" s="21" t="n">
        <v>46092.53920138889</v>
      </c>
      <c r="C79" s="8" t="inlineStr">
        <is>
          <t>ETM</t>
        </is>
      </c>
      <c r="D79" s="8" t="inlineStr">
        <is>
          <t>57139051</t>
        </is>
      </c>
      <c r="E79" s="14" t="n">
        <v>335500</v>
      </c>
      <c r="F79" s="8" t="inlineStr">
        <is>
          <t>ETM_PAYMENT_IN_MISSING_ACT_MONTH</t>
        </is>
      </c>
      <c r="G79" s="8" t="inlineStr">
        <is>
          <t>Выгрузка 1С</t>
        </is>
      </c>
      <c r="H79" s="8" t="inlineStr">
        <is>
          <t>B</t>
        </is>
      </c>
      <c r="I79" s="12" t="inlineStr">
        <is>
          <t>Оплата есть в ETM, акт 1С за месяц не выгружен</t>
        </is>
      </c>
      <c r="J79" s="14" t="n">
        <v>335500</v>
      </c>
    </row>
    <row r="80">
      <c r="A80" s="8" t="inlineStr">
        <is>
          <t>ИССЫК ТРИП</t>
        </is>
      </c>
      <c r="B80" s="21" t="n">
        <v>46044</v>
      </c>
      <c r="C80" s="8" t="inlineStr">
        <is>
          <t>1C</t>
        </is>
      </c>
      <c r="D80" s="8" t="inlineStr">
        <is>
          <t>Приход в кассу ЦБ-С002275</t>
        </is>
      </c>
      <c r="E80" s="14" t="n">
        <v>333700</v>
      </c>
      <c r="F80" s="8" t="inlineStr">
        <is>
          <t>PAYMENT_NOT_IN_ETM</t>
        </is>
      </c>
      <c r="G80" s="8" t="inlineStr">
        <is>
          <t>Бот ETM</t>
        </is>
      </c>
      <c r="H80" s="8" t="inlineStr">
        <is>
          <t>B</t>
        </is>
      </c>
      <c r="I80" s="12" t="inlineStr">
        <is>
          <t>Поступление 333,700.00 есть в 1С, зачисления на баланс ETM нет</t>
        </is>
      </c>
      <c r="J80" s="14" t="n">
        <v>-333700</v>
      </c>
    </row>
    <row r="81">
      <c r="A81" s="8" t="inlineStr">
        <is>
          <t>Абдылда уулу Б.</t>
        </is>
      </c>
      <c r="B81" s="21" t="n">
        <v>46060.68043981482</v>
      </c>
      <c r="C81" s="8" t="inlineStr">
        <is>
          <t>ETM</t>
        </is>
      </c>
      <c r="D81" s="8" t="inlineStr">
        <is>
          <t>57075810</t>
        </is>
      </c>
      <c r="E81" s="14" t="n">
        <v>331500</v>
      </c>
      <c r="F81" s="8" t="inlineStr">
        <is>
          <t>REPEATED_CREDIT</t>
        </is>
      </c>
      <c r="G81" s="8" t="inlineStr">
        <is>
          <t>Бот ETM</t>
        </is>
      </c>
      <c r="H81" s="8" t="inlineStr">
        <is>
          <t>A</t>
        </is>
      </c>
      <c r="I81" s="12" t="inlineStr">
        <is>
          <t>Оплата на 331,500.00 повторно зачислена в ETM через 23.8 ч, в 1С поступление одно</t>
        </is>
      </c>
      <c r="J81" s="14" t="n">
        <v>331500</v>
      </c>
    </row>
    <row r="82">
      <c r="A82" s="8" t="inlineStr">
        <is>
          <t>Кадырова Айнура Жумабекевна</t>
        </is>
      </c>
      <c r="B82" s="21" t="n">
        <v>46089</v>
      </c>
      <c r="C82" s="8" t="inlineStr">
        <is>
          <t>1C</t>
        </is>
      </c>
      <c r="D82" s="8" t="inlineStr">
        <is>
          <t>Приход в кассу ЦБ-С000475</t>
        </is>
      </c>
      <c r="E82" s="14" t="n">
        <v>331500</v>
      </c>
      <c r="F82" s="8" t="inlineStr">
        <is>
          <t>PAYMENT_NOT_IN_ETM</t>
        </is>
      </c>
      <c r="G82" s="8" t="inlineStr">
        <is>
          <t>Бот ETM</t>
        </is>
      </c>
      <c r="H82" s="8" t="inlineStr">
        <is>
          <t>B</t>
        </is>
      </c>
      <c r="I82" s="12" t="inlineStr">
        <is>
          <t>Поступление 331,500.00 есть в 1С, зачисления на баланс ETM нет</t>
        </is>
      </c>
      <c r="J82" s="14" t="n">
        <v>-331500</v>
      </c>
    </row>
    <row r="83">
      <c r="A83" s="8" t="inlineStr">
        <is>
          <t>Aylana Tour</t>
        </is>
      </c>
      <c r="B83" s="21" t="n">
        <v>46183</v>
      </c>
      <c r="C83" s="8" t="inlineStr">
        <is>
          <t>1C</t>
        </is>
      </c>
      <c r="D83" s="8" t="inlineStr">
        <is>
          <t>Приход в кассу ЦБ-С000189</t>
        </is>
      </c>
      <c r="E83" s="14" t="n">
        <v>330800</v>
      </c>
      <c r="F83" s="8" t="inlineStr">
        <is>
          <t>PAYMENT_NOT_IN_ETM</t>
        </is>
      </c>
      <c r="G83" s="8" t="inlineStr">
        <is>
          <t>Бот ETM</t>
        </is>
      </c>
      <c r="H83" s="8" t="inlineStr">
        <is>
          <t>B</t>
        </is>
      </c>
      <c r="I83" s="12" t="inlineStr">
        <is>
          <t>Поступление 330,800.00 есть в 1С, зачисления на баланс ETM нет</t>
        </is>
      </c>
      <c r="J83" s="14" t="n">
        <v>-330800</v>
      </c>
    </row>
    <row r="84">
      <c r="A84" s="8" t="inlineStr">
        <is>
          <t>Жолчу кызы А.</t>
        </is>
      </c>
      <c r="B84" s="21" t="n">
        <v>46184.38974537037</v>
      </c>
      <c r="C84" s="8" t="inlineStr">
        <is>
          <t>ETM</t>
        </is>
      </c>
      <c r="D84" s="8" t="inlineStr">
        <is>
          <t>57358269</t>
        </is>
      </c>
      <c r="E84" s="14" t="n">
        <v>330700</v>
      </c>
      <c r="F84" s="8" t="inlineStr">
        <is>
          <t>ETM_PAYMENT_IN_MISSING_ACT_MONTH</t>
        </is>
      </c>
      <c r="G84" s="8" t="inlineStr">
        <is>
          <t>Выгрузка 1С</t>
        </is>
      </c>
      <c r="H84" s="8" t="inlineStr">
        <is>
          <t>B</t>
        </is>
      </c>
      <c r="I84" s="12" t="inlineStr">
        <is>
          <t>Оплата есть в ETM, акт 1С за месяц не выгружен</t>
        </is>
      </c>
      <c r="J84" s="14" t="n">
        <v>330700</v>
      </c>
    </row>
    <row r="85">
      <c r="A85" s="8" t="inlineStr">
        <is>
          <t>ЧОЛПОН ЭЙР</t>
        </is>
      </c>
      <c r="B85" s="21" t="n">
        <v>46119</v>
      </c>
      <c r="C85" s="8" t="inlineStr">
        <is>
          <t>1C</t>
        </is>
      </c>
      <c r="D85" s="8" t="inlineStr">
        <is>
          <t>Поступление на р/с, п/п ЦБ-С001670</t>
        </is>
      </c>
      <c r="E85" s="14" t="n">
        <v>330500</v>
      </c>
      <c r="F85" s="8" t="inlineStr">
        <is>
          <t>PAYMENT_NOT_IN_ETM</t>
        </is>
      </c>
      <c r="G85" s="8" t="inlineStr">
        <is>
          <t>Бот ETM</t>
        </is>
      </c>
      <c r="H85" s="8" t="inlineStr">
        <is>
          <t>B</t>
        </is>
      </c>
      <c r="I85" s="12" t="inlineStr">
        <is>
          <t>Поступление 330,500.00 есть в 1С, зачисления на баланс ETM нет</t>
        </is>
      </c>
      <c r="J85" s="14" t="n">
        <v>-330500</v>
      </c>
    </row>
    <row r="86">
      <c r="A86" s="8" t="inlineStr">
        <is>
          <t>Ак-Куу Тур</t>
        </is>
      </c>
      <c r="B86" s="21" t="n">
        <v>46092</v>
      </c>
      <c r="C86" s="8" t="inlineStr">
        <is>
          <t>1C</t>
        </is>
      </c>
      <c r="D86" s="8" t="inlineStr">
        <is>
          <t>Поступление на р/с, п/п ЦБ-С001396</t>
        </is>
      </c>
      <c r="E86" s="14" t="n">
        <v>330300</v>
      </c>
      <c r="F86" s="8" t="inlineStr">
        <is>
          <t>PAYMENT_NOT_IN_ETM</t>
        </is>
      </c>
      <c r="G86" s="8" t="inlineStr">
        <is>
          <t>Бот ETM</t>
        </is>
      </c>
      <c r="H86" s="8" t="inlineStr">
        <is>
          <t>B</t>
        </is>
      </c>
      <c r="I86" s="12" t="inlineStr">
        <is>
          <t>Поступление 330,300.00 есть в 1С, зачисления на баланс ETM нет</t>
        </is>
      </c>
      <c r="J86" s="14" t="n">
        <v>-330300</v>
      </c>
    </row>
    <row r="87">
      <c r="A87" s="8" t="inlineStr">
        <is>
          <t>Aylana Tour</t>
        </is>
      </c>
      <c r="B87" s="21" t="n">
        <v>46204</v>
      </c>
      <c r="C87" s="8" t="inlineStr">
        <is>
          <t>1C</t>
        </is>
      </c>
      <c r="D87" s="8" t="inlineStr">
        <is>
          <t>Поступление на р/с, п/п ЦБ-С000389</t>
        </is>
      </c>
      <c r="E87" s="14" t="n">
        <v>329400</v>
      </c>
      <c r="F87" s="8" t="inlineStr">
        <is>
          <t>PAYMENT_NOT_IN_ETM</t>
        </is>
      </c>
      <c r="G87" s="8" t="inlineStr">
        <is>
          <t>Бот ETM</t>
        </is>
      </c>
      <c r="H87" s="8" t="inlineStr">
        <is>
          <t>B</t>
        </is>
      </c>
      <c r="I87" s="12" t="inlineStr">
        <is>
          <t>Поступление 329,400.00 есть в 1С, зачисления на баланс ETM нет</t>
        </is>
      </c>
      <c r="J87" s="14" t="n">
        <v>-329400</v>
      </c>
    </row>
    <row r="88">
      <c r="A88" s="8" t="inlineStr">
        <is>
          <t>ТЯНЬ-ШАНЬ ЭКСПРЕСС</t>
        </is>
      </c>
      <c r="B88" s="21" t="n">
        <v>46100</v>
      </c>
      <c r="C88" s="8" t="inlineStr">
        <is>
          <t>1C</t>
        </is>
      </c>
      <c r="D88" s="8" t="inlineStr">
        <is>
          <t>Поступление на р/с, п/п ЦБ-С000793</t>
        </is>
      </c>
      <c r="E88" s="14" t="n">
        <v>329100</v>
      </c>
      <c r="F88" s="8" t="inlineStr">
        <is>
          <t>PAYMENT_NOT_IN_ETM</t>
        </is>
      </c>
      <c r="G88" s="8" t="inlineStr">
        <is>
          <t>Бот ETM</t>
        </is>
      </c>
      <c r="H88" s="8" t="inlineStr">
        <is>
          <t>B</t>
        </is>
      </c>
      <c r="I88" s="12" t="inlineStr">
        <is>
          <t>Поступление 329,100.00 есть в 1С, зачисления на баланс ETM нет</t>
        </is>
      </c>
      <c r="J88" s="14" t="n">
        <v>-329100</v>
      </c>
    </row>
    <row r="89">
      <c r="A89" s="8" t="inlineStr">
        <is>
          <t>Кадырова Айнура Жумабекевна</t>
        </is>
      </c>
      <c r="B89" s="21" t="n">
        <v>46093</v>
      </c>
      <c r="C89" s="8" t="inlineStr">
        <is>
          <t>1C</t>
        </is>
      </c>
      <c r="D89" s="8" t="inlineStr">
        <is>
          <t>Поступление на р/с, п/п ЦБ-С001217</t>
        </is>
      </c>
      <c r="E89" s="14" t="n">
        <v>328400</v>
      </c>
      <c r="F89" s="8" t="inlineStr">
        <is>
          <t>PAYMENT_NOT_IN_ETM</t>
        </is>
      </c>
      <c r="G89" s="8" t="inlineStr">
        <is>
          <t>Бот ETM</t>
        </is>
      </c>
      <c r="H89" s="8" t="inlineStr">
        <is>
          <t>B</t>
        </is>
      </c>
      <c r="I89" s="12" t="inlineStr">
        <is>
          <t>Поступление 328,400.00 есть в 1С, зачисления на баланс ETM нет</t>
        </is>
      </c>
      <c r="J89" s="14" t="n">
        <v>-328400</v>
      </c>
    </row>
    <row r="90">
      <c r="A90" s="8" t="inlineStr">
        <is>
          <t>Жолчу кызы А.</t>
        </is>
      </c>
      <c r="B90" s="21" t="n">
        <v>46082</v>
      </c>
      <c r="C90" s="8" t="inlineStr">
        <is>
          <t>1C</t>
        </is>
      </c>
      <c r="D90" s="8" t="inlineStr">
        <is>
          <t>Поступление на р/с, п/п ЦБ-С001809</t>
        </is>
      </c>
      <c r="E90" s="14" t="n">
        <v>328300</v>
      </c>
      <c r="F90" s="8" t="inlineStr">
        <is>
          <t>PAYMENT_NOT_IN_ETM</t>
        </is>
      </c>
      <c r="G90" s="8" t="inlineStr">
        <is>
          <t>Бот ETM</t>
        </is>
      </c>
      <c r="H90" s="8" t="inlineStr">
        <is>
          <t>B</t>
        </is>
      </c>
      <c r="I90" s="12" t="inlineStr">
        <is>
          <t>Поступление 328,300.00 есть в 1С, зачисления на баланс ETM нет</t>
        </is>
      </c>
      <c r="J90" s="14" t="n">
        <v>-328300</v>
      </c>
    </row>
    <row r="91">
      <c r="A91" s="8" t="inlineStr">
        <is>
          <t>Кадырова Айнура Жумабекевна</t>
        </is>
      </c>
      <c r="B91" s="21" t="n">
        <v>46095</v>
      </c>
      <c r="C91" s="8" t="inlineStr">
        <is>
          <t>1C</t>
        </is>
      </c>
      <c r="D91" s="8" t="inlineStr">
        <is>
          <t>Поступление на р/с, п/п ЦБ-С001515</t>
        </is>
      </c>
      <c r="E91" s="14" t="n">
        <v>326700</v>
      </c>
      <c r="F91" s="8" t="inlineStr">
        <is>
          <t>PAYMENT_NOT_IN_ETM</t>
        </is>
      </c>
      <c r="G91" s="8" t="inlineStr">
        <is>
          <t>Бот ETM</t>
        </is>
      </c>
      <c r="H91" s="8" t="inlineStr">
        <is>
          <t>B</t>
        </is>
      </c>
      <c r="I91" s="12" t="inlineStr">
        <is>
          <t>Поступление 326,700.00 есть в 1С, зачисления на баланс ETM нет</t>
        </is>
      </c>
      <c r="J91" s="14" t="n">
        <v>-326700</v>
      </c>
    </row>
    <row r="92">
      <c r="A92" s="8" t="inlineStr">
        <is>
          <t>ИССЫК ТРИП</t>
        </is>
      </c>
      <c r="B92" s="21" t="n">
        <v>46108</v>
      </c>
      <c r="C92" s="8" t="inlineStr">
        <is>
          <t>1C</t>
        </is>
      </c>
      <c r="D92" s="8" t="inlineStr">
        <is>
          <t>Приход в кассу ЦБ-С000364</t>
        </is>
      </c>
      <c r="E92" s="14" t="n">
        <v>325600</v>
      </c>
      <c r="F92" s="8" t="inlineStr">
        <is>
          <t>PAYMENT_NOT_IN_ETM</t>
        </is>
      </c>
      <c r="G92" s="8" t="inlineStr">
        <is>
          <t>Бот ETM</t>
        </is>
      </c>
      <c r="H92" s="8" t="inlineStr">
        <is>
          <t>B</t>
        </is>
      </c>
      <c r="I92" s="12" t="inlineStr">
        <is>
          <t>Поступление 325,600.00 есть в 1С, зачисления на баланс ETM нет</t>
        </is>
      </c>
      <c r="J92" s="14" t="n">
        <v>-325600</v>
      </c>
    </row>
    <row r="93">
      <c r="A93" s="8" t="inlineStr">
        <is>
          <t>Абдылда уулу Б.</t>
        </is>
      </c>
      <c r="B93" s="21" t="n">
        <v>46107</v>
      </c>
      <c r="C93" s="8" t="inlineStr">
        <is>
          <t>1C</t>
        </is>
      </c>
      <c r="D93" s="8" t="inlineStr">
        <is>
          <t>Поступление на р/с, п/п ЦБ-С000197</t>
        </is>
      </c>
      <c r="E93" s="14" t="n">
        <v>325100</v>
      </c>
      <c r="F93" s="8" t="inlineStr">
        <is>
          <t>PAYMENT_NOT_IN_ETM</t>
        </is>
      </c>
      <c r="G93" s="8" t="inlineStr">
        <is>
          <t>Бот ETM</t>
        </is>
      </c>
      <c r="H93" s="8" t="inlineStr">
        <is>
          <t>B</t>
        </is>
      </c>
      <c r="I93" s="12" t="inlineStr">
        <is>
          <t>Поступление 325,100.00 есть в 1С, зачисления на баланс ETM нет</t>
        </is>
      </c>
      <c r="J93" s="14" t="n">
        <v>-325100</v>
      </c>
    </row>
    <row r="94">
      <c r="A94" s="8" t="inlineStr">
        <is>
          <t>SkyWay Travel</t>
        </is>
      </c>
      <c r="B94" s="21" t="n">
        <v>46213</v>
      </c>
      <c r="C94" s="8" t="inlineStr">
        <is>
          <t>1C</t>
        </is>
      </c>
      <c r="D94" s="8" t="inlineStr">
        <is>
          <t>Поступление на р/с, п/п ЦБ-С001166</t>
        </is>
      </c>
      <c r="E94" s="14" t="n">
        <v>325100</v>
      </c>
      <c r="F94" s="8" t="inlineStr">
        <is>
          <t>PAYMENT_NOT_IN_ETM</t>
        </is>
      </c>
      <c r="G94" s="8" t="inlineStr">
        <is>
          <t>Бот ETM</t>
        </is>
      </c>
      <c r="H94" s="8" t="inlineStr">
        <is>
          <t>B</t>
        </is>
      </c>
      <c r="I94" s="12" t="inlineStr">
        <is>
          <t>Поступление 325,100.00 есть в 1С, зачисления на баланс ETM нет</t>
        </is>
      </c>
      <c r="J94" s="14" t="n">
        <v>-325100</v>
      </c>
    </row>
    <row r="95">
      <c r="A95" s="8" t="inlineStr">
        <is>
          <t>Сатар уулу Санжар</t>
        </is>
      </c>
      <c r="B95" s="21" t="n">
        <v>46111</v>
      </c>
      <c r="C95" s="8" t="inlineStr">
        <is>
          <t>1C</t>
        </is>
      </c>
      <c r="D95" s="8" t="inlineStr">
        <is>
          <t>Поступление на р/с, п/п ЦБ-С000778</t>
        </is>
      </c>
      <c r="E95" s="14" t="n">
        <v>324500</v>
      </c>
      <c r="F95" s="8" t="inlineStr">
        <is>
          <t>PAYMENT_NOT_IN_ETM</t>
        </is>
      </c>
      <c r="G95" s="8" t="inlineStr">
        <is>
          <t>Бот ETM</t>
        </is>
      </c>
      <c r="H95" s="8" t="inlineStr">
        <is>
          <t>B</t>
        </is>
      </c>
      <c r="I95" s="12" t="inlineStr">
        <is>
          <t>Поступление 324,500.00 есть в 1С, зачисления на баланс ETM нет</t>
        </is>
      </c>
      <c r="J95" s="14" t="n">
        <v>-324500</v>
      </c>
    </row>
    <row r="96">
      <c r="A96" s="8" t="inlineStr">
        <is>
          <t>ИП Жумабекова Б. Н.</t>
        </is>
      </c>
      <c r="B96" s="21" t="n">
        <v>46140</v>
      </c>
      <c r="C96" s="8" t="inlineStr">
        <is>
          <t>1C</t>
        </is>
      </c>
      <c r="D96" s="8" t="inlineStr">
        <is>
          <t>Поступление на р/с, п/п ЦБ-С001880</t>
        </is>
      </c>
      <c r="E96" s="14" t="n">
        <v>323100</v>
      </c>
      <c r="F96" s="8" t="inlineStr">
        <is>
          <t>PAYMENT_NOT_IN_ETM</t>
        </is>
      </c>
      <c r="G96" s="8" t="inlineStr">
        <is>
          <t>Бот ETM</t>
        </is>
      </c>
      <c r="H96" s="8" t="inlineStr">
        <is>
          <t>B</t>
        </is>
      </c>
      <c r="I96" s="12" t="inlineStr">
        <is>
          <t>Поступление 323,100.00 есть в 1С, зачисления на баланс ETM нет</t>
        </is>
      </c>
      <c r="J96" s="14" t="n">
        <v>-323100</v>
      </c>
    </row>
    <row r="97">
      <c r="A97" s="8" t="inlineStr">
        <is>
          <t>ИП Муратов Э. У.</t>
        </is>
      </c>
      <c r="B97" s="21" t="n">
        <v>46075</v>
      </c>
      <c r="C97" s="8" t="inlineStr">
        <is>
          <t>1C</t>
        </is>
      </c>
      <c r="D97" s="8" t="inlineStr">
        <is>
          <t>Поступление на р/с, п/п ЦБ-С001370</t>
        </is>
      </c>
      <c r="E97" s="14" t="n">
        <v>321000</v>
      </c>
      <c r="F97" s="8" t="inlineStr">
        <is>
          <t>PAYMENT_NOT_IN_ETM</t>
        </is>
      </c>
      <c r="G97" s="8" t="inlineStr">
        <is>
          <t>Бот ETM</t>
        </is>
      </c>
      <c r="H97" s="8" t="inlineStr">
        <is>
          <t>B</t>
        </is>
      </c>
      <c r="I97" s="12" t="inlineStr">
        <is>
          <t>Поступление 321,000.00 есть в 1С, зачисления на баланс ETM нет</t>
        </is>
      </c>
      <c r="J97" s="14" t="n">
        <v>-321000</v>
      </c>
    </row>
    <row r="98">
      <c r="A98" s="8" t="inlineStr">
        <is>
          <t>Урматов Эрлан Сагынович</t>
        </is>
      </c>
      <c r="B98" s="21" t="n">
        <v>46197</v>
      </c>
      <c r="C98" s="8" t="inlineStr">
        <is>
          <t>1C</t>
        </is>
      </c>
      <c r="D98" s="8" t="inlineStr">
        <is>
          <t>Поступление на р/с, п/п ЦБ-С000666</t>
        </is>
      </c>
      <c r="E98" s="14" t="n">
        <v>319700</v>
      </c>
      <c r="F98" s="8" t="inlineStr">
        <is>
          <t>PAYMENT_NOT_IN_ETM</t>
        </is>
      </c>
      <c r="G98" s="8" t="inlineStr">
        <is>
          <t>Бот ETM</t>
        </is>
      </c>
      <c r="H98" s="8" t="inlineStr">
        <is>
          <t>B</t>
        </is>
      </c>
      <c r="I98" s="12" t="inlineStr">
        <is>
          <t>Поступление 319,700.00 есть в 1С, зачисления на баланс ETM нет</t>
        </is>
      </c>
      <c r="J98" s="14" t="n">
        <v>-319700</v>
      </c>
    </row>
    <row r="99">
      <c r="A99" s="8" t="inlineStr">
        <is>
          <t>Бирлик Трип</t>
        </is>
      </c>
      <c r="B99" s="21" t="n">
        <v>46228</v>
      </c>
      <c r="C99" s="8" t="inlineStr">
        <is>
          <t>1C</t>
        </is>
      </c>
      <c r="D99" s="8" t="inlineStr">
        <is>
          <t>Поступление на р/с, п/п ЦБ-С001901</t>
        </is>
      </c>
      <c r="E99" s="14" t="n">
        <v>319600</v>
      </c>
      <c r="F99" s="8" t="inlineStr">
        <is>
          <t>PAYMENT_NOT_IN_ETM</t>
        </is>
      </c>
      <c r="G99" s="8" t="inlineStr">
        <is>
          <t>Бот ETM</t>
        </is>
      </c>
      <c r="H99" s="8" t="inlineStr">
        <is>
          <t>B</t>
        </is>
      </c>
      <c r="I99" s="12" t="inlineStr">
        <is>
          <t>Поступление 319,600.00 есть в 1С, зачисления на баланс ETM нет</t>
        </is>
      </c>
      <c r="J99" s="14" t="n">
        <v>-319600</v>
      </c>
    </row>
    <row r="100">
      <c r="A100" s="8" t="inlineStr">
        <is>
          <t>Кадырова Айнура Жумабекевна</t>
        </is>
      </c>
      <c r="B100" s="21" t="n">
        <v>46060</v>
      </c>
      <c r="C100" s="8" t="inlineStr">
        <is>
          <t>1C</t>
        </is>
      </c>
      <c r="D100" s="8" t="inlineStr">
        <is>
          <t>Поступление на р/с, п/п ЦБ-С001600</t>
        </is>
      </c>
      <c r="E100" s="14" t="n">
        <v>314100</v>
      </c>
      <c r="F100" s="8" t="inlineStr">
        <is>
          <t>PAYMENT_NOT_IN_ETM</t>
        </is>
      </c>
      <c r="G100" s="8" t="inlineStr">
        <is>
          <t>Бот ETM</t>
        </is>
      </c>
      <c r="H100" s="8" t="inlineStr">
        <is>
          <t>B</t>
        </is>
      </c>
      <c r="I100" s="12" t="inlineStr">
        <is>
          <t>Поступление 314,100.00 есть в 1С, зачисления на баланс ETM нет</t>
        </is>
      </c>
      <c r="J100" s="14" t="n">
        <v>-314100</v>
      </c>
    </row>
    <row r="101">
      <c r="A101" s="8" t="inlineStr">
        <is>
          <t>SkyWay Travel</t>
        </is>
      </c>
      <c r="B101" s="21" t="n">
        <v>46044</v>
      </c>
      <c r="C101" s="8" t="inlineStr">
        <is>
          <t>1C</t>
        </is>
      </c>
      <c r="D101" s="8" t="inlineStr">
        <is>
          <t>Поступление на р/с, п/п ЦБ-С000035</t>
        </is>
      </c>
      <c r="E101" s="14" t="n">
        <v>313600</v>
      </c>
      <c r="F101" s="8" t="inlineStr">
        <is>
          <t>PAYMENT_NOT_IN_ETM</t>
        </is>
      </c>
      <c r="G101" s="8" t="inlineStr">
        <is>
          <t>Бот ETM</t>
        </is>
      </c>
      <c r="H101" s="8" t="inlineStr">
        <is>
          <t>B</t>
        </is>
      </c>
      <c r="I101" s="12" t="inlineStr">
        <is>
          <t>Поступление 313,600.00 есть в 1С, зачисления на баланс ETM нет</t>
        </is>
      </c>
      <c r="J101" s="14" t="n">
        <v>-313600</v>
      </c>
    </row>
    <row r="102">
      <c r="A102" s="8" t="inlineStr">
        <is>
          <t>КУТ ЭЙР</t>
        </is>
      </c>
      <c r="B102" s="21" t="n">
        <v>46059</v>
      </c>
      <c r="C102" s="8" t="inlineStr">
        <is>
          <t>1C</t>
        </is>
      </c>
      <c r="D102" s="8" t="inlineStr">
        <is>
          <t>Поступление на р/с, п/п ЦБ-С000881</t>
        </is>
      </c>
      <c r="E102" s="14" t="n">
        <v>313600</v>
      </c>
      <c r="F102" s="8" t="inlineStr">
        <is>
          <t>PAYMENT_NOT_IN_ETM</t>
        </is>
      </c>
      <c r="G102" s="8" t="inlineStr">
        <is>
          <t>Бот ETM</t>
        </is>
      </c>
      <c r="H102" s="8" t="inlineStr">
        <is>
          <t>B</t>
        </is>
      </c>
      <c r="I102" s="12" t="inlineStr">
        <is>
          <t>Поступление 313,600.00 есть в 1С, зачисления на баланс ETM нет</t>
        </is>
      </c>
      <c r="J102" s="14" t="n">
        <v>-313600</v>
      </c>
    </row>
    <row r="103">
      <c r="A103" s="8" t="inlineStr">
        <is>
          <t>Ыйык Тур</t>
        </is>
      </c>
      <c r="B103" s="21" t="n">
        <v>46226</v>
      </c>
      <c r="C103" s="8" t="inlineStr">
        <is>
          <t>1C</t>
        </is>
      </c>
      <c r="D103" s="8" t="inlineStr">
        <is>
          <t>Приход в кассу ЦБ-С002206</t>
        </is>
      </c>
      <c r="E103" s="14" t="n">
        <v>312200</v>
      </c>
      <c r="F103" s="8" t="inlineStr">
        <is>
          <t>PAYMENT_NOT_IN_ETM</t>
        </is>
      </c>
      <c r="G103" s="8" t="inlineStr">
        <is>
          <t>Бот ETM</t>
        </is>
      </c>
      <c r="H103" s="8" t="inlineStr">
        <is>
          <t>B</t>
        </is>
      </c>
      <c r="I103" s="12" t="inlineStr">
        <is>
          <t>Поступление 312,200.00 есть в 1С, зачисления на баланс ETM нет</t>
        </is>
      </c>
      <c r="J103" s="14" t="n">
        <v>-312200</v>
      </c>
    </row>
    <row r="104">
      <c r="A104" s="8" t="inlineStr">
        <is>
          <t>ИССЫК ТРИП</t>
        </is>
      </c>
      <c r="B104" s="21" t="n">
        <v>46134</v>
      </c>
      <c r="C104" s="8" t="inlineStr">
        <is>
          <t>1C</t>
        </is>
      </c>
      <c r="D104" s="8" t="inlineStr">
        <is>
          <t>Поступление на р/с, п/п ЦБ-С000922</t>
        </is>
      </c>
      <c r="E104" s="14" t="n">
        <v>311200</v>
      </c>
      <c r="F104" s="8" t="inlineStr">
        <is>
          <t>PAYMENT_NOT_IN_ETM</t>
        </is>
      </c>
      <c r="G104" s="8" t="inlineStr">
        <is>
          <t>Бот ETM</t>
        </is>
      </c>
      <c r="H104" s="8" t="inlineStr">
        <is>
          <t>B</t>
        </is>
      </c>
      <c r="I104" s="12" t="inlineStr">
        <is>
          <t>Поступление 311,200.00 есть в 1С, зачисления на баланс ETM нет</t>
        </is>
      </c>
      <c r="J104" s="14" t="n">
        <v>-311200</v>
      </c>
    </row>
    <row r="105">
      <c r="A105" s="8" t="inlineStr">
        <is>
          <t>БАЙТУР ТУРИЗМ</t>
        </is>
      </c>
      <c r="B105" s="21" t="n">
        <v>46064</v>
      </c>
      <c r="C105" s="8" t="inlineStr">
        <is>
          <t>1C</t>
        </is>
      </c>
      <c r="D105" s="8" t="inlineStr">
        <is>
          <t>Поступление на р/с, п/п ЦБ-С000665</t>
        </is>
      </c>
      <c r="E105" s="14" t="n">
        <v>309400</v>
      </c>
      <c r="F105" s="8" t="inlineStr">
        <is>
          <t>PAYMENT_NOT_IN_ETM</t>
        </is>
      </c>
      <c r="G105" s="8" t="inlineStr">
        <is>
          <t>Бот ETM</t>
        </is>
      </c>
      <c r="H105" s="8" t="inlineStr">
        <is>
          <t>B</t>
        </is>
      </c>
      <c r="I105" s="12" t="inlineStr">
        <is>
          <t>Поступление 309,400.00 есть в 1С, зачисления на баланс ETM нет</t>
        </is>
      </c>
      <c r="J105" s="14" t="n">
        <v>-309400</v>
      </c>
    </row>
    <row r="106">
      <c r="A106" s="8" t="inlineStr">
        <is>
          <t>Ак-Куу Авиа</t>
        </is>
      </c>
      <c r="B106" s="21" t="n">
        <v>46080</v>
      </c>
      <c r="C106" s="8" t="inlineStr">
        <is>
          <t>1C</t>
        </is>
      </c>
      <c r="D106" s="8" t="inlineStr">
        <is>
          <t>Приход в кассу ЦБ-С001111</t>
        </is>
      </c>
      <c r="E106" s="14" t="n">
        <v>307900</v>
      </c>
      <c r="F106" s="8" t="inlineStr">
        <is>
          <t>PAYMENT_NOT_IN_ETM</t>
        </is>
      </c>
      <c r="G106" s="8" t="inlineStr">
        <is>
          <t>Бот ETM</t>
        </is>
      </c>
      <c r="H106" s="8" t="inlineStr">
        <is>
          <t>B</t>
        </is>
      </c>
      <c r="I106" s="12" t="inlineStr">
        <is>
          <t>Поступление 307,900.00 есть в 1С, зачисления на баланс ETM нет</t>
        </is>
      </c>
      <c r="J106" s="14" t="n">
        <v>-307900</v>
      </c>
    </row>
    <row r="107">
      <c r="A107" s="8" t="inlineStr">
        <is>
          <t>ТАЛАС ЛАЙН</t>
        </is>
      </c>
      <c r="B107" s="21" t="n">
        <v>46164</v>
      </c>
      <c r="C107" s="8" t="inlineStr">
        <is>
          <t>1C</t>
        </is>
      </c>
      <c r="D107" s="8" t="inlineStr">
        <is>
          <t>Приход в кассу ЦБ-С001813</t>
        </is>
      </c>
      <c r="E107" s="14" t="n">
        <v>307400</v>
      </c>
      <c r="F107" s="8" t="inlineStr">
        <is>
          <t>PAYMENT_NOT_IN_ETM</t>
        </is>
      </c>
      <c r="G107" s="8" t="inlineStr">
        <is>
          <t>Бот ETM</t>
        </is>
      </c>
      <c r="H107" s="8" t="inlineStr">
        <is>
          <t>B</t>
        </is>
      </c>
      <c r="I107" s="12" t="inlineStr">
        <is>
          <t>Поступление 307,400.00 есть в 1С, зачисления на баланс ETM нет</t>
        </is>
      </c>
      <c r="J107" s="14" t="n">
        <v>-307400</v>
      </c>
    </row>
    <row r="108">
      <c r="A108" s="8" t="inlineStr">
        <is>
          <t>Сатар уулу Санжар</t>
        </is>
      </c>
      <c r="B108" s="21" t="n">
        <v>46184.40615740741</v>
      </c>
      <c r="C108" s="8" t="inlineStr">
        <is>
          <t>ETM</t>
        </is>
      </c>
      <c r="D108" s="8" t="inlineStr">
        <is>
          <t>57358112</t>
        </is>
      </c>
      <c r="E108" s="14" t="n">
        <v>306300</v>
      </c>
      <c r="F108" s="8" t="inlineStr">
        <is>
          <t>ETM_PAYMENT_IN_MISSING_ACT_MONTH</t>
        </is>
      </c>
      <c r="G108" s="8" t="inlineStr">
        <is>
          <t>Выгрузка 1С</t>
        </is>
      </c>
      <c r="H108" s="8" t="inlineStr">
        <is>
          <t>B</t>
        </is>
      </c>
      <c r="I108" s="12" t="inlineStr">
        <is>
          <t>Оплата есть в ETM, акт 1С за месяц не выгружен</t>
        </is>
      </c>
      <c r="J108" s="14" t="n">
        <v>306300</v>
      </c>
    </row>
    <row r="109">
      <c r="A109" s="8" t="inlineStr">
        <is>
          <t>Ала-Арча Авиакасса</t>
        </is>
      </c>
      <c r="B109" s="21" t="n">
        <v>46118</v>
      </c>
      <c r="C109" s="8" t="inlineStr">
        <is>
          <t>1C</t>
        </is>
      </c>
      <c r="D109" s="8" t="inlineStr">
        <is>
          <t>Поступление на р/с, п/п ЦБ-С001739</t>
        </is>
      </c>
      <c r="E109" s="14" t="n">
        <v>306200</v>
      </c>
      <c r="F109" s="8" t="inlineStr">
        <is>
          <t>PAYMENT_NOT_IN_ETM</t>
        </is>
      </c>
      <c r="G109" s="8" t="inlineStr">
        <is>
          <t>Бот ETM</t>
        </is>
      </c>
      <c r="H109" s="8" t="inlineStr">
        <is>
          <t>B</t>
        </is>
      </c>
      <c r="I109" s="12" t="inlineStr">
        <is>
          <t>Поступление 306,200.00 есть в 1С, зачисления на баланс ETM нет</t>
        </is>
      </c>
      <c r="J109" s="14" t="n">
        <v>-306200</v>
      </c>
    </row>
    <row r="110">
      <c r="A110" s="8" t="inlineStr">
        <is>
          <t>ОсОО Алтын Эйр</t>
        </is>
      </c>
      <c r="B110" s="21" t="n">
        <v>46043</v>
      </c>
      <c r="C110" s="8" t="inlineStr">
        <is>
          <t>1C</t>
        </is>
      </c>
      <c r="D110" s="8" t="inlineStr">
        <is>
          <t>Поступление на р/с, п/п ЦБ-С000355</t>
        </is>
      </c>
      <c r="E110" s="14" t="n">
        <v>305100</v>
      </c>
      <c r="F110" s="8" t="inlineStr">
        <is>
          <t>PAYMENT_NOT_IN_ETM</t>
        </is>
      </c>
      <c r="G110" s="8" t="inlineStr">
        <is>
          <t>Бот ETM</t>
        </is>
      </c>
      <c r="H110" s="8" t="inlineStr">
        <is>
          <t>B</t>
        </is>
      </c>
      <c r="I110" s="12" t="inlineStr">
        <is>
          <t>Поступление 305,100.00 есть в 1С, зачисления на баланс ETM нет</t>
        </is>
      </c>
      <c r="J110" s="14" t="n">
        <v>-305100</v>
      </c>
    </row>
    <row r="111">
      <c r="A111" s="8" t="inlineStr">
        <is>
          <t>SkyWay Travel</t>
        </is>
      </c>
      <c r="B111" s="21" t="n">
        <v>46097</v>
      </c>
      <c r="C111" s="8" t="inlineStr">
        <is>
          <t>1C</t>
        </is>
      </c>
      <c r="D111" s="8" t="inlineStr">
        <is>
          <t>Поступление на р/с, п/п ЦБ-С002392</t>
        </is>
      </c>
      <c r="E111" s="14" t="n">
        <v>304900</v>
      </c>
      <c r="F111" s="8" t="inlineStr">
        <is>
          <t>PAYMENT_NOT_IN_ETM</t>
        </is>
      </c>
      <c r="G111" s="8" t="inlineStr">
        <is>
          <t>Бот ETM</t>
        </is>
      </c>
      <c r="H111" s="8" t="inlineStr">
        <is>
          <t>B</t>
        </is>
      </c>
      <c r="I111" s="12" t="inlineStr">
        <is>
          <t>Поступление 304,900.00 есть в 1С, зачисления на баланс ETM нет</t>
        </is>
      </c>
      <c r="J111" s="14" t="n">
        <v>-304900</v>
      </c>
    </row>
    <row r="112">
      <c r="A112" s="8" t="inlineStr">
        <is>
          <t>ИП Муратов Э. У.</t>
        </is>
      </c>
      <c r="B112" s="21" t="n">
        <v>46083.65979166667</v>
      </c>
      <c r="C112" s="8" t="inlineStr">
        <is>
          <t>ETM</t>
        </is>
      </c>
      <c r="D112" s="8" t="inlineStr">
        <is>
          <t>57117076</t>
        </is>
      </c>
      <c r="E112" s="14" t="n">
        <v>303400</v>
      </c>
      <c r="F112" s="8" t="inlineStr">
        <is>
          <t>ETM_PAYMENT_IN_MISSING_ACT_MONTH</t>
        </is>
      </c>
      <c r="G112" s="8" t="inlineStr">
        <is>
          <t>Выгрузка 1С</t>
        </is>
      </c>
      <c r="H112" s="8" t="inlineStr">
        <is>
          <t>B</t>
        </is>
      </c>
      <c r="I112" s="12" t="inlineStr">
        <is>
          <t>Оплата есть в ETM, акт 1С за месяц не выгружен</t>
        </is>
      </c>
      <c r="J112" s="14" t="n">
        <v>303400</v>
      </c>
    </row>
    <row r="113">
      <c r="A113" s="8" t="inlineStr">
        <is>
          <t>ИССЫК ТРИП</t>
        </is>
      </c>
      <c r="B113" s="21" t="n">
        <v>46108</v>
      </c>
      <c r="C113" s="8" t="inlineStr">
        <is>
          <t>1C</t>
        </is>
      </c>
      <c r="D113" s="8" t="inlineStr">
        <is>
          <t>Поступление на р/с, п/п ЦБ-С001924</t>
        </is>
      </c>
      <c r="E113" s="14" t="n">
        <v>301600</v>
      </c>
      <c r="F113" s="8" t="inlineStr">
        <is>
          <t>PAYMENT_NOT_IN_ETM</t>
        </is>
      </c>
      <c r="G113" s="8" t="inlineStr">
        <is>
          <t>Бот ETM</t>
        </is>
      </c>
      <c r="H113" s="8" t="inlineStr">
        <is>
          <t>B</t>
        </is>
      </c>
      <c r="I113" s="12" t="inlineStr">
        <is>
          <t>Поступление 301,600.00 есть в 1С, зачисления на баланс ETM нет</t>
        </is>
      </c>
      <c r="J113" s="14" t="n">
        <v>-301600</v>
      </c>
    </row>
    <row r="114">
      <c r="A114" s="8" t="inlineStr">
        <is>
          <t>МУРАС ТРИП</t>
        </is>
      </c>
      <c r="B114" s="21" t="n">
        <v>46035</v>
      </c>
      <c r="C114" s="8" t="inlineStr">
        <is>
          <t>1C</t>
        </is>
      </c>
      <c r="D114" s="8" t="inlineStr">
        <is>
          <t>Поступление на р/с, п/п ЦБ-С001184</t>
        </is>
      </c>
      <c r="E114" s="14" t="n">
        <v>300800</v>
      </c>
      <c r="F114" s="8" t="inlineStr">
        <is>
          <t>PAYMENT_NOT_IN_ETM</t>
        </is>
      </c>
      <c r="G114" s="8" t="inlineStr">
        <is>
          <t>Бот ETM</t>
        </is>
      </c>
      <c r="H114" s="8" t="inlineStr">
        <is>
          <t>B</t>
        </is>
      </c>
      <c r="I114" s="12" t="inlineStr">
        <is>
          <t>Поступление 300,800.00 есть в 1С, зачисления на баланс ETM нет</t>
        </is>
      </c>
      <c r="J114" s="14" t="n">
        <v>-300800</v>
      </c>
    </row>
    <row r="115">
      <c r="A115" s="8" t="inlineStr">
        <is>
          <t>Жибек Эйр</t>
        </is>
      </c>
      <c r="B115" s="21" t="n">
        <v>46037</v>
      </c>
      <c r="C115" s="8" t="inlineStr">
        <is>
          <t>1C</t>
        </is>
      </c>
      <c r="D115" s="8" t="inlineStr">
        <is>
          <t>Поступление на р/с, п/п ЦБ-С001389</t>
        </is>
      </c>
      <c r="E115" s="14" t="n">
        <v>300600</v>
      </c>
      <c r="F115" s="8" t="inlineStr">
        <is>
          <t>PAYMENT_NOT_IN_ETM</t>
        </is>
      </c>
      <c r="G115" s="8" t="inlineStr">
        <is>
          <t>Бот ETM</t>
        </is>
      </c>
      <c r="H115" s="8" t="inlineStr">
        <is>
          <t>B</t>
        </is>
      </c>
      <c r="I115" s="12" t="inlineStr">
        <is>
          <t>Поступление 300,600.00 есть в 1С, зачисления на баланс ETM нет</t>
        </is>
      </c>
      <c r="J115" s="14" t="n">
        <v>-300600</v>
      </c>
    </row>
    <row r="116">
      <c r="A116" s="8" t="inlineStr">
        <is>
          <t>Сатар уулу Санжар</t>
        </is>
      </c>
      <c r="B116" s="21" t="n">
        <v>46099</v>
      </c>
      <c r="C116" s="8" t="inlineStr">
        <is>
          <t>1C</t>
        </is>
      </c>
      <c r="D116" s="8" t="inlineStr">
        <is>
          <t>Поступление на р/с, п/п ЦБ-С002036</t>
        </is>
      </c>
      <c r="E116" s="14" t="n">
        <v>300500</v>
      </c>
      <c r="F116" s="8" t="inlineStr">
        <is>
          <t>PAYMENT_NOT_IN_ETM</t>
        </is>
      </c>
      <c r="G116" s="8" t="inlineStr">
        <is>
          <t>Бот ETM</t>
        </is>
      </c>
      <c r="H116" s="8" t="inlineStr">
        <is>
          <t>B</t>
        </is>
      </c>
      <c r="I116" s="12" t="inlineStr">
        <is>
          <t>Поступление 300,500.00 есть в 1С, зачисления на баланс ETM нет</t>
        </is>
      </c>
      <c r="J116" s="14" t="n">
        <v>-300500</v>
      </c>
    </row>
    <row r="117">
      <c r="A117" s="8" t="inlineStr">
        <is>
          <t>Сатар уулу Санжар</t>
        </is>
      </c>
      <c r="B117" s="21" t="n">
        <v>46175.58511574074</v>
      </c>
      <c r="C117" s="8" t="inlineStr">
        <is>
          <t>ETM</t>
        </is>
      </c>
      <c r="D117" s="8" t="inlineStr">
        <is>
          <t>57334788</t>
        </is>
      </c>
      <c r="E117" s="14" t="n">
        <v>298900</v>
      </c>
      <c r="F117" s="8" t="inlineStr">
        <is>
          <t>ETM_PAYMENT_IN_MISSING_ACT_MONTH</t>
        </is>
      </c>
      <c r="G117" s="8" t="inlineStr">
        <is>
          <t>Выгрузка 1С</t>
        </is>
      </c>
      <c r="H117" s="8" t="inlineStr">
        <is>
          <t>B</t>
        </is>
      </c>
      <c r="I117" s="12" t="inlineStr">
        <is>
          <t>Оплата есть в ETM, акт 1С за месяц не выгружен</t>
        </is>
      </c>
      <c r="J117" s="14" t="n">
        <v>298900</v>
      </c>
    </row>
    <row r="118">
      <c r="A118" s="8" t="inlineStr">
        <is>
          <t>Bishkek Fly</t>
        </is>
      </c>
      <c r="B118" s="21" t="n">
        <v>46113</v>
      </c>
      <c r="C118" s="8" t="inlineStr">
        <is>
          <t>1C</t>
        </is>
      </c>
      <c r="D118" s="8" t="inlineStr">
        <is>
          <t>Поступление на р/с, п/п ЦБ-С000973</t>
        </is>
      </c>
      <c r="E118" s="14" t="n">
        <v>296900</v>
      </c>
      <c r="F118" s="8" t="inlineStr">
        <is>
          <t>PAYMENT_NOT_IN_ETM</t>
        </is>
      </c>
      <c r="G118" s="8" t="inlineStr">
        <is>
          <t>Бот ETM</t>
        </is>
      </c>
      <c r="H118" s="8" t="inlineStr">
        <is>
          <t>B</t>
        </is>
      </c>
      <c r="I118" s="12" t="inlineStr">
        <is>
          <t>Поступление 296,900.00 есть в 1С, зачисления на баланс ETM нет</t>
        </is>
      </c>
      <c r="J118" s="14" t="n">
        <v>-296900</v>
      </c>
    </row>
    <row r="119">
      <c r="A119" s="8" t="inlineStr">
        <is>
          <t>Сатар уулу Санжар</t>
        </is>
      </c>
      <c r="B119" s="21" t="n">
        <v>46117.6271412037</v>
      </c>
      <c r="C119" s="8" t="inlineStr">
        <is>
          <t>ETM</t>
        </is>
      </c>
      <c r="D119" s="8" t="inlineStr">
        <is>
          <t>57190972</t>
        </is>
      </c>
      <c r="E119" s="14" t="n">
        <v>294800</v>
      </c>
      <c r="F119" s="8" t="inlineStr">
        <is>
          <t>ETM_PAYMENT_IN_MISSING_ACT_MONTH</t>
        </is>
      </c>
      <c r="G119" s="8" t="inlineStr">
        <is>
          <t>Выгрузка 1С</t>
        </is>
      </c>
      <c r="H119" s="8" t="inlineStr">
        <is>
          <t>B</t>
        </is>
      </c>
      <c r="I119" s="12" t="inlineStr">
        <is>
          <t>Оплата есть в ETM, акт 1С за месяц не выгружен</t>
        </is>
      </c>
      <c r="J119" s="14" t="n">
        <v>294800</v>
      </c>
    </row>
    <row r="120">
      <c r="A120" s="8" t="inlineStr">
        <is>
          <t>Bishkek Fly</t>
        </is>
      </c>
      <c r="B120" s="21" t="n">
        <v>46056</v>
      </c>
      <c r="C120" s="8" t="inlineStr">
        <is>
          <t>1C</t>
        </is>
      </c>
      <c r="D120" s="8" t="inlineStr">
        <is>
          <t>Поступление на р/с, п/п ЦБ-С001486</t>
        </is>
      </c>
      <c r="E120" s="14" t="n">
        <v>293700</v>
      </c>
      <c r="F120" s="8" t="inlineStr">
        <is>
          <t>PAYMENT_NOT_IN_ETM</t>
        </is>
      </c>
      <c r="G120" s="8" t="inlineStr">
        <is>
          <t>Бот ETM</t>
        </is>
      </c>
      <c r="H120" s="8" t="inlineStr">
        <is>
          <t>B</t>
        </is>
      </c>
      <c r="I120" s="12" t="inlineStr">
        <is>
          <t>Поступление 293,700.00 есть в 1С, зачисления на баланс ETM нет</t>
        </is>
      </c>
      <c r="J120" s="14" t="n">
        <v>-293700</v>
      </c>
    </row>
    <row r="121">
      <c r="A121" s="8" t="inlineStr">
        <is>
          <t>Бейшенова Н. Ч.</t>
        </is>
      </c>
      <c r="B121" s="21" t="n">
        <v>46105</v>
      </c>
      <c r="C121" s="8" t="inlineStr">
        <is>
          <t>1C</t>
        </is>
      </c>
      <c r="D121" s="8" t="inlineStr">
        <is>
          <t>Поступление на р/с, п/п ЦБ-С001567</t>
        </is>
      </c>
      <c r="E121" s="14" t="n">
        <v>293500</v>
      </c>
      <c r="F121" s="8" t="inlineStr">
        <is>
          <t>PAYMENT_NOT_IN_ETM</t>
        </is>
      </c>
      <c r="G121" s="8" t="inlineStr">
        <is>
          <t>Бот ETM</t>
        </is>
      </c>
      <c r="H121" s="8" t="inlineStr">
        <is>
          <t>B</t>
        </is>
      </c>
      <c r="I121" s="12" t="inlineStr">
        <is>
          <t>Поступление 293,500.00 есть в 1С, зачисления на баланс ETM нет</t>
        </is>
      </c>
      <c r="J121" s="14" t="n">
        <v>-293500</v>
      </c>
    </row>
    <row r="122">
      <c r="A122" s="8" t="inlineStr">
        <is>
          <t>SkyWay Travel</t>
        </is>
      </c>
      <c r="B122" s="21" t="n">
        <v>46219</v>
      </c>
      <c r="C122" s="8" t="inlineStr">
        <is>
          <t>1C</t>
        </is>
      </c>
      <c r="D122" s="8" t="inlineStr">
        <is>
          <t>Приход в кассу ЦБ-С001775</t>
        </is>
      </c>
      <c r="E122" s="14" t="n">
        <v>292100</v>
      </c>
      <c r="F122" s="8" t="inlineStr">
        <is>
          <t>PAYMENT_NOT_IN_ETM</t>
        </is>
      </c>
      <c r="G122" s="8" t="inlineStr">
        <is>
          <t>Бот ETM</t>
        </is>
      </c>
      <c r="H122" s="8" t="inlineStr">
        <is>
          <t>B</t>
        </is>
      </c>
      <c r="I122" s="12" t="inlineStr">
        <is>
          <t>Поступление 292,100.00 есть в 1С, зачисления на баланс ETM нет</t>
        </is>
      </c>
      <c r="J122" s="14" t="n">
        <v>-292100</v>
      </c>
    </row>
    <row r="123">
      <c r="A123" s="8" t="inlineStr">
        <is>
          <t>ИП Жумабекова Б. Н.</t>
        </is>
      </c>
      <c r="B123" s="21" t="n">
        <v>46167.53612268518</v>
      </c>
      <c r="C123" s="8" t="inlineStr">
        <is>
          <t>ETM</t>
        </is>
      </c>
      <c r="D123" s="8" t="inlineStr">
        <is>
          <t>57314323</t>
        </is>
      </c>
      <c r="E123" s="14" t="n">
        <v>291600</v>
      </c>
      <c r="F123" s="8" t="inlineStr">
        <is>
          <t>ETM_PAYMENT_IN_MISSING_ACT_MONTH</t>
        </is>
      </c>
      <c r="G123" s="8" t="inlineStr">
        <is>
          <t>Выгрузка 1С</t>
        </is>
      </c>
      <c r="H123" s="8" t="inlineStr">
        <is>
          <t>B</t>
        </is>
      </c>
      <c r="I123" s="12" t="inlineStr">
        <is>
          <t>Оплата есть в ETM, акт 1С за месяц не выгружен</t>
        </is>
      </c>
      <c r="J123" s="14" t="n">
        <v>291600</v>
      </c>
    </row>
    <row r="124">
      <c r="A124" s="8" t="inlineStr">
        <is>
          <t>ОсОО Иссык Тур</t>
        </is>
      </c>
      <c r="B124" s="21" t="n">
        <v>46105</v>
      </c>
      <c r="C124" s="8" t="inlineStr">
        <is>
          <t>1C</t>
        </is>
      </c>
      <c r="D124" s="8" t="inlineStr">
        <is>
          <t>Поступление на р/с, п/п ЦБ-С001824</t>
        </is>
      </c>
      <c r="E124" s="14" t="n">
        <v>291200</v>
      </c>
      <c r="F124" s="8" t="inlineStr">
        <is>
          <t>PAYMENT_NOT_IN_ETM</t>
        </is>
      </c>
      <c r="G124" s="8" t="inlineStr">
        <is>
          <t>Бот ETM</t>
        </is>
      </c>
      <c r="H124" s="8" t="inlineStr">
        <is>
          <t>B</t>
        </is>
      </c>
      <c r="I124" s="12" t="inlineStr">
        <is>
          <t>Поступление 291,200.00 есть в 1С, зачисления на баланс ETM нет</t>
        </is>
      </c>
      <c r="J124" s="14" t="n">
        <v>-291200</v>
      </c>
    </row>
    <row r="125">
      <c r="A125" s="8" t="inlineStr">
        <is>
          <t>Сатар уулу Санжар</t>
        </is>
      </c>
      <c r="B125" s="21" t="n">
        <v>46115.64354166666</v>
      </c>
      <c r="C125" s="8" t="inlineStr">
        <is>
          <t>ETM</t>
        </is>
      </c>
      <c r="D125" s="8" t="inlineStr">
        <is>
          <t>57187369</t>
        </is>
      </c>
      <c r="E125" s="14" t="n">
        <v>290200</v>
      </c>
      <c r="F125" s="8" t="inlineStr">
        <is>
          <t>ETM_PAYMENT_IN_MISSING_ACT_MONTH</t>
        </is>
      </c>
      <c r="G125" s="8" t="inlineStr">
        <is>
          <t>Выгрузка 1С</t>
        </is>
      </c>
      <c r="H125" s="8" t="inlineStr">
        <is>
          <t>B</t>
        </is>
      </c>
      <c r="I125" s="12" t="inlineStr">
        <is>
          <t>Оплата есть в ETM, акт 1С за месяц не выгружен</t>
        </is>
      </c>
      <c r="J125" s="14" t="n">
        <v>290200</v>
      </c>
    </row>
    <row r="126">
      <c r="A126" s="8" t="inlineStr">
        <is>
          <t>ЧОЛПОН ТУР</t>
        </is>
      </c>
      <c r="B126" s="21" t="n">
        <v>46034</v>
      </c>
      <c r="C126" s="8" t="inlineStr">
        <is>
          <t>1C</t>
        </is>
      </c>
      <c r="D126" s="8" t="inlineStr">
        <is>
          <t>Поступление на р/с, п/п ЦБ-С000158</t>
        </is>
      </c>
      <c r="E126" s="14" t="n">
        <v>290200</v>
      </c>
      <c r="F126" s="8" t="inlineStr">
        <is>
          <t>PAYMENT_NOT_IN_ETM</t>
        </is>
      </c>
      <c r="G126" s="8" t="inlineStr">
        <is>
          <t>Бот ETM</t>
        </is>
      </c>
      <c r="H126" s="8" t="inlineStr">
        <is>
          <t>B</t>
        </is>
      </c>
      <c r="I126" s="12" t="inlineStr">
        <is>
          <t>Поступление 290,200.00 есть в 1С, зачисления на баланс ETM нет</t>
        </is>
      </c>
      <c r="J126" s="14" t="n">
        <v>-290200</v>
      </c>
    </row>
    <row r="127">
      <c r="A127" s="8" t="inlineStr">
        <is>
          <t>ИП Турсунов Т. А.</t>
        </is>
      </c>
      <c r="B127" s="21" t="n">
        <v>46154</v>
      </c>
      <c r="C127" s="8" t="inlineStr">
        <is>
          <t>1C</t>
        </is>
      </c>
      <c r="D127" s="8" t="inlineStr">
        <is>
          <t>Поступление на р/с, п/п ЦБ-С000584</t>
        </is>
      </c>
      <c r="E127" s="14" t="n">
        <v>289500</v>
      </c>
      <c r="F127" s="8" t="inlineStr">
        <is>
          <t>PAYMENT_NOT_IN_ETM</t>
        </is>
      </c>
      <c r="G127" s="8" t="inlineStr">
        <is>
          <t>Бот ETM</t>
        </is>
      </c>
      <c r="H127" s="8" t="inlineStr">
        <is>
          <t>B</t>
        </is>
      </c>
      <c r="I127" s="12" t="inlineStr">
        <is>
          <t>Поступление 289,500.00 есть в 1С, зачисления на баланс ETM нет</t>
        </is>
      </c>
      <c r="J127" s="14" t="n">
        <v>-289500</v>
      </c>
    </row>
    <row r="128">
      <c r="A128" s="8" t="inlineStr">
        <is>
          <t>Тянь-Шань Тур</t>
        </is>
      </c>
      <c r="B128" s="21" t="n">
        <v>46210.62561342592</v>
      </c>
      <c r="C128" s="8" t="inlineStr">
        <is>
          <t>ETM</t>
        </is>
      </c>
      <c r="D128" s="8" t="inlineStr">
        <is>
          <t>57433087</t>
        </is>
      </c>
      <c r="E128" s="14" t="n">
        <v>288600</v>
      </c>
      <c r="F128" s="8" t="inlineStr">
        <is>
          <t>REPEATED_CREDIT</t>
        </is>
      </c>
      <c r="G128" s="8" t="inlineStr">
        <is>
          <t>Бот ETM</t>
        </is>
      </c>
      <c r="H128" s="8" t="inlineStr">
        <is>
          <t>A</t>
        </is>
      </c>
      <c r="I128" s="12" t="inlineStr">
        <is>
          <t>Оплата на 288,600.00 повторно зачислена в ETM через 22.2 ч, в 1С поступление одно</t>
        </is>
      </c>
      <c r="J128" s="14" t="n">
        <v>288600</v>
      </c>
    </row>
    <row r="129">
      <c r="A129" s="8" t="inlineStr">
        <is>
          <t>Абдылда уулу Б.</t>
        </is>
      </c>
      <c r="B129" s="21" t="n">
        <v>46121</v>
      </c>
      <c r="C129" s="8" t="inlineStr">
        <is>
          <t>1C</t>
        </is>
      </c>
      <c r="D129" s="8" t="inlineStr">
        <is>
          <t>Поступление на р/с, п/п ЦБ-С001622</t>
        </is>
      </c>
      <c r="E129" s="14" t="n">
        <v>288600</v>
      </c>
      <c r="F129" s="8" t="inlineStr">
        <is>
          <t>PAYMENT_NOT_IN_ETM</t>
        </is>
      </c>
      <c r="G129" s="8" t="inlineStr">
        <is>
          <t>Бот ETM</t>
        </is>
      </c>
      <c r="H129" s="8" t="inlineStr">
        <is>
          <t>B</t>
        </is>
      </c>
      <c r="I129" s="12" t="inlineStr">
        <is>
          <t>Поступление 288,600.00 есть в 1С, зачисления на баланс ETM нет</t>
        </is>
      </c>
      <c r="J129" s="14" t="n">
        <v>-288600</v>
      </c>
    </row>
    <row r="130">
      <c r="A130" s="8" t="inlineStr">
        <is>
          <t>Асанов Кубат Чынаревич</t>
        </is>
      </c>
      <c r="B130" s="21" t="n">
        <v>46184</v>
      </c>
      <c r="C130" s="8" t="inlineStr">
        <is>
          <t>1C</t>
        </is>
      </c>
      <c r="D130" s="8" t="inlineStr">
        <is>
          <t>Поступление на р/с, п/п ЦБ-С001133</t>
        </is>
      </c>
      <c r="E130" s="14" t="n">
        <v>288100</v>
      </c>
      <c r="F130" s="8" t="inlineStr">
        <is>
          <t>PAYMENT_NOT_IN_ETM</t>
        </is>
      </c>
      <c r="G130" s="8" t="inlineStr">
        <is>
          <t>Бот ETM</t>
        </is>
      </c>
      <c r="H130" s="8" t="inlineStr">
        <is>
          <t>B</t>
        </is>
      </c>
      <c r="I130" s="12" t="inlineStr">
        <is>
          <t>Поступление 288,100.00 есть в 1С, зачисления на баланс ETM нет</t>
        </is>
      </c>
      <c r="J130" s="14" t="n">
        <v>-288100</v>
      </c>
    </row>
    <row r="131">
      <c r="A131" s="8" t="inlineStr">
        <is>
          <t>ОсОО Алтын Эйр</t>
        </is>
      </c>
      <c r="B131" s="21" t="n">
        <v>46075</v>
      </c>
      <c r="C131" s="8" t="inlineStr">
        <is>
          <t>1C</t>
        </is>
      </c>
      <c r="D131" s="8" t="inlineStr">
        <is>
          <t>Поступление на р/с, п/п ЦБ-С000680</t>
        </is>
      </c>
      <c r="E131" s="14" t="n">
        <v>284300</v>
      </c>
      <c r="F131" s="8" t="inlineStr">
        <is>
          <t>PAYMENT_NOT_IN_ETM</t>
        </is>
      </c>
      <c r="G131" s="8" t="inlineStr">
        <is>
          <t>Бот ETM</t>
        </is>
      </c>
      <c r="H131" s="8" t="inlineStr">
        <is>
          <t>B</t>
        </is>
      </c>
      <c r="I131" s="12" t="inlineStr">
        <is>
          <t>Поступление 284,300.00 есть в 1С, зачисления на баланс ETM нет</t>
        </is>
      </c>
      <c r="J131" s="14" t="n">
        <v>-284300</v>
      </c>
    </row>
    <row r="132">
      <c r="A132" s="8" t="inlineStr">
        <is>
          <t>Жибек Эйр</t>
        </is>
      </c>
      <c r="B132" s="21" t="n">
        <v>46161.41629629629</v>
      </c>
      <c r="C132" s="8" t="inlineStr">
        <is>
          <t>ETM</t>
        </is>
      </c>
      <c r="D132" s="8" t="inlineStr">
        <is>
          <t>57297072</t>
        </is>
      </c>
      <c r="E132" s="14" t="n">
        <v>283600</v>
      </c>
      <c r="F132" s="8" t="inlineStr">
        <is>
          <t>ETM_PAYMENT_IN_MISSING_ACT_MONTH</t>
        </is>
      </c>
      <c r="G132" s="8" t="inlineStr">
        <is>
          <t>Выгрузка 1С</t>
        </is>
      </c>
      <c r="H132" s="8" t="inlineStr">
        <is>
          <t>B</t>
        </is>
      </c>
      <c r="I132" s="12" t="inlineStr">
        <is>
          <t>Оплата есть в ETM, акт 1С за месяц не выгружен</t>
        </is>
      </c>
      <c r="J132" s="14" t="n">
        <v>283600</v>
      </c>
    </row>
    <row r="133">
      <c r="A133" s="8" t="inlineStr">
        <is>
          <t>Сатар уулу Санжар</t>
        </is>
      </c>
      <c r="B133" s="21" t="n">
        <v>46177.52321759259</v>
      </c>
      <c r="C133" s="8" t="inlineStr">
        <is>
          <t>ETM</t>
        </is>
      </c>
      <c r="D133" s="8" t="inlineStr">
        <is>
          <t>57339826</t>
        </is>
      </c>
      <c r="E133" s="14" t="n">
        <v>282900</v>
      </c>
      <c r="F133" s="8" t="inlineStr">
        <is>
          <t>ETM_PAYMENT_IN_MISSING_ACT_MONTH</t>
        </is>
      </c>
      <c r="G133" s="8" t="inlineStr">
        <is>
          <t>Выгрузка 1С</t>
        </is>
      </c>
      <c r="H133" s="8" t="inlineStr">
        <is>
          <t>B</t>
        </is>
      </c>
      <c r="I133" s="12" t="inlineStr">
        <is>
          <t>Оплата есть в ETM, акт 1С за месяц не выгружен</t>
        </is>
      </c>
      <c r="J133" s="14" t="n">
        <v>282900</v>
      </c>
    </row>
    <row r="134">
      <c r="A134" s="8" t="inlineStr">
        <is>
          <t>СОН-КУЛЬ ТУР</t>
        </is>
      </c>
      <c r="B134" s="21" t="n">
        <v>46052</v>
      </c>
      <c r="C134" s="8" t="inlineStr">
        <is>
          <t>1C</t>
        </is>
      </c>
      <c r="D134" s="8" t="inlineStr">
        <is>
          <t>Поступление на р/с, п/п ЦБ-С001974</t>
        </is>
      </c>
      <c r="E134" s="14" t="n">
        <v>282800</v>
      </c>
      <c r="F134" s="8" t="inlineStr">
        <is>
          <t>PAYMENT_NOT_IN_ETM</t>
        </is>
      </c>
      <c r="G134" s="8" t="inlineStr">
        <is>
          <t>Бот ETM</t>
        </is>
      </c>
      <c r="H134" s="8" t="inlineStr">
        <is>
          <t>B</t>
        </is>
      </c>
      <c r="I134" s="12" t="inlineStr">
        <is>
          <t>Поступление 282,800.00 есть в 1С, зачисления на баланс ETM нет</t>
        </is>
      </c>
      <c r="J134" s="14" t="n">
        <v>-282800</v>
      </c>
    </row>
    <row r="135">
      <c r="A135" s="8" t="inlineStr">
        <is>
          <t>Салам Авиакасса</t>
        </is>
      </c>
      <c r="B135" s="21" t="n">
        <v>46168</v>
      </c>
      <c r="C135" s="8" t="inlineStr">
        <is>
          <t>1C</t>
        </is>
      </c>
      <c r="D135" s="8" t="inlineStr">
        <is>
          <t>Приход в кассу ЦБ-С001442</t>
        </is>
      </c>
      <c r="E135" s="14" t="n">
        <v>281800</v>
      </c>
      <c r="F135" s="8" t="inlineStr">
        <is>
          <t>PAYMENT_NOT_IN_ETM</t>
        </is>
      </c>
      <c r="G135" s="8" t="inlineStr">
        <is>
          <t>Бот ETM</t>
        </is>
      </c>
      <c r="H135" s="8" t="inlineStr">
        <is>
          <t>B</t>
        </is>
      </c>
      <c r="I135" s="12" t="inlineStr">
        <is>
          <t>Поступление 281,800.00 есть в 1С, зачисления на баланс ETM нет</t>
        </is>
      </c>
      <c r="J135" s="14" t="n">
        <v>-281800</v>
      </c>
    </row>
    <row r="136">
      <c r="A136" s="8" t="inlineStr">
        <is>
          <t>Ыйык Тур</t>
        </is>
      </c>
      <c r="B136" s="21" t="n">
        <v>46188</v>
      </c>
      <c r="C136" s="8" t="inlineStr">
        <is>
          <t>1C</t>
        </is>
      </c>
      <c r="D136" s="8" t="inlineStr">
        <is>
          <t>Поступление на р/с, п/п ЦБ-С000145</t>
        </is>
      </c>
      <c r="E136" s="14" t="n">
        <v>281700</v>
      </c>
      <c r="F136" s="8" t="inlineStr">
        <is>
          <t>PAYMENT_NOT_IN_ETM</t>
        </is>
      </c>
      <c r="G136" s="8" t="inlineStr">
        <is>
          <t>Бот ETM</t>
        </is>
      </c>
      <c r="H136" s="8" t="inlineStr">
        <is>
          <t>B</t>
        </is>
      </c>
      <c r="I136" s="12" t="inlineStr">
        <is>
          <t>Поступление 281,700.00 есть в 1С, зачисления на баланс ETM нет</t>
        </is>
      </c>
      <c r="J136" s="14" t="n">
        <v>-281700</v>
      </c>
    </row>
    <row r="137">
      <c r="A137" s="8" t="inlineStr">
        <is>
          <t>ИССЫК ТРИП</t>
        </is>
      </c>
      <c r="B137" s="21" t="n">
        <v>46077.5041550926</v>
      </c>
      <c r="C137" s="8" t="inlineStr">
        <is>
          <t>ETM</t>
        </is>
      </c>
      <c r="D137" s="8" t="inlineStr">
        <is>
          <t>57106016</t>
        </is>
      </c>
      <c r="E137" s="14" t="n">
        <v>281000</v>
      </c>
      <c r="F137" s="8" t="inlineStr">
        <is>
          <t>ETM_PAYMENT_IN_MISSING_ACT_MONTH</t>
        </is>
      </c>
      <c r="G137" s="8" t="inlineStr">
        <is>
          <t>Выгрузка 1С</t>
        </is>
      </c>
      <c r="H137" s="8" t="inlineStr">
        <is>
          <t>B</t>
        </is>
      </c>
      <c r="I137" s="12" t="inlineStr">
        <is>
          <t>Оплата есть в ETM, акт 1С за месяц не выгружен</t>
        </is>
      </c>
      <c r="J137" s="14" t="n">
        <v>281000</v>
      </c>
    </row>
    <row r="138">
      <c r="A138" s="8" t="inlineStr">
        <is>
          <t>Сатар уулу Санжар</t>
        </is>
      </c>
      <c r="B138" s="21" t="n">
        <v>46120.5972800926</v>
      </c>
      <c r="C138" s="8" t="inlineStr">
        <is>
          <t>ETM</t>
        </is>
      </c>
      <c r="D138" s="8" t="inlineStr">
        <is>
          <t>57195651</t>
        </is>
      </c>
      <c r="E138" s="14" t="n">
        <v>279600</v>
      </c>
      <c r="F138" s="8" t="inlineStr">
        <is>
          <t>ETM_PAYMENT_IN_MISSING_ACT_MONTH</t>
        </is>
      </c>
      <c r="G138" s="8" t="inlineStr">
        <is>
          <t>Выгрузка 1С</t>
        </is>
      </c>
      <c r="H138" s="8" t="inlineStr">
        <is>
          <t>B</t>
        </is>
      </c>
      <c r="I138" s="12" t="inlineStr">
        <is>
          <t>Оплата есть в ETM, акт 1С за месяц не выгружен</t>
        </is>
      </c>
      <c r="J138" s="14" t="n">
        <v>279600</v>
      </c>
    </row>
    <row r="139">
      <c r="A139" s="8" t="inlineStr">
        <is>
          <t>Сатар уулу Санжар</t>
        </is>
      </c>
      <c r="B139" s="21" t="n">
        <v>46120.60361111111</v>
      </c>
      <c r="C139" s="8" t="inlineStr">
        <is>
          <t>ETM</t>
        </is>
      </c>
      <c r="D139" s="8" t="inlineStr">
        <is>
          <t>57195676</t>
        </is>
      </c>
      <c r="E139" s="14" t="n">
        <v>279000</v>
      </c>
      <c r="F139" s="8" t="inlineStr">
        <is>
          <t>ETM_PAYMENT_IN_MISSING_ACT_MONTH</t>
        </is>
      </c>
      <c r="G139" s="8" t="inlineStr">
        <is>
          <t>Выгрузка 1С</t>
        </is>
      </c>
      <c r="H139" s="8" t="inlineStr">
        <is>
          <t>B</t>
        </is>
      </c>
      <c r="I139" s="12" t="inlineStr">
        <is>
          <t>Оплата есть в ETM, акт 1С за месяц не выгружен</t>
        </is>
      </c>
      <c r="J139" s="14" t="n">
        <v>279000</v>
      </c>
    </row>
    <row r="140">
      <c r="A140" s="8" t="inlineStr">
        <is>
          <t>Абдылда уулу Б.</t>
        </is>
      </c>
      <c r="B140" s="21" t="n">
        <v>46073</v>
      </c>
      <c r="C140" s="8" t="inlineStr">
        <is>
          <t>1C</t>
        </is>
      </c>
      <c r="D140" s="8" t="inlineStr">
        <is>
          <t>Поступление на р/с, п/п ЦБ-С001727</t>
        </is>
      </c>
      <c r="E140" s="14" t="n">
        <v>278200</v>
      </c>
      <c r="F140" s="8" t="inlineStr">
        <is>
          <t>PAYMENT_NOT_IN_ETM</t>
        </is>
      </c>
      <c r="G140" s="8" t="inlineStr">
        <is>
          <t>Бот ETM</t>
        </is>
      </c>
      <c r="H140" s="8" t="inlineStr">
        <is>
          <t>B</t>
        </is>
      </c>
      <c r="I140" s="12" t="inlineStr">
        <is>
          <t>Поступление 278,200.00 есть в 1С, зачисления на баланс ETM нет</t>
        </is>
      </c>
      <c r="J140" s="14" t="n">
        <v>-278200</v>
      </c>
    </row>
    <row r="141">
      <c r="A141" s="8" t="inlineStr">
        <is>
          <t>ИССЫК ТРИП</t>
        </is>
      </c>
      <c r="B141" s="21" t="n">
        <v>46213</v>
      </c>
      <c r="C141" s="8" t="inlineStr">
        <is>
          <t>1C</t>
        </is>
      </c>
      <c r="D141" s="8" t="inlineStr">
        <is>
          <t>Поступление на р/с, п/п ЦБ-С000336</t>
        </is>
      </c>
      <c r="E141" s="14" t="n">
        <v>276100</v>
      </c>
      <c r="F141" s="8" t="inlineStr">
        <is>
          <t>PAYMENT_NOT_IN_ETM</t>
        </is>
      </c>
      <c r="G141" s="8" t="inlineStr">
        <is>
          <t>Бот ETM</t>
        </is>
      </c>
      <c r="H141" s="8" t="inlineStr">
        <is>
          <t>B</t>
        </is>
      </c>
      <c r="I141" s="12" t="inlineStr">
        <is>
          <t>Поступление 276,100.00 есть в 1С, зачисления на баланс ETM нет</t>
        </is>
      </c>
      <c r="J141" s="14" t="n">
        <v>-276100</v>
      </c>
    </row>
    <row r="142">
      <c r="A142" s="8" t="inlineStr">
        <is>
          <t>Жибек Эйр</t>
        </is>
      </c>
      <c r="B142" s="21" t="n">
        <v>46039</v>
      </c>
      <c r="C142" s="8" t="inlineStr">
        <is>
          <t>1C</t>
        </is>
      </c>
      <c r="D142" s="8" t="inlineStr">
        <is>
          <t>Поступление на р/с, п/п ЦБ-С000401</t>
        </is>
      </c>
      <c r="E142" s="14" t="n">
        <v>275900</v>
      </c>
      <c r="F142" s="8" t="inlineStr">
        <is>
          <t>PAYMENT_NOT_IN_ETM</t>
        </is>
      </c>
      <c r="G142" s="8" t="inlineStr">
        <is>
          <t>Бот ETM</t>
        </is>
      </c>
      <c r="H142" s="8" t="inlineStr">
        <is>
          <t>B</t>
        </is>
      </c>
      <c r="I142" s="12" t="inlineStr">
        <is>
          <t>Поступление 275,900.00 есть в 1С, зачисления на баланс ETM нет</t>
        </is>
      </c>
      <c r="J142" s="14" t="n">
        <v>-275900</v>
      </c>
    </row>
    <row r="143">
      <c r="A143" s="8" t="inlineStr">
        <is>
          <t>ЧОЛПОН ТУР</t>
        </is>
      </c>
      <c r="B143" s="21" t="n">
        <v>46210</v>
      </c>
      <c r="C143" s="8" t="inlineStr">
        <is>
          <t>1C</t>
        </is>
      </c>
      <c r="D143" s="8" t="inlineStr">
        <is>
          <t>Поступление на р/с, п/п ЦБ-С000374</t>
        </is>
      </c>
      <c r="E143" s="14" t="n">
        <v>275800</v>
      </c>
      <c r="F143" s="8" t="inlineStr">
        <is>
          <t>PAYMENT_NOT_IN_ETM</t>
        </is>
      </c>
      <c r="G143" s="8" t="inlineStr">
        <is>
          <t>Бот ETM</t>
        </is>
      </c>
      <c r="H143" s="8" t="inlineStr">
        <is>
          <t>B</t>
        </is>
      </c>
      <c r="I143" s="12" t="inlineStr">
        <is>
          <t>Поступление 275,800.00 есть в 1С, зачисления на баланс ETM нет</t>
        </is>
      </c>
      <c r="J143" s="14" t="n">
        <v>-275800</v>
      </c>
    </row>
    <row r="144">
      <c r="A144" s="8" t="inlineStr">
        <is>
          <t>Джолдош уулу Эмир</t>
        </is>
      </c>
      <c r="B144" s="21" t="n">
        <v>46232</v>
      </c>
      <c r="C144" s="8" t="inlineStr">
        <is>
          <t>1C</t>
        </is>
      </c>
      <c r="D144" s="8" t="inlineStr">
        <is>
          <t>Поступление на р/с, п/п ЦБ-С001964</t>
        </is>
      </c>
      <c r="E144" s="14" t="n">
        <v>275500</v>
      </c>
      <c r="F144" s="8" t="inlineStr">
        <is>
          <t>PAYMENT_NOT_IN_ETM</t>
        </is>
      </c>
      <c r="G144" s="8" t="inlineStr">
        <is>
          <t>Бот ETM</t>
        </is>
      </c>
      <c r="H144" s="8" t="inlineStr">
        <is>
          <t>B</t>
        </is>
      </c>
      <c r="I144" s="12" t="inlineStr">
        <is>
          <t>Поступление 275,500.00 есть в 1С, зачисления на баланс ETM нет</t>
        </is>
      </c>
      <c r="J144" s="14" t="n">
        <v>-275500</v>
      </c>
    </row>
    <row r="145">
      <c r="A145" s="8" t="inlineStr">
        <is>
          <t>SkyWay Travel</t>
        </is>
      </c>
      <c r="B145" s="21" t="n">
        <v>46063</v>
      </c>
      <c r="C145" s="8" t="inlineStr">
        <is>
          <t>1C</t>
        </is>
      </c>
      <c r="D145" s="8" t="inlineStr">
        <is>
          <t>Поступление на р/с, п/п ЦБ-С001515</t>
        </is>
      </c>
      <c r="E145" s="14" t="n">
        <v>275500</v>
      </c>
      <c r="F145" s="8" t="inlineStr">
        <is>
          <t>PAYMENT_NOT_IN_ETM</t>
        </is>
      </c>
      <c r="G145" s="8" t="inlineStr">
        <is>
          <t>Бот ETM</t>
        </is>
      </c>
      <c r="H145" s="8" t="inlineStr">
        <is>
          <t>B</t>
        </is>
      </c>
      <c r="I145" s="12" t="inlineStr">
        <is>
          <t>Поступление 275,500.00 есть в 1С, зачисления на баланс ETM нет</t>
        </is>
      </c>
      <c r="J145" s="14" t="n">
        <v>-275500</v>
      </c>
    </row>
    <row r="146">
      <c r="A146" s="8" t="inlineStr">
        <is>
          <t>КУТ ЭЙР</t>
        </is>
      </c>
      <c r="B146" s="21" t="n">
        <v>46124</v>
      </c>
      <c r="C146" s="8" t="inlineStr">
        <is>
          <t>1C</t>
        </is>
      </c>
      <c r="D146" s="8" t="inlineStr">
        <is>
          <t>Приход в кассу ЦБ-С000067</t>
        </is>
      </c>
      <c r="E146" s="14" t="n">
        <v>274300</v>
      </c>
      <c r="F146" s="8" t="inlineStr">
        <is>
          <t>PAYMENT_NOT_IN_ETM</t>
        </is>
      </c>
      <c r="G146" s="8" t="inlineStr">
        <is>
          <t>Бот ETM</t>
        </is>
      </c>
      <c r="H146" s="8" t="inlineStr">
        <is>
          <t>B</t>
        </is>
      </c>
      <c r="I146" s="12" t="inlineStr">
        <is>
          <t>Поступление 274,300.00 есть в 1С, зачисления на баланс ETM нет</t>
        </is>
      </c>
      <c r="J146" s="14" t="n">
        <v>-274300</v>
      </c>
    </row>
    <row r="147">
      <c r="A147" s="8" t="inlineStr">
        <is>
          <t>Сатар уулу Санжар</t>
        </is>
      </c>
      <c r="B147" s="21" t="n">
        <v>46121.70746527778</v>
      </c>
      <c r="C147" s="8" t="inlineStr">
        <is>
          <t>ETM</t>
        </is>
      </c>
      <c r="D147" s="8" t="inlineStr">
        <is>
          <t>57197773</t>
        </is>
      </c>
      <c r="E147" s="14" t="n">
        <v>273100</v>
      </c>
      <c r="F147" s="8" t="inlineStr">
        <is>
          <t>ETM_PAYMENT_IN_MISSING_ACT_MONTH</t>
        </is>
      </c>
      <c r="G147" s="8" t="inlineStr">
        <is>
          <t>Выгрузка 1С</t>
        </is>
      </c>
      <c r="H147" s="8" t="inlineStr">
        <is>
          <t>B</t>
        </is>
      </c>
      <c r="I147" s="12" t="inlineStr">
        <is>
          <t>Оплата есть в ETM, акт 1С за месяц не выгружен</t>
        </is>
      </c>
      <c r="J147" s="14" t="n">
        <v>273100</v>
      </c>
    </row>
    <row r="148">
      <c r="A148" s="8" t="inlineStr">
        <is>
          <t>ИП Токтосун кызы Н.</t>
        </is>
      </c>
      <c r="B148" s="21" t="n">
        <v>46075.54987268519</v>
      </c>
      <c r="C148" s="8" t="inlineStr">
        <is>
          <t>ETM</t>
        </is>
      </c>
      <c r="D148" s="8" t="inlineStr">
        <is>
          <t>57102755</t>
        </is>
      </c>
      <c r="E148" s="14" t="n">
        <v>271500</v>
      </c>
      <c r="F148" s="8" t="inlineStr">
        <is>
          <t>ETM_PAYMENT_IN_MISSING_ACT_MONTH</t>
        </is>
      </c>
      <c r="G148" s="8" t="inlineStr">
        <is>
          <t>Выгрузка 1С</t>
        </is>
      </c>
      <c r="H148" s="8" t="inlineStr">
        <is>
          <t>B</t>
        </is>
      </c>
      <c r="I148" s="12" t="inlineStr">
        <is>
          <t>Оплата есть в ETM, акт 1С за месяц не выгружен</t>
        </is>
      </c>
      <c r="J148" s="14" t="n">
        <v>271500</v>
      </c>
    </row>
    <row r="149">
      <c r="A149" s="8" t="inlineStr">
        <is>
          <t>Чынар уулу Эмир</t>
        </is>
      </c>
      <c r="B149" s="21" t="n">
        <v>46100.63880787037</v>
      </c>
      <c r="C149" s="8" t="inlineStr">
        <is>
          <t>ETM</t>
        </is>
      </c>
      <c r="D149" s="8" t="inlineStr">
        <is>
          <t>57156844</t>
        </is>
      </c>
      <c r="E149" s="14" t="n">
        <v>271500</v>
      </c>
      <c r="F149" s="8" t="inlineStr">
        <is>
          <t>ETM_PAYMENT_IN_MISSING_ACT_MONTH</t>
        </is>
      </c>
      <c r="G149" s="8" t="inlineStr">
        <is>
          <t>Выгрузка 1С</t>
        </is>
      </c>
      <c r="H149" s="8" t="inlineStr">
        <is>
          <t>B</t>
        </is>
      </c>
      <c r="I149" s="12" t="inlineStr">
        <is>
          <t>Оплата есть в ETM, акт 1С за месяц не выгружен</t>
        </is>
      </c>
      <c r="J149" s="14" t="n">
        <v>271500</v>
      </c>
    </row>
    <row r="150">
      <c r="A150" s="8" t="inlineStr">
        <is>
          <t>SkyWay Travel</t>
        </is>
      </c>
      <c r="B150" s="21" t="n">
        <v>46105</v>
      </c>
      <c r="C150" s="8" t="inlineStr">
        <is>
          <t>1C</t>
        </is>
      </c>
      <c r="D150" s="8" t="inlineStr">
        <is>
          <t>Приход в кассу ЦБ-С001640</t>
        </is>
      </c>
      <c r="E150" s="14" t="n">
        <v>270700</v>
      </c>
      <c r="F150" s="8" t="inlineStr">
        <is>
          <t>PAYMENT_NOT_IN_ETM</t>
        </is>
      </c>
      <c r="G150" s="8" t="inlineStr">
        <is>
          <t>Бот ETM</t>
        </is>
      </c>
      <c r="H150" s="8" t="inlineStr">
        <is>
          <t>B</t>
        </is>
      </c>
      <c r="I150" s="12" t="inlineStr">
        <is>
          <t>Поступление 270,700.00 есть в 1С, зачисления на баланс ETM нет</t>
        </is>
      </c>
      <c r="J150" s="14" t="n">
        <v>-270700</v>
      </c>
    </row>
    <row r="151">
      <c r="A151" s="8" t="inlineStr">
        <is>
          <t>ОсОО Иссык Тур</t>
        </is>
      </c>
      <c r="B151" s="21" t="n">
        <v>46055</v>
      </c>
      <c r="C151" s="8" t="inlineStr">
        <is>
          <t>1C</t>
        </is>
      </c>
      <c r="D151" s="8" t="inlineStr">
        <is>
          <t>Поступление на р/с, п/п ЦБ-С001436</t>
        </is>
      </c>
      <c r="E151" s="14" t="n">
        <v>270300</v>
      </c>
      <c r="F151" s="8" t="inlineStr">
        <is>
          <t>PAYMENT_NOT_IN_ETM</t>
        </is>
      </c>
      <c r="G151" s="8" t="inlineStr">
        <is>
          <t>Бот ETM</t>
        </is>
      </c>
      <c r="H151" s="8" t="inlineStr">
        <is>
          <t>B</t>
        </is>
      </c>
      <c r="I151" s="12" t="inlineStr">
        <is>
          <t>Поступление 270,300.00 есть в 1С, зачисления на баланс ETM нет</t>
        </is>
      </c>
      <c r="J151" s="14" t="n">
        <v>-270300</v>
      </c>
    </row>
    <row r="152">
      <c r="A152" s="8" t="inlineStr">
        <is>
          <t>Жолчу кызы А.</t>
        </is>
      </c>
      <c r="B152" s="21" t="n">
        <v>46197.39622685185</v>
      </c>
      <c r="C152" s="8" t="inlineStr">
        <is>
          <t>ETM</t>
        </is>
      </c>
      <c r="D152" s="8" t="inlineStr">
        <is>
          <t>57394758</t>
        </is>
      </c>
      <c r="E152" s="14" t="n">
        <v>270100</v>
      </c>
      <c r="F152" s="8" t="inlineStr">
        <is>
          <t>ETM_PAYMENT_IN_MISSING_ACT_MONTH</t>
        </is>
      </c>
      <c r="G152" s="8" t="inlineStr">
        <is>
          <t>Выгрузка 1С</t>
        </is>
      </c>
      <c r="H152" s="8" t="inlineStr">
        <is>
          <t>B</t>
        </is>
      </c>
      <c r="I152" s="12" t="inlineStr">
        <is>
          <t>Оплата есть в ETM, акт 1С за месяц не выгружен</t>
        </is>
      </c>
      <c r="J152" s="14" t="n">
        <v>270100</v>
      </c>
    </row>
    <row r="153">
      <c r="A153" s="8" t="inlineStr">
        <is>
          <t>Karakol Express</t>
        </is>
      </c>
      <c r="B153" s="21" t="n">
        <v>46054</v>
      </c>
      <c r="C153" s="8" t="inlineStr">
        <is>
          <t>1C</t>
        </is>
      </c>
      <c r="D153" s="8" t="inlineStr">
        <is>
          <t>Поступление на р/с, п/п ЦБ-С000701</t>
        </is>
      </c>
      <c r="E153" s="14" t="n">
        <v>269700</v>
      </c>
      <c r="F153" s="8" t="inlineStr">
        <is>
          <t>PAYMENT_NOT_IN_ETM</t>
        </is>
      </c>
      <c r="G153" s="8" t="inlineStr">
        <is>
          <t>Бот ETM</t>
        </is>
      </c>
      <c r="H153" s="8" t="inlineStr">
        <is>
          <t>B</t>
        </is>
      </c>
      <c r="I153" s="12" t="inlineStr">
        <is>
          <t>Поступление 269,700.00 есть в 1С, зачисления на баланс ETM нет</t>
        </is>
      </c>
      <c r="J153" s="14" t="n">
        <v>-269700</v>
      </c>
    </row>
    <row r="154">
      <c r="A154" s="8" t="inlineStr">
        <is>
          <t>ИП Асанов К. Б.</t>
        </is>
      </c>
      <c r="B154" s="21" t="n">
        <v>46073.7471875</v>
      </c>
      <c r="C154" s="8" t="inlineStr">
        <is>
          <t>ETM</t>
        </is>
      </c>
      <c r="D154" s="8" t="inlineStr">
        <is>
          <t>57099246</t>
        </is>
      </c>
      <c r="E154" s="14" t="n">
        <v>268300</v>
      </c>
      <c r="F154" s="8" t="inlineStr">
        <is>
          <t>ETM_PAYMENT_IN_MISSING_ACT_MONTH</t>
        </is>
      </c>
      <c r="G154" s="8" t="inlineStr">
        <is>
          <t>Выгрузка 1С</t>
        </is>
      </c>
      <c r="H154" s="8" t="inlineStr">
        <is>
          <t>B</t>
        </is>
      </c>
      <c r="I154" s="12" t="inlineStr">
        <is>
          <t>Оплата есть в ETM, акт 1С за месяц не выгружен</t>
        </is>
      </c>
      <c r="J154" s="14" t="n">
        <v>268300</v>
      </c>
    </row>
    <row r="155">
      <c r="A155" s="8" t="inlineStr">
        <is>
          <t>Karakol Express</t>
        </is>
      </c>
      <c r="B155" s="21" t="n">
        <v>46199</v>
      </c>
      <c r="C155" s="8" t="inlineStr">
        <is>
          <t>1C</t>
        </is>
      </c>
      <c r="D155" s="8" t="inlineStr">
        <is>
          <t>Поступление на р/с, п/п ЦБ-С002270</t>
        </is>
      </c>
      <c r="E155" s="14" t="n">
        <v>267700</v>
      </c>
      <c r="F155" s="8" t="inlineStr">
        <is>
          <t>PAYMENT_NOT_IN_ETM</t>
        </is>
      </c>
      <c r="G155" s="8" t="inlineStr">
        <is>
          <t>Бот ETM</t>
        </is>
      </c>
      <c r="H155" s="8" t="inlineStr">
        <is>
          <t>B</t>
        </is>
      </c>
      <c r="I155" s="12" t="inlineStr">
        <is>
          <t>Поступление 267,700.00 есть в 1С, зачисления на баланс ETM нет</t>
        </is>
      </c>
      <c r="J155" s="14" t="n">
        <v>-267700</v>
      </c>
    </row>
    <row r="156">
      <c r="A156" s="8" t="inlineStr">
        <is>
          <t>Джолдош уулу Эмир</t>
        </is>
      </c>
      <c r="B156" s="21" t="n">
        <v>46174</v>
      </c>
      <c r="C156" s="8" t="inlineStr">
        <is>
          <t>1C</t>
        </is>
      </c>
      <c r="D156" s="8" t="inlineStr">
        <is>
          <t>Поступление на р/с, п/п ЦБ-С001320</t>
        </is>
      </c>
      <c r="E156" s="14" t="n">
        <v>266100</v>
      </c>
      <c r="F156" s="8" t="inlineStr">
        <is>
          <t>PAYMENT_NOT_IN_ETM</t>
        </is>
      </c>
      <c r="G156" s="8" t="inlineStr">
        <is>
          <t>Бот ETM</t>
        </is>
      </c>
      <c r="H156" s="8" t="inlineStr">
        <is>
          <t>B</t>
        </is>
      </c>
      <c r="I156" s="12" t="inlineStr">
        <is>
          <t>Поступление 266,100.00 есть в 1С, зачисления на баланс ETM нет</t>
        </is>
      </c>
      <c r="J156" s="14" t="n">
        <v>-266100</v>
      </c>
    </row>
    <row r="157">
      <c r="A157" s="8" t="inlineStr">
        <is>
          <t>МУРАС ТРИП</t>
        </is>
      </c>
      <c r="B157" s="21" t="n">
        <v>46133</v>
      </c>
      <c r="C157" s="8" t="inlineStr">
        <is>
          <t>1C</t>
        </is>
      </c>
      <c r="D157" s="8" t="inlineStr">
        <is>
          <t>Приход в кассу ЦБ-С001715</t>
        </is>
      </c>
      <c r="E157" s="14" t="n">
        <v>264300</v>
      </c>
      <c r="F157" s="8" t="inlineStr">
        <is>
          <t>PAYMENT_NOT_IN_ETM</t>
        </is>
      </c>
      <c r="G157" s="8" t="inlineStr">
        <is>
          <t>Бот ETM</t>
        </is>
      </c>
      <c r="H157" s="8" t="inlineStr">
        <is>
          <t>B</t>
        </is>
      </c>
      <c r="I157" s="12" t="inlineStr">
        <is>
          <t>Поступление 264,300.00 есть в 1С, зачисления на баланс ETM нет</t>
        </is>
      </c>
      <c r="J157" s="14" t="n">
        <v>-264300</v>
      </c>
    </row>
    <row r="158">
      <c r="A158" s="8" t="inlineStr">
        <is>
          <t>SkyWay Travel</t>
        </is>
      </c>
      <c r="B158" s="21" t="n">
        <v>46085</v>
      </c>
      <c r="C158" s="8" t="inlineStr">
        <is>
          <t>1C</t>
        </is>
      </c>
      <c r="D158" s="8" t="inlineStr">
        <is>
          <t>Поступление на р/с, п/п ЦБ-С002015</t>
        </is>
      </c>
      <c r="E158" s="14" t="n">
        <v>263400</v>
      </c>
      <c r="F158" s="8" t="inlineStr">
        <is>
          <t>PAYMENT_NOT_IN_ETM</t>
        </is>
      </c>
      <c r="G158" s="8" t="inlineStr">
        <is>
          <t>Бот ETM</t>
        </is>
      </c>
      <c r="H158" s="8" t="inlineStr">
        <is>
          <t>B</t>
        </is>
      </c>
      <c r="I158" s="12" t="inlineStr">
        <is>
          <t>Поступление 263,400.00 есть в 1С, зачисления на баланс ETM нет</t>
        </is>
      </c>
      <c r="J158" s="14" t="n">
        <v>-263400</v>
      </c>
    </row>
    <row r="159">
      <c r="A159" s="8" t="inlineStr">
        <is>
          <t>Кадырова Айнура Жумабекевна</t>
        </is>
      </c>
      <c r="B159" s="21" t="n">
        <v>46147</v>
      </c>
      <c r="C159" s="8" t="inlineStr">
        <is>
          <t>1C</t>
        </is>
      </c>
      <c r="D159" s="8" t="inlineStr">
        <is>
          <t>Поступление на р/с, п/п ЦБ-С001643</t>
        </is>
      </c>
      <c r="E159" s="14" t="n">
        <v>263000</v>
      </c>
      <c r="F159" s="8" t="inlineStr">
        <is>
          <t>PAYMENT_NOT_IN_ETM</t>
        </is>
      </c>
      <c r="G159" s="8" t="inlineStr">
        <is>
          <t>Бот ETM</t>
        </is>
      </c>
      <c r="H159" s="8" t="inlineStr">
        <is>
          <t>B</t>
        </is>
      </c>
      <c r="I159" s="12" t="inlineStr">
        <is>
          <t>Поступление 263,000.00 есть в 1С, зачисления на баланс ETM нет</t>
        </is>
      </c>
      <c r="J159" s="14" t="n">
        <v>-263000</v>
      </c>
    </row>
    <row r="160">
      <c r="A160" s="8" t="inlineStr">
        <is>
          <t>ИССЫК ТРИП</t>
        </is>
      </c>
      <c r="B160" s="21" t="n">
        <v>46058.56002314815</v>
      </c>
      <c r="C160" s="8" t="inlineStr">
        <is>
          <t>ETM</t>
        </is>
      </c>
      <c r="D160" s="8" t="inlineStr">
        <is>
          <t>57074004</t>
        </is>
      </c>
      <c r="E160" s="14" t="n">
        <v>262800</v>
      </c>
      <c r="F160" s="8" t="inlineStr">
        <is>
          <t>ETM_PAYMENT_IN_MISSING_ACT_MONTH</t>
        </is>
      </c>
      <c r="G160" s="8" t="inlineStr">
        <is>
          <t>Выгрузка 1С</t>
        </is>
      </c>
      <c r="H160" s="8" t="inlineStr">
        <is>
          <t>B</t>
        </is>
      </c>
      <c r="I160" s="12" t="inlineStr">
        <is>
          <t>Оплата есть в ETM, акт 1С за месяц не выгружен</t>
        </is>
      </c>
      <c r="J160" s="14" t="n">
        <v>262800</v>
      </c>
    </row>
    <row r="161">
      <c r="A161" s="8" t="inlineStr">
        <is>
          <t>Karakol Express</t>
        </is>
      </c>
      <c r="B161" s="21" t="n">
        <v>46161</v>
      </c>
      <c r="C161" s="8" t="inlineStr">
        <is>
          <t>1C</t>
        </is>
      </c>
      <c r="D161" s="8" t="inlineStr">
        <is>
          <t>Приход в кассу ЦБ-С001708</t>
        </is>
      </c>
      <c r="E161" s="14" t="n">
        <v>262300</v>
      </c>
      <c r="F161" s="8" t="inlineStr">
        <is>
          <t>PAYMENT_NOT_IN_ETM</t>
        </is>
      </c>
      <c r="G161" s="8" t="inlineStr">
        <is>
          <t>Бот ETM</t>
        </is>
      </c>
      <c r="H161" s="8" t="inlineStr">
        <is>
          <t>B</t>
        </is>
      </c>
      <c r="I161" s="12" t="inlineStr">
        <is>
          <t>Поступление 262,300.00 есть в 1С, зачисления на баланс ETM нет</t>
        </is>
      </c>
      <c r="J161" s="14" t="n">
        <v>-262300</v>
      </c>
    </row>
    <row r="162">
      <c r="A162" s="8" t="inlineStr">
        <is>
          <t>Чолпон Тревел</t>
        </is>
      </c>
      <c r="B162" s="21" t="n">
        <v>46186</v>
      </c>
      <c r="C162" s="8" t="inlineStr">
        <is>
          <t>1C</t>
        </is>
      </c>
      <c r="D162" s="8" t="inlineStr">
        <is>
          <t>Поступление на р/с, п/п ЦБ-С000972</t>
        </is>
      </c>
      <c r="E162" s="14" t="n">
        <v>260400</v>
      </c>
      <c r="F162" s="8" t="inlineStr">
        <is>
          <t>PAYMENT_NOT_IN_ETM</t>
        </is>
      </c>
      <c r="G162" s="8" t="inlineStr">
        <is>
          <t>Бот ETM</t>
        </is>
      </c>
      <c r="H162" s="8" t="inlineStr">
        <is>
          <t>B</t>
        </is>
      </c>
      <c r="I162" s="12" t="inlineStr">
        <is>
          <t>Поступление 260,400.00 есть в 1С, зачисления на баланс ETM нет</t>
        </is>
      </c>
      <c r="J162" s="14" t="n">
        <v>-260400</v>
      </c>
    </row>
    <row r="163">
      <c r="A163" s="8" t="inlineStr">
        <is>
          <t>Karakol Express</t>
        </is>
      </c>
      <c r="B163" s="21" t="n">
        <v>46192</v>
      </c>
      <c r="C163" s="8" t="inlineStr">
        <is>
          <t>1C</t>
        </is>
      </c>
      <c r="D163" s="8" t="inlineStr">
        <is>
          <t>Поступление на р/с, п/п ЦБ-С000451</t>
        </is>
      </c>
      <c r="E163" s="14" t="n">
        <v>260300</v>
      </c>
      <c r="F163" s="8" t="inlineStr">
        <is>
          <t>PAYMENT_NOT_IN_ETM</t>
        </is>
      </c>
      <c r="G163" s="8" t="inlineStr">
        <is>
          <t>Бот ETM</t>
        </is>
      </c>
      <c r="H163" s="8" t="inlineStr">
        <is>
          <t>B</t>
        </is>
      </c>
      <c r="I163" s="12" t="inlineStr">
        <is>
          <t>Поступление 260,300.00 есть в 1С, зачисления на баланс ETM нет</t>
        </is>
      </c>
      <c r="J163" s="14" t="n">
        <v>-260300</v>
      </c>
    </row>
    <row r="164">
      <c r="A164" s="8" t="inlineStr">
        <is>
          <t>SkyWay Travel</t>
        </is>
      </c>
      <c r="B164" s="21" t="n">
        <v>46118</v>
      </c>
      <c r="C164" s="8" t="inlineStr">
        <is>
          <t>1C</t>
        </is>
      </c>
      <c r="D164" s="8" t="inlineStr">
        <is>
          <t>Поступление на р/с, п/п ЦБ-С000932</t>
        </is>
      </c>
      <c r="E164" s="14" t="n">
        <v>260300</v>
      </c>
      <c r="F164" s="8" t="inlineStr">
        <is>
          <t>PAYMENT_NOT_IN_ETM</t>
        </is>
      </c>
      <c r="G164" s="8" t="inlineStr">
        <is>
          <t>Бот ETM</t>
        </is>
      </c>
      <c r="H164" s="8" t="inlineStr">
        <is>
          <t>B</t>
        </is>
      </c>
      <c r="I164" s="12" t="inlineStr">
        <is>
          <t>Поступление 260,300.00 есть в 1С, зачисления на баланс ETM нет</t>
        </is>
      </c>
      <c r="J164" s="14" t="n">
        <v>-260300</v>
      </c>
    </row>
    <row r="165">
      <c r="A165" s="8" t="inlineStr">
        <is>
          <t>Сатар уулу Санжар</t>
        </is>
      </c>
      <c r="B165" s="21" t="n">
        <v>46127.61046296296</v>
      </c>
      <c r="C165" s="8" t="inlineStr">
        <is>
          <t>ETM</t>
        </is>
      </c>
      <c r="D165" s="8" t="inlineStr">
        <is>
          <t>57208225</t>
        </is>
      </c>
      <c r="E165" s="14" t="n">
        <v>258400</v>
      </c>
      <c r="F165" s="8" t="inlineStr">
        <is>
          <t>ETM_PAYMENT_IN_MISSING_ACT_MONTH</t>
        </is>
      </c>
      <c r="G165" s="8" t="inlineStr">
        <is>
          <t>Выгрузка 1С</t>
        </is>
      </c>
      <c r="H165" s="8" t="inlineStr">
        <is>
          <t>B</t>
        </is>
      </c>
      <c r="I165" s="12" t="inlineStr">
        <is>
          <t>Оплата есть в ETM, акт 1С за месяц не выгружен</t>
        </is>
      </c>
      <c r="J165" s="14" t="n">
        <v>258400</v>
      </c>
    </row>
    <row r="166">
      <c r="A166" s="8" t="inlineStr">
        <is>
          <t>КУТ ЭЙР</t>
        </is>
      </c>
      <c r="B166" s="21" t="n">
        <v>46209</v>
      </c>
      <c r="C166" s="8" t="inlineStr">
        <is>
          <t>1C</t>
        </is>
      </c>
      <c r="D166" s="8" t="inlineStr">
        <is>
          <t>Поступление на р/с, п/п ЦБ-С000833</t>
        </is>
      </c>
      <c r="E166" s="14" t="n">
        <v>256600</v>
      </c>
      <c r="F166" s="8" t="inlineStr">
        <is>
          <t>PAYMENT_NOT_IN_ETM</t>
        </is>
      </c>
      <c r="G166" s="8" t="inlineStr">
        <is>
          <t>Бот ETM</t>
        </is>
      </c>
      <c r="H166" s="8" t="inlineStr">
        <is>
          <t>B</t>
        </is>
      </c>
      <c r="I166" s="12" t="inlineStr">
        <is>
          <t>Поступление 256,600.00 есть в 1С, зачисления на баланс ETM нет</t>
        </is>
      </c>
      <c r="J166" s="14" t="n">
        <v>-256600</v>
      </c>
    </row>
    <row r="167">
      <c r="A167" s="8" t="inlineStr">
        <is>
          <t>ИП Токтосун кызы Н.</t>
        </is>
      </c>
      <c r="B167" s="21" t="n">
        <v>46069.56318287037</v>
      </c>
      <c r="C167" s="8" t="inlineStr">
        <is>
          <t>ETM</t>
        </is>
      </c>
      <c r="D167" s="8" t="inlineStr">
        <is>
          <t>57092740</t>
        </is>
      </c>
      <c r="E167" s="14" t="n">
        <v>253800</v>
      </c>
      <c r="F167" s="8" t="inlineStr">
        <is>
          <t>ETM_PAYMENT_IN_MISSING_ACT_MONTH</t>
        </is>
      </c>
      <c r="G167" s="8" t="inlineStr">
        <is>
          <t>Выгрузка 1С</t>
        </is>
      </c>
      <c r="H167" s="8" t="inlineStr">
        <is>
          <t>B</t>
        </is>
      </c>
      <c r="I167" s="12" t="inlineStr">
        <is>
          <t>Оплата есть в ETM, акт 1С за месяц не выгружен</t>
        </is>
      </c>
      <c r="J167" s="14" t="n">
        <v>253800</v>
      </c>
    </row>
    <row r="168">
      <c r="A168" s="8" t="inlineStr">
        <is>
          <t>Манас Тур</t>
        </is>
      </c>
      <c r="B168" s="21" t="n">
        <v>46045</v>
      </c>
      <c r="C168" s="8" t="inlineStr">
        <is>
          <t>1C</t>
        </is>
      </c>
      <c r="D168" s="8" t="inlineStr">
        <is>
          <t>Поступление на р/с, п/п ЦБ-С001498</t>
        </is>
      </c>
      <c r="E168" s="14" t="n">
        <v>253800</v>
      </c>
      <c r="F168" s="8" t="inlineStr">
        <is>
          <t>PAYMENT_NOT_IN_ETM</t>
        </is>
      </c>
      <c r="G168" s="8" t="inlineStr">
        <is>
          <t>Бот ETM</t>
        </is>
      </c>
      <c r="H168" s="8" t="inlineStr">
        <is>
          <t>B</t>
        </is>
      </c>
      <c r="I168" s="12" t="inlineStr">
        <is>
          <t>Поступление 253,800.00 есть в 1С, зачисления на баланс ETM нет</t>
        </is>
      </c>
      <c r="J168" s="14" t="n">
        <v>-253800</v>
      </c>
    </row>
    <row r="169">
      <c r="A169" s="8" t="inlineStr">
        <is>
          <t>Салам Авиакасса</t>
        </is>
      </c>
      <c r="B169" s="21" t="n">
        <v>46205.78144675926</v>
      </c>
      <c r="C169" s="8" t="inlineStr">
        <is>
          <t>ETM</t>
        </is>
      </c>
      <c r="D169" s="8" t="inlineStr">
        <is>
          <t>57410213</t>
        </is>
      </c>
      <c r="E169" s="14" t="n">
        <v>253600</v>
      </c>
      <c r="F169" s="8" t="inlineStr">
        <is>
          <t>PAYMENT_NOT_IN_1C</t>
        </is>
      </c>
      <c r="G169" s="8" t="inlineStr">
        <is>
          <t>1С</t>
        </is>
      </c>
      <c r="H169" s="8" t="inlineStr">
        <is>
          <t>B</t>
        </is>
      </c>
      <c r="I169" s="12" t="inlineStr">
        <is>
          <t>Оплата 253,600.00 есть в ETM, поступления в 1С нет</t>
        </is>
      </c>
      <c r="J169" s="14" t="n">
        <v>253600</v>
      </c>
    </row>
    <row r="170">
      <c r="A170" s="8" t="inlineStr">
        <is>
          <t>Sunrise Tours</t>
        </is>
      </c>
      <c r="B170" s="21" t="n">
        <v>46234</v>
      </c>
      <c r="C170" s="8" t="inlineStr">
        <is>
          <t>1C</t>
        </is>
      </c>
      <c r="D170" s="8" t="inlineStr">
        <is>
          <t>Поступление на р/с, п/п ЦБ-С001947</t>
        </is>
      </c>
      <c r="E170" s="14" t="n">
        <v>251300</v>
      </c>
      <c r="F170" s="8" t="inlineStr">
        <is>
          <t>PAYMENT_NOT_IN_ETM</t>
        </is>
      </c>
      <c r="G170" s="8" t="inlineStr">
        <is>
          <t>Бот ETM</t>
        </is>
      </c>
      <c r="H170" s="8" t="inlineStr">
        <is>
          <t>B</t>
        </is>
      </c>
      <c r="I170" s="12" t="inlineStr">
        <is>
          <t>Поступление 251,300.00 есть в 1С, зачисления на баланс ETM нет</t>
        </is>
      </c>
      <c r="J170" s="14" t="n">
        <v>-251300</v>
      </c>
    </row>
    <row r="171">
      <c r="A171" s="8" t="inlineStr">
        <is>
          <t>ЧОЛПОН ТУР</t>
        </is>
      </c>
      <c r="B171" s="21" t="n">
        <v>46140.49131944445</v>
      </c>
      <c r="C171" s="8" t="inlineStr">
        <is>
          <t>ETM</t>
        </is>
      </c>
      <c r="D171" s="8" t="inlineStr">
        <is>
          <t>57233713</t>
        </is>
      </c>
      <c r="E171" s="14" t="n">
        <v>250900</v>
      </c>
      <c r="F171" s="8" t="inlineStr">
        <is>
          <t>ETM_PAYMENT_IN_MISSING_ACT_MONTH</t>
        </is>
      </c>
      <c r="G171" s="8" t="inlineStr">
        <is>
          <t>Выгрузка 1С</t>
        </is>
      </c>
      <c r="H171" s="8" t="inlineStr">
        <is>
          <t>B</t>
        </is>
      </c>
      <c r="I171" s="12" t="inlineStr">
        <is>
          <t>Оплата есть в ETM, акт 1С за месяц не выгружен</t>
        </is>
      </c>
      <c r="J171" s="14" t="n">
        <v>250900</v>
      </c>
    </row>
    <row r="172">
      <c r="A172" s="8" t="inlineStr">
        <is>
          <t>Жибек Эйр</t>
        </is>
      </c>
      <c r="B172" s="21" t="n">
        <v>46044.67346064815</v>
      </c>
      <c r="C172" s="8" t="inlineStr">
        <is>
          <t>ETM</t>
        </is>
      </c>
      <c r="D172" s="8" t="inlineStr">
        <is>
          <t>57042021</t>
        </is>
      </c>
      <c r="E172" s="14" t="n">
        <v>249400</v>
      </c>
      <c r="F172" s="8" t="inlineStr">
        <is>
          <t>REPEATED_CREDIT</t>
        </is>
      </c>
      <c r="G172" s="8" t="inlineStr">
        <is>
          <t>Бот ETM</t>
        </is>
      </c>
      <c r="H172" s="8" t="inlineStr">
        <is>
          <t>A</t>
        </is>
      </c>
      <c r="I172" s="12" t="inlineStr">
        <is>
          <t>Оплата на 249,400.00 повторно зачислена в ETM через 29.7 ч, в 1С поступление одно</t>
        </is>
      </c>
      <c r="J172" s="14" t="n">
        <v>249400</v>
      </c>
    </row>
    <row r="173">
      <c r="A173" s="8" t="inlineStr">
        <is>
          <t>Ак-Куу Авиа</t>
        </is>
      </c>
      <c r="B173" s="21" t="n">
        <v>46088</v>
      </c>
      <c r="C173" s="8" t="inlineStr">
        <is>
          <t>1C</t>
        </is>
      </c>
      <c r="D173" s="8" t="inlineStr">
        <is>
          <t>Поступление на р/с, п/п ЦБ-С001768</t>
        </is>
      </c>
      <c r="E173" s="14" t="n">
        <v>248900</v>
      </c>
      <c r="F173" s="8" t="inlineStr">
        <is>
          <t>PAYMENT_NOT_IN_ETM</t>
        </is>
      </c>
      <c r="G173" s="8" t="inlineStr">
        <is>
          <t>Бот ETM</t>
        </is>
      </c>
      <c r="H173" s="8" t="inlineStr">
        <is>
          <t>B</t>
        </is>
      </c>
      <c r="I173" s="12" t="inlineStr">
        <is>
          <t>Поступление 248,900.00 есть в 1С, зачисления на баланс ETM нет</t>
        </is>
      </c>
      <c r="J173" s="14" t="n">
        <v>-248900</v>
      </c>
    </row>
    <row r="174">
      <c r="A174" s="8" t="inlineStr">
        <is>
          <t>SkyWay Travel</t>
        </is>
      </c>
      <c r="B174" s="21" t="n">
        <v>46169</v>
      </c>
      <c r="C174" s="8" t="inlineStr">
        <is>
          <t>1C</t>
        </is>
      </c>
      <c r="D174" s="8" t="inlineStr">
        <is>
          <t>Поступление на р/с, п/п ЦБ-С001499</t>
        </is>
      </c>
      <c r="E174" s="14" t="n">
        <v>248400</v>
      </c>
      <c r="F174" s="8" t="inlineStr">
        <is>
          <t>PAYMENT_NOT_IN_ETM</t>
        </is>
      </c>
      <c r="G174" s="8" t="inlineStr">
        <is>
          <t>Бот ETM</t>
        </is>
      </c>
      <c r="H174" s="8" t="inlineStr">
        <is>
          <t>B</t>
        </is>
      </c>
      <c r="I174" s="12" t="inlineStr">
        <is>
          <t>Поступление 248,400.00 есть в 1С, зачисления на баланс ETM нет</t>
        </is>
      </c>
      <c r="J174" s="14" t="n">
        <v>-248400</v>
      </c>
    </row>
    <row r="175">
      <c r="A175" s="8" t="inlineStr">
        <is>
          <t>Karakol Express</t>
        </is>
      </c>
      <c r="B175" s="21" t="n">
        <v>46144</v>
      </c>
      <c r="C175" s="8" t="inlineStr">
        <is>
          <t>1C</t>
        </is>
      </c>
      <c r="D175" s="8" t="inlineStr">
        <is>
          <t>Поступление на р/с, п/п ЦБ-С001501</t>
        </is>
      </c>
      <c r="E175" s="14" t="n">
        <v>248100</v>
      </c>
      <c r="F175" s="8" t="inlineStr">
        <is>
          <t>PAYMENT_NOT_IN_ETM</t>
        </is>
      </c>
      <c r="G175" s="8" t="inlineStr">
        <is>
          <t>Бот ETM</t>
        </is>
      </c>
      <c r="H175" s="8" t="inlineStr">
        <is>
          <t>B</t>
        </is>
      </c>
      <c r="I175" s="12" t="inlineStr">
        <is>
          <t>Поступление 248,100.00 есть в 1С, зачисления на баланс ETM нет</t>
        </is>
      </c>
      <c r="J175" s="14" t="n">
        <v>-248100</v>
      </c>
    </row>
    <row r="176">
      <c r="A176" s="8" t="inlineStr">
        <is>
          <t>Манас Тревел</t>
        </is>
      </c>
      <c r="B176" s="21" t="n">
        <v>46049</v>
      </c>
      <c r="C176" s="8" t="inlineStr">
        <is>
          <t>1C</t>
        </is>
      </c>
      <c r="D176" s="8" t="inlineStr">
        <is>
          <t>Приход в кассу ЦБ-С000808</t>
        </is>
      </c>
      <c r="E176" s="14" t="n">
        <v>247400</v>
      </c>
      <c r="F176" s="8" t="inlineStr">
        <is>
          <t>PAYMENT_NOT_IN_ETM</t>
        </is>
      </c>
      <c r="G176" s="8" t="inlineStr">
        <is>
          <t>Бот ETM</t>
        </is>
      </c>
      <c r="H176" s="8" t="inlineStr">
        <is>
          <t>B</t>
        </is>
      </c>
      <c r="I176" s="12" t="inlineStr">
        <is>
          <t>Поступление 247,400.00 есть в 1С, зачисления на баланс ETM нет</t>
        </is>
      </c>
      <c r="J176" s="14" t="n">
        <v>-247400</v>
      </c>
    </row>
    <row r="177">
      <c r="A177" s="8" t="inlineStr">
        <is>
          <t>Karakol Express</t>
        </is>
      </c>
      <c r="B177" s="21" t="n">
        <v>46160</v>
      </c>
      <c r="C177" s="8" t="inlineStr">
        <is>
          <t>1C</t>
        </is>
      </c>
      <c r="D177" s="8" t="inlineStr">
        <is>
          <t>Поступление на р/с, п/п ЦБ-С001323</t>
        </is>
      </c>
      <c r="E177" s="14" t="n">
        <v>245600</v>
      </c>
      <c r="F177" s="8" t="inlineStr">
        <is>
          <t>PAYMENT_NOT_IN_ETM</t>
        </is>
      </c>
      <c r="G177" s="8" t="inlineStr">
        <is>
          <t>Бот ETM</t>
        </is>
      </c>
      <c r="H177" s="8" t="inlineStr">
        <is>
          <t>B</t>
        </is>
      </c>
      <c r="I177" s="12" t="inlineStr">
        <is>
          <t>Поступление 245,600.00 есть в 1С, зачисления на баланс ETM нет</t>
        </is>
      </c>
      <c r="J177" s="14" t="n">
        <v>-245600</v>
      </c>
    </row>
    <row r="178">
      <c r="A178" s="8" t="inlineStr">
        <is>
          <t>Ыйык Тур</t>
        </is>
      </c>
      <c r="B178" s="21" t="n">
        <v>46144.36767361111</v>
      </c>
      <c r="C178" s="8" t="inlineStr">
        <is>
          <t>ETM</t>
        </is>
      </c>
      <c r="D178" s="8" t="inlineStr">
        <is>
          <t>57240708</t>
        </is>
      </c>
      <c r="E178" s="14" t="n">
        <v>245400</v>
      </c>
      <c r="F178" s="8" t="inlineStr">
        <is>
          <t>REPEATED_CREDIT</t>
        </is>
      </c>
      <c r="G178" s="8" t="inlineStr">
        <is>
          <t>Бот ETM</t>
        </is>
      </c>
      <c r="H178" s="8" t="inlineStr">
        <is>
          <t>A</t>
        </is>
      </c>
      <c r="I178" s="12" t="inlineStr">
        <is>
          <t>Оплата на 245,400.00 повторно зачислена в ETM через 21.2 ч, в 1С поступление одно</t>
        </is>
      </c>
      <c r="J178" s="14" t="n">
        <v>245400</v>
      </c>
    </row>
    <row r="179">
      <c r="A179" s="8" t="inlineStr">
        <is>
          <t>Aylana Tour</t>
        </is>
      </c>
      <c r="B179" s="21" t="n">
        <v>46192</v>
      </c>
      <c r="C179" s="8" t="inlineStr">
        <is>
          <t>1C</t>
        </is>
      </c>
      <c r="D179" s="8" t="inlineStr">
        <is>
          <t>Поступление на р/с, п/п ЦБ-С000811</t>
        </is>
      </c>
      <c r="E179" s="14" t="n">
        <v>244900</v>
      </c>
      <c r="F179" s="8" t="inlineStr">
        <is>
          <t>PAYMENT_NOT_IN_ETM</t>
        </is>
      </c>
      <c r="G179" s="8" t="inlineStr">
        <is>
          <t>Бот ETM</t>
        </is>
      </c>
      <c r="H179" s="8" t="inlineStr">
        <is>
          <t>B</t>
        </is>
      </c>
      <c r="I179" s="12" t="inlineStr">
        <is>
          <t>Поступление 244,900.00 есть в 1С, зачисления на баланс ETM нет</t>
        </is>
      </c>
      <c r="J179" s="14" t="n">
        <v>-244900</v>
      </c>
    </row>
    <row r="180">
      <c r="A180" s="8" t="inlineStr">
        <is>
          <t>Сатар уулу Санжар</t>
        </is>
      </c>
      <c r="B180" s="21" t="n">
        <v>46181.58701388889</v>
      </c>
      <c r="C180" s="8" t="inlineStr">
        <is>
          <t>ETM</t>
        </is>
      </c>
      <c r="D180" s="8" t="inlineStr">
        <is>
          <t>57350214</t>
        </is>
      </c>
      <c r="E180" s="14" t="n">
        <v>243700</v>
      </c>
      <c r="F180" s="8" t="inlineStr">
        <is>
          <t>ETM_PAYMENT_IN_MISSING_ACT_MONTH</t>
        </is>
      </c>
      <c r="G180" s="8" t="inlineStr">
        <is>
          <t>Выгрузка 1С</t>
        </is>
      </c>
      <c r="H180" s="8" t="inlineStr">
        <is>
          <t>B</t>
        </is>
      </c>
      <c r="I180" s="12" t="inlineStr">
        <is>
          <t>Оплата есть в ETM, акт 1С за месяц не выгружен</t>
        </is>
      </c>
      <c r="J180" s="14" t="n">
        <v>243700</v>
      </c>
    </row>
    <row r="181">
      <c r="A181" s="8" t="inlineStr">
        <is>
          <t>Кенешова Чолпон Таалайовна</t>
        </is>
      </c>
      <c r="B181" s="21" t="n">
        <v>46067</v>
      </c>
      <c r="C181" s="8" t="inlineStr">
        <is>
          <t>1C</t>
        </is>
      </c>
      <c r="D181" s="8" t="inlineStr">
        <is>
          <t>Поступление на р/с, п/п ЦБ-С001567</t>
        </is>
      </c>
      <c r="E181" s="14" t="n">
        <v>243500</v>
      </c>
      <c r="F181" s="8" t="inlineStr">
        <is>
          <t>PAYMENT_NOT_IN_ETM</t>
        </is>
      </c>
      <c r="G181" s="8" t="inlineStr">
        <is>
          <t>Бот ETM</t>
        </is>
      </c>
      <c r="H181" s="8" t="inlineStr">
        <is>
          <t>B</t>
        </is>
      </c>
      <c r="I181" s="12" t="inlineStr">
        <is>
          <t>Поступление 243,500.00 есть в 1С, зачисления на баланс ETM нет</t>
        </is>
      </c>
      <c r="J181" s="14" t="n">
        <v>-243500</v>
      </c>
    </row>
    <row r="182">
      <c r="A182" s="8" t="inlineStr">
        <is>
          <t>Сатар уулу Санжар</t>
        </is>
      </c>
      <c r="B182" s="21" t="n">
        <v>46233</v>
      </c>
      <c r="C182" s="8" t="inlineStr">
        <is>
          <t>1C</t>
        </is>
      </c>
      <c r="D182" s="8" t="inlineStr">
        <is>
          <t>Поступление на р/с, п/п ЦБ-С002238</t>
        </is>
      </c>
      <c r="E182" s="14" t="n">
        <v>243400</v>
      </c>
      <c r="F182" s="8" t="inlineStr">
        <is>
          <t>PAYMENT_NOT_IN_ETM</t>
        </is>
      </c>
      <c r="G182" s="8" t="inlineStr">
        <is>
          <t>Бот ETM</t>
        </is>
      </c>
      <c r="H182" s="8" t="inlineStr">
        <is>
          <t>B</t>
        </is>
      </c>
      <c r="I182" s="12" t="inlineStr">
        <is>
          <t>Поступление 243,400.00 есть в 1С, зачисления на баланс ETM нет</t>
        </is>
      </c>
      <c r="J182" s="14" t="n">
        <v>-243400</v>
      </c>
    </row>
    <row r="183">
      <c r="A183" s="8" t="inlineStr">
        <is>
          <t>ИП Муратов Э. У.</t>
        </is>
      </c>
      <c r="B183" s="21" t="n">
        <v>46027</v>
      </c>
      <c r="C183" s="8" t="inlineStr">
        <is>
          <t>1C</t>
        </is>
      </c>
      <c r="D183" s="8" t="inlineStr">
        <is>
          <t>Поступление на р/с, п/п ЦБ-С000968</t>
        </is>
      </c>
      <c r="E183" s="14" t="n">
        <v>243200</v>
      </c>
      <c r="F183" s="8" t="inlineStr">
        <is>
          <t>PAYMENT_NOT_IN_ETM</t>
        </is>
      </c>
      <c r="G183" s="8" t="inlineStr">
        <is>
          <t>Бот ETM</t>
        </is>
      </c>
      <c r="H183" s="8" t="inlineStr">
        <is>
          <t>B</t>
        </is>
      </c>
      <c r="I183" s="12" t="inlineStr">
        <is>
          <t>Поступление 243,200.00 есть в 1С, зачисления на баланс ETM нет</t>
        </is>
      </c>
      <c r="J183" s="14" t="n">
        <v>-243200</v>
      </c>
    </row>
    <row r="184">
      <c r="A184" s="8" t="inlineStr">
        <is>
          <t>Джолдош уулу Эмир</t>
        </is>
      </c>
      <c r="B184" s="21" t="n">
        <v>46097</v>
      </c>
      <c r="C184" s="8" t="inlineStr">
        <is>
          <t>1C</t>
        </is>
      </c>
      <c r="D184" s="8" t="inlineStr">
        <is>
          <t>Поступление на р/с, п/п ЦБ-С001270</t>
        </is>
      </c>
      <c r="E184" s="14" t="n">
        <v>241000</v>
      </c>
      <c r="F184" s="8" t="inlineStr">
        <is>
          <t>PAYMENT_NOT_IN_ETM</t>
        </is>
      </c>
      <c r="G184" s="8" t="inlineStr">
        <is>
          <t>Бот ETM</t>
        </is>
      </c>
      <c r="H184" s="8" t="inlineStr">
        <is>
          <t>B</t>
        </is>
      </c>
      <c r="I184" s="12" t="inlineStr">
        <is>
          <t>Поступление 241,000.00 есть в 1С, зачисления на баланс ETM нет</t>
        </is>
      </c>
      <c r="J184" s="14" t="n">
        <v>-241000</v>
      </c>
    </row>
    <row r="185">
      <c r="A185" s="8" t="inlineStr">
        <is>
          <t>Сатар уулу Санжар</t>
        </is>
      </c>
      <c r="B185" s="21" t="n">
        <v>46185.39076388889</v>
      </c>
      <c r="C185" s="8" t="inlineStr">
        <is>
          <t>ETM</t>
        </is>
      </c>
      <c r="D185" s="8" t="inlineStr">
        <is>
          <t>57360390</t>
        </is>
      </c>
      <c r="E185" s="14" t="n">
        <v>240600</v>
      </c>
      <c r="F185" s="8" t="inlineStr">
        <is>
          <t>ETM_PAYMENT_IN_MISSING_ACT_MONTH</t>
        </is>
      </c>
      <c r="G185" s="8" t="inlineStr">
        <is>
          <t>Выгрузка 1С</t>
        </is>
      </c>
      <c r="H185" s="8" t="inlineStr">
        <is>
          <t>B</t>
        </is>
      </c>
      <c r="I185" s="12" t="inlineStr">
        <is>
          <t>Оплата есть в ETM, акт 1С за месяц не выгружен</t>
        </is>
      </c>
      <c r="J185" s="14" t="n">
        <v>240600</v>
      </c>
    </row>
    <row r="186">
      <c r="A186" s="8" t="inlineStr">
        <is>
          <t>Жибек Эйр</t>
        </is>
      </c>
      <c r="B186" s="21" t="n">
        <v>46130.40143518519</v>
      </c>
      <c r="C186" s="8" t="inlineStr">
        <is>
          <t>ETM</t>
        </is>
      </c>
      <c r="D186" s="8" t="inlineStr">
        <is>
          <t>57213561</t>
        </is>
      </c>
      <c r="E186" s="14" t="n">
        <v>239100</v>
      </c>
      <c r="F186" s="8" t="inlineStr">
        <is>
          <t>ETM_PAYMENT_IN_MISSING_ACT_MONTH</t>
        </is>
      </c>
      <c r="G186" s="8" t="inlineStr">
        <is>
          <t>Выгрузка 1С</t>
        </is>
      </c>
      <c r="H186" s="8" t="inlineStr">
        <is>
          <t>B</t>
        </is>
      </c>
      <c r="I186" s="12" t="inlineStr">
        <is>
          <t>Оплата есть в ETM, акт 1С за месяц не выгружен</t>
        </is>
      </c>
      <c r="J186" s="14" t="n">
        <v>239100</v>
      </c>
    </row>
    <row r="187">
      <c r="A187" s="8" t="inlineStr">
        <is>
          <t>Ыйык Тур</t>
        </is>
      </c>
      <c r="B187" s="21" t="n">
        <v>46220</v>
      </c>
      <c r="C187" s="8" t="inlineStr">
        <is>
          <t>1C</t>
        </is>
      </c>
      <c r="D187" s="8" t="inlineStr">
        <is>
          <t>Поступление на р/с, п/п ЦБ-С001537</t>
        </is>
      </c>
      <c r="E187" s="14" t="n">
        <v>237800</v>
      </c>
      <c r="F187" s="8" t="inlineStr">
        <is>
          <t>PAYMENT_NOT_IN_ETM</t>
        </is>
      </c>
      <c r="G187" s="8" t="inlineStr">
        <is>
          <t>Бот ETM</t>
        </is>
      </c>
      <c r="H187" s="8" t="inlineStr">
        <is>
          <t>B</t>
        </is>
      </c>
      <c r="I187" s="12" t="inlineStr">
        <is>
          <t>Поступление 237,800.00 есть в 1С, зачисления на баланс ETM нет</t>
        </is>
      </c>
      <c r="J187" s="14" t="n">
        <v>-237800</v>
      </c>
    </row>
    <row r="188">
      <c r="A188" s="8" t="inlineStr">
        <is>
          <t>ЫЙЫК ЭКСПРЕСС</t>
        </is>
      </c>
      <c r="B188" s="21" t="n">
        <v>46025.81289351852</v>
      </c>
      <c r="C188" s="8" t="inlineStr">
        <is>
          <t>ETM</t>
        </is>
      </c>
      <c r="D188" s="8" t="inlineStr">
        <is>
          <t>57002416</t>
        </is>
      </c>
      <c r="E188" s="14" t="n">
        <v>237400</v>
      </c>
      <c r="F188" s="8" t="inlineStr">
        <is>
          <t>REPEATED_CREDIT</t>
        </is>
      </c>
      <c r="G188" s="8" t="inlineStr">
        <is>
          <t>Бот ETM</t>
        </is>
      </c>
      <c r="H188" s="8" t="inlineStr">
        <is>
          <t>A</t>
        </is>
      </c>
      <c r="I188" s="12" t="inlineStr">
        <is>
          <t>Оплата на 237,400.00 повторно зачислена в ETM через 32.9 ч, в 1С поступление одно</t>
        </is>
      </c>
      <c r="J188" s="14" t="n">
        <v>237400</v>
      </c>
    </row>
    <row r="189">
      <c r="A189" s="8" t="inlineStr">
        <is>
          <t>Асанов Кубат Чынаревич</t>
        </is>
      </c>
      <c r="B189" s="21" t="n">
        <v>46054.52380787037</v>
      </c>
      <c r="C189" s="8" t="inlineStr">
        <is>
          <t>ETM</t>
        </is>
      </c>
      <c r="D189" s="8" t="inlineStr">
        <is>
          <t>57066376</t>
        </is>
      </c>
      <c r="E189" s="14" t="n">
        <v>237100</v>
      </c>
      <c r="F189" s="8" t="inlineStr">
        <is>
          <t>ETM_PAYMENT_IN_MISSING_ACT_MONTH</t>
        </is>
      </c>
      <c r="G189" s="8" t="inlineStr">
        <is>
          <t>Выгрузка 1С</t>
        </is>
      </c>
      <c r="H189" s="8" t="inlineStr">
        <is>
          <t>B</t>
        </is>
      </c>
      <c r="I189" s="12" t="inlineStr">
        <is>
          <t>Оплата есть в ETM, акт 1С за месяц не выгружен</t>
        </is>
      </c>
      <c r="J189" s="14" t="n">
        <v>237100</v>
      </c>
    </row>
    <row r="190">
      <c r="A190" s="8" t="inlineStr">
        <is>
          <t>Манас Туризм</t>
        </is>
      </c>
      <c r="B190" s="21" t="n">
        <v>46216</v>
      </c>
      <c r="C190" s="8" t="inlineStr">
        <is>
          <t>1C</t>
        </is>
      </c>
      <c r="D190" s="8" t="inlineStr">
        <is>
          <t>Приход в кассу ЦБ-С000770</t>
        </is>
      </c>
      <c r="E190" s="14" t="n">
        <v>234600</v>
      </c>
      <c r="F190" s="8" t="inlineStr">
        <is>
          <t>PAYMENT_NOT_IN_ETM</t>
        </is>
      </c>
      <c r="G190" s="8" t="inlineStr">
        <is>
          <t>Бот ETM</t>
        </is>
      </c>
      <c r="H190" s="8" t="inlineStr">
        <is>
          <t>B</t>
        </is>
      </c>
      <c r="I190" s="12" t="inlineStr">
        <is>
          <t>Поступление 234,600.00 есть в 1С, зачисления на баланс ETM нет</t>
        </is>
      </c>
      <c r="J190" s="14" t="n">
        <v>-234600</v>
      </c>
    </row>
    <row r="191">
      <c r="A191" s="8" t="inlineStr">
        <is>
          <t>Жибек Эйр</t>
        </is>
      </c>
      <c r="B191" s="21" t="n">
        <v>46163.67114583333</v>
      </c>
      <c r="C191" s="8" t="inlineStr">
        <is>
          <t>ETM</t>
        </is>
      </c>
      <c r="D191" s="8" t="inlineStr">
        <is>
          <t>57303095</t>
        </is>
      </c>
      <c r="E191" s="14" t="n">
        <v>234200</v>
      </c>
      <c r="F191" s="8" t="inlineStr">
        <is>
          <t>ETM_PAYMENT_IN_MISSING_ACT_MONTH</t>
        </is>
      </c>
      <c r="G191" s="8" t="inlineStr">
        <is>
          <t>Выгрузка 1С</t>
        </is>
      </c>
      <c r="H191" s="8" t="inlineStr">
        <is>
          <t>B</t>
        </is>
      </c>
      <c r="I191" s="12" t="inlineStr">
        <is>
          <t>Оплата есть в ETM, акт 1С за месяц не выгружен</t>
        </is>
      </c>
      <c r="J191" s="14" t="n">
        <v>234200</v>
      </c>
    </row>
    <row r="192">
      <c r="A192" s="8" t="inlineStr">
        <is>
          <t>Сатар уулу Санжар</t>
        </is>
      </c>
      <c r="B192" s="21" t="n">
        <v>46128.56582175926</v>
      </c>
      <c r="C192" s="8" t="inlineStr">
        <is>
          <t>ETM</t>
        </is>
      </c>
      <c r="D192" s="8" t="inlineStr">
        <is>
          <t>57209816</t>
        </is>
      </c>
      <c r="E192" s="14" t="n">
        <v>232800</v>
      </c>
      <c r="F192" s="8" t="inlineStr">
        <is>
          <t>ETM_PAYMENT_IN_MISSING_ACT_MONTH</t>
        </is>
      </c>
      <c r="G192" s="8" t="inlineStr">
        <is>
          <t>Выгрузка 1С</t>
        </is>
      </c>
      <c r="H192" s="8" t="inlineStr">
        <is>
          <t>B</t>
        </is>
      </c>
      <c r="I192" s="12" t="inlineStr">
        <is>
          <t>Оплата есть в ETM, акт 1С за месяц не выгружен</t>
        </is>
      </c>
      <c r="J192" s="14" t="n">
        <v>232800</v>
      </c>
    </row>
    <row r="193">
      <c r="A193" s="8" t="inlineStr">
        <is>
          <t>Чолпон Тревел</t>
        </is>
      </c>
      <c r="B193" s="21" t="n">
        <v>46161.50690972222</v>
      </c>
      <c r="C193" s="8" t="inlineStr">
        <is>
          <t>ETM</t>
        </is>
      </c>
      <c r="D193" s="8" t="inlineStr">
        <is>
          <t>57297279</t>
        </is>
      </c>
      <c r="E193" s="14" t="n">
        <v>232200</v>
      </c>
      <c r="F193" s="8" t="inlineStr">
        <is>
          <t>ETM_PAYMENT_IN_MISSING_ACT_MONTH</t>
        </is>
      </c>
      <c r="G193" s="8" t="inlineStr">
        <is>
          <t>Выгрузка 1С</t>
        </is>
      </c>
      <c r="H193" s="8" t="inlineStr">
        <is>
          <t>B</t>
        </is>
      </c>
      <c r="I193" s="12" t="inlineStr">
        <is>
          <t>Оплата есть в ETM, акт 1С за месяц не выгружен</t>
        </is>
      </c>
      <c r="J193" s="14" t="n">
        <v>232200</v>
      </c>
    </row>
    <row r="194">
      <c r="A194" s="8" t="inlineStr">
        <is>
          <t>Karakol Express</t>
        </is>
      </c>
      <c r="B194" s="21" t="n">
        <v>46113</v>
      </c>
      <c r="C194" s="8" t="inlineStr">
        <is>
          <t>1C</t>
        </is>
      </c>
      <c r="D194" s="8" t="inlineStr">
        <is>
          <t>Поступление на р/с, п/п ЦБ-С002356</t>
        </is>
      </c>
      <c r="E194" s="14" t="n">
        <v>232100</v>
      </c>
      <c r="F194" s="8" t="inlineStr">
        <is>
          <t>PAYMENT_NOT_IN_ETM</t>
        </is>
      </c>
      <c r="G194" s="8" t="inlineStr">
        <is>
          <t>Бот ETM</t>
        </is>
      </c>
      <c r="H194" s="8" t="inlineStr">
        <is>
          <t>B</t>
        </is>
      </c>
      <c r="I194" s="12" t="inlineStr">
        <is>
          <t>Поступление 232,100.00 есть в 1С, зачисления на баланс ETM нет</t>
        </is>
      </c>
      <c r="J194" s="14" t="n">
        <v>-232100</v>
      </c>
    </row>
    <row r="195">
      <c r="A195" s="8" t="inlineStr">
        <is>
          <t>Tengri Trip</t>
        </is>
      </c>
      <c r="B195" s="21" t="n">
        <v>46156</v>
      </c>
      <c r="C195" s="8" t="inlineStr">
        <is>
          <t>1C</t>
        </is>
      </c>
      <c r="D195" s="8" t="inlineStr">
        <is>
          <t>Поступление на р/с, п/п ЦБ-С001079</t>
        </is>
      </c>
      <c r="E195" s="14" t="n">
        <v>231900</v>
      </c>
      <c r="F195" s="8" t="inlineStr">
        <is>
          <t>PAYMENT_NOT_IN_ETM</t>
        </is>
      </c>
      <c r="G195" s="8" t="inlineStr">
        <is>
          <t>Бот ETM</t>
        </is>
      </c>
      <c r="H195" s="8" t="inlineStr">
        <is>
          <t>B</t>
        </is>
      </c>
      <c r="I195" s="12" t="inlineStr">
        <is>
          <t>Поступление 231,900.00 есть в 1С, зачисления на баланс ETM нет</t>
        </is>
      </c>
      <c r="J195" s="14" t="n">
        <v>-231900</v>
      </c>
    </row>
    <row r="196">
      <c r="A196" s="8" t="inlineStr">
        <is>
          <t>SkyWay Travel</t>
        </is>
      </c>
      <c r="B196" s="21" t="n">
        <v>46221</v>
      </c>
      <c r="C196" s="8" t="inlineStr">
        <is>
          <t>1C</t>
        </is>
      </c>
      <c r="D196" s="8" t="inlineStr">
        <is>
          <t>Поступление на р/с, п/п ЦБ-С002101</t>
        </is>
      </c>
      <c r="E196" s="14" t="n">
        <v>231600</v>
      </c>
      <c r="F196" s="8" t="inlineStr">
        <is>
          <t>PAYMENT_NOT_IN_ETM</t>
        </is>
      </c>
      <c r="G196" s="8" t="inlineStr">
        <is>
          <t>Бот ETM</t>
        </is>
      </c>
      <c r="H196" s="8" t="inlineStr">
        <is>
          <t>B</t>
        </is>
      </c>
      <c r="I196" s="12" t="inlineStr">
        <is>
          <t>Поступление 231,600.00 есть в 1С, зачисления на баланс ETM нет</t>
        </is>
      </c>
      <c r="J196" s="14" t="n">
        <v>-231600</v>
      </c>
    </row>
    <row r="197">
      <c r="A197" s="8" t="inlineStr">
        <is>
          <t>Жолчу кызы А.</t>
        </is>
      </c>
      <c r="B197" s="21" t="n">
        <v>46183.45686342593</v>
      </c>
      <c r="C197" s="8" t="inlineStr">
        <is>
          <t>ETM</t>
        </is>
      </c>
      <c r="D197" s="8" t="inlineStr">
        <is>
          <t>57355723</t>
        </is>
      </c>
      <c r="E197" s="14" t="n">
        <v>230900</v>
      </c>
      <c r="F197" s="8" t="inlineStr">
        <is>
          <t>ETM_PAYMENT_IN_MISSING_ACT_MONTH</t>
        </is>
      </c>
      <c r="G197" s="8" t="inlineStr">
        <is>
          <t>Выгрузка 1С</t>
        </is>
      </c>
      <c r="H197" s="8" t="inlineStr">
        <is>
          <t>B</t>
        </is>
      </c>
      <c r="I197" s="12" t="inlineStr">
        <is>
          <t>Оплата есть в ETM, акт 1С за месяц не выгружен</t>
        </is>
      </c>
      <c r="J197" s="14" t="n">
        <v>230900</v>
      </c>
    </row>
    <row r="198">
      <c r="A198" s="8" t="inlineStr">
        <is>
          <t>Сатар уулу Санжар</t>
        </is>
      </c>
      <c r="B198" s="21" t="n">
        <v>46123.75486111111</v>
      </c>
      <c r="C198" s="8" t="inlineStr">
        <is>
          <t>ETM</t>
        </is>
      </c>
      <c r="D198" s="8" t="inlineStr">
        <is>
          <t>57201780</t>
        </is>
      </c>
      <c r="E198" s="14" t="n">
        <v>229700</v>
      </c>
      <c r="F198" s="8" t="inlineStr">
        <is>
          <t>ETM_PAYMENT_IN_MISSING_ACT_MONTH</t>
        </is>
      </c>
      <c r="G198" s="8" t="inlineStr">
        <is>
          <t>Выгрузка 1С</t>
        </is>
      </c>
      <c r="H198" s="8" t="inlineStr">
        <is>
          <t>B</t>
        </is>
      </c>
      <c r="I198" s="12" t="inlineStr">
        <is>
          <t>Оплата есть в ETM, акт 1С за месяц не выгружен</t>
        </is>
      </c>
      <c r="J198" s="14" t="n">
        <v>229700</v>
      </c>
    </row>
    <row r="199">
      <c r="A199" s="8" t="inlineStr">
        <is>
          <t>ИП Бейшенова Д. О.</t>
        </is>
      </c>
      <c r="B199" s="21" t="n">
        <v>46177</v>
      </c>
      <c r="C199" s="8" t="inlineStr">
        <is>
          <t>1C</t>
        </is>
      </c>
      <c r="D199" s="8" t="inlineStr">
        <is>
          <t>Поступление на р/с, п/п ЦБ-С002109</t>
        </is>
      </c>
      <c r="E199" s="14" t="n">
        <v>229400</v>
      </c>
      <c r="F199" s="8" t="inlineStr">
        <is>
          <t>PAYMENT_NOT_IN_ETM</t>
        </is>
      </c>
      <c r="G199" s="8" t="inlineStr">
        <is>
          <t>Бот ETM</t>
        </is>
      </c>
      <c r="H199" s="8" t="inlineStr">
        <is>
          <t>B</t>
        </is>
      </c>
      <c r="I199" s="12" t="inlineStr">
        <is>
          <t>Поступление 229,400.00 есть в 1С, зачисления на баланс ETM нет</t>
        </is>
      </c>
      <c r="J199" s="14" t="n">
        <v>-229400</v>
      </c>
    </row>
    <row r="200">
      <c r="A200" s="8" t="inlineStr">
        <is>
          <t>ИССЫК ТРИП</t>
        </is>
      </c>
      <c r="B200" s="21" t="n">
        <v>46057.70228009259</v>
      </c>
      <c r="C200" s="8" t="inlineStr">
        <is>
          <t>ETM</t>
        </is>
      </c>
      <c r="D200" s="8" t="inlineStr">
        <is>
          <t>57072259</t>
        </is>
      </c>
      <c r="E200" s="14" t="n">
        <v>228800</v>
      </c>
      <c r="F200" s="8" t="inlineStr">
        <is>
          <t>ETM_PAYMENT_IN_MISSING_ACT_MONTH</t>
        </is>
      </c>
      <c r="G200" s="8" t="inlineStr">
        <is>
          <t>Выгрузка 1С</t>
        </is>
      </c>
      <c r="H200" s="8" t="inlineStr">
        <is>
          <t>B</t>
        </is>
      </c>
      <c r="I200" s="12" t="inlineStr">
        <is>
          <t>Оплата есть в ETM, акт 1С за месяц не выгружен</t>
        </is>
      </c>
      <c r="J200" s="14" t="n">
        <v>228800</v>
      </c>
    </row>
    <row r="201">
      <c r="A201" s="8" t="inlineStr">
        <is>
          <t>ОсОО Ала-Арча Авиа</t>
        </is>
      </c>
      <c r="B201" s="21" t="n">
        <v>46080</v>
      </c>
      <c r="C201" s="8" t="inlineStr">
        <is>
          <t>1C</t>
        </is>
      </c>
      <c r="D201" s="8" t="inlineStr">
        <is>
          <t>Приход в кассу ЦБ-С000804</t>
        </is>
      </c>
      <c r="E201" s="14" t="n">
        <v>228600</v>
      </c>
      <c r="F201" s="8" t="inlineStr">
        <is>
          <t>PAYMENT_NOT_IN_ETM</t>
        </is>
      </c>
      <c r="G201" s="8" t="inlineStr">
        <is>
          <t>Бот ETM</t>
        </is>
      </c>
      <c r="H201" s="8" t="inlineStr">
        <is>
          <t>B</t>
        </is>
      </c>
      <c r="I201" s="12" t="inlineStr">
        <is>
          <t>Поступление 228,600.00 есть в 1С, зачисления на баланс ETM нет</t>
        </is>
      </c>
      <c r="J201" s="14" t="n">
        <v>-228600</v>
      </c>
    </row>
    <row r="202">
      <c r="A202" s="8" t="inlineStr">
        <is>
          <t>Karakol Express</t>
        </is>
      </c>
      <c r="B202" s="21" t="n">
        <v>46041</v>
      </c>
      <c r="C202" s="8" t="inlineStr">
        <is>
          <t>1C</t>
        </is>
      </c>
      <c r="D202" s="8" t="inlineStr">
        <is>
          <t>Поступление на р/с, п/п ЦБ-С000273</t>
        </is>
      </c>
      <c r="E202" s="14" t="n">
        <v>228600</v>
      </c>
      <c r="F202" s="8" t="inlineStr">
        <is>
          <t>PAYMENT_NOT_IN_ETM</t>
        </is>
      </c>
      <c r="G202" s="8" t="inlineStr">
        <is>
          <t>Бот ETM</t>
        </is>
      </c>
      <c r="H202" s="8" t="inlineStr">
        <is>
          <t>B</t>
        </is>
      </c>
      <c r="I202" s="12" t="inlineStr">
        <is>
          <t>Поступление 228,600.00 есть в 1С, зачисления на баланс ETM нет</t>
        </is>
      </c>
      <c r="J202" s="14" t="n">
        <v>-228600</v>
      </c>
    </row>
    <row r="203">
      <c r="A203" s="8" t="inlineStr">
        <is>
          <t>Жибек Эйр</t>
        </is>
      </c>
      <c r="B203" s="21" t="n">
        <v>46147.33840277778</v>
      </c>
      <c r="C203" s="8" t="inlineStr">
        <is>
          <t>ETM</t>
        </is>
      </c>
      <c r="D203" s="8" t="inlineStr">
        <is>
          <t>57252591</t>
        </is>
      </c>
      <c r="E203" s="14" t="n">
        <v>228500</v>
      </c>
      <c r="F203" s="8" t="inlineStr">
        <is>
          <t>ETM_PAYMENT_IN_MISSING_ACT_MONTH</t>
        </is>
      </c>
      <c r="G203" s="8" t="inlineStr">
        <is>
          <t>Выгрузка 1С</t>
        </is>
      </c>
      <c r="H203" s="8" t="inlineStr">
        <is>
          <t>B</t>
        </is>
      </c>
      <c r="I203" s="12" t="inlineStr">
        <is>
          <t>Оплата есть в ETM, акт 1С за месяц не выгружен</t>
        </is>
      </c>
      <c r="J203" s="14" t="n">
        <v>228500</v>
      </c>
    </row>
    <row r="204">
      <c r="A204" s="8" t="inlineStr">
        <is>
          <t>ТАЛАС ЛАЙН</t>
        </is>
      </c>
      <c r="B204" s="21" t="n">
        <v>46027</v>
      </c>
      <c r="C204" s="8" t="inlineStr">
        <is>
          <t>1C</t>
        </is>
      </c>
      <c r="D204" s="8" t="inlineStr">
        <is>
          <t>Приход в кассу ЦБ-С001934</t>
        </is>
      </c>
      <c r="E204" s="14" t="n">
        <v>225000</v>
      </c>
      <c r="F204" s="8" t="inlineStr">
        <is>
          <t>PAYMENT_NOT_IN_ETM</t>
        </is>
      </c>
      <c r="G204" s="8" t="inlineStr">
        <is>
          <t>Бот ETM</t>
        </is>
      </c>
      <c r="H204" s="8" t="inlineStr">
        <is>
          <t>B</t>
        </is>
      </c>
      <c r="I204" s="12" t="inlineStr">
        <is>
          <t>Поступление 225,000.00 есть в 1С, зачисления на баланс ETM нет</t>
        </is>
      </c>
      <c r="J204" s="14" t="n">
        <v>-225000</v>
      </c>
    </row>
    <row r="205">
      <c r="A205" s="8" t="inlineStr">
        <is>
          <t>ЧОЛПОН ЭЙР</t>
        </is>
      </c>
      <c r="B205" s="21" t="n">
        <v>46161</v>
      </c>
      <c r="C205" s="8" t="inlineStr">
        <is>
          <t>1C</t>
        </is>
      </c>
      <c r="D205" s="8" t="inlineStr">
        <is>
          <t>Поступление на р/с, п/п ЦБ-С000541</t>
        </is>
      </c>
      <c r="E205" s="14" t="n">
        <v>223100</v>
      </c>
      <c r="F205" s="8" t="inlineStr">
        <is>
          <t>PAYMENT_NOT_IN_ETM</t>
        </is>
      </c>
      <c r="G205" s="8" t="inlineStr">
        <is>
          <t>Бот ETM</t>
        </is>
      </c>
      <c r="H205" s="8" t="inlineStr">
        <is>
          <t>B</t>
        </is>
      </c>
      <c r="I205" s="12" t="inlineStr">
        <is>
          <t>Поступление 223,100.00 есть в 1С, зачисления на баланс ETM нет</t>
        </is>
      </c>
      <c r="J205" s="14" t="n">
        <v>-223100</v>
      </c>
    </row>
    <row r="206">
      <c r="A206" s="8" t="inlineStr">
        <is>
          <t>Karakol Express</t>
        </is>
      </c>
      <c r="B206" s="21" t="n">
        <v>46053.61438657407</v>
      </c>
      <c r="C206" s="8" t="inlineStr">
        <is>
          <t>ETM</t>
        </is>
      </c>
      <c r="D206" s="8" t="inlineStr">
        <is>
          <t>57062765</t>
        </is>
      </c>
      <c r="E206" s="14" t="n">
        <v>223100</v>
      </c>
      <c r="F206" s="8" t="inlineStr">
        <is>
          <t>REPEATED_CREDIT</t>
        </is>
      </c>
      <c r="G206" s="8" t="inlineStr">
        <is>
          <t>Бот ETM</t>
        </is>
      </c>
      <c r="H206" s="8" t="inlineStr">
        <is>
          <t>A</t>
        </is>
      </c>
      <c r="I206" s="12" t="inlineStr">
        <is>
          <t>Оплата на 223,100.00 повторно зачислена в ETM через 21.1 ч, в 1С поступление одно</t>
        </is>
      </c>
      <c r="J206" s="14" t="n">
        <v>223100</v>
      </c>
    </row>
    <row r="207">
      <c r="A207" s="8" t="inlineStr">
        <is>
          <t>Жибек Эйр</t>
        </is>
      </c>
      <c r="B207" s="21" t="n">
        <v>46150.49414351852</v>
      </c>
      <c r="C207" s="8" t="inlineStr">
        <is>
          <t>ETM</t>
        </is>
      </c>
      <c r="D207" s="8" t="inlineStr">
        <is>
          <t>57263277</t>
        </is>
      </c>
      <c r="E207" s="14" t="n">
        <v>223000</v>
      </c>
      <c r="F207" s="8" t="inlineStr">
        <is>
          <t>ETM_PAYMENT_IN_MISSING_ACT_MONTH</t>
        </is>
      </c>
      <c r="G207" s="8" t="inlineStr">
        <is>
          <t>Выгрузка 1С</t>
        </is>
      </c>
      <c r="H207" s="8" t="inlineStr">
        <is>
          <t>B</t>
        </is>
      </c>
      <c r="I207" s="12" t="inlineStr">
        <is>
          <t>Оплата есть в ETM, акт 1С за месяц не выгружен</t>
        </is>
      </c>
      <c r="J207" s="14" t="n">
        <v>223000</v>
      </c>
    </row>
    <row r="208">
      <c r="A208" s="8" t="inlineStr">
        <is>
          <t>Манас Тревел</t>
        </is>
      </c>
      <c r="B208" s="21" t="n">
        <v>46082</v>
      </c>
      <c r="C208" s="8" t="inlineStr">
        <is>
          <t>1C</t>
        </is>
      </c>
      <c r="D208" s="8" t="inlineStr">
        <is>
          <t>Поступление на р/с, п/п ЦБ-С000403</t>
        </is>
      </c>
      <c r="E208" s="14" t="n">
        <v>222900</v>
      </c>
      <c r="F208" s="8" t="inlineStr">
        <is>
          <t>PAYMENT_NOT_IN_ETM</t>
        </is>
      </c>
      <c r="G208" s="8" t="inlineStr">
        <is>
          <t>Бот ETM</t>
        </is>
      </c>
      <c r="H208" s="8" t="inlineStr">
        <is>
          <t>B</t>
        </is>
      </c>
      <c r="I208" s="12" t="inlineStr">
        <is>
          <t>Поступление 222,900.00 есть в 1С, зачисления на баланс ETM нет</t>
        </is>
      </c>
      <c r="J208" s="14" t="n">
        <v>-222900</v>
      </c>
    </row>
    <row r="209">
      <c r="A209" s="8" t="inlineStr">
        <is>
          <t>Манас Тревел</t>
        </is>
      </c>
      <c r="B209" s="21" t="n">
        <v>46137</v>
      </c>
      <c r="C209" s="8" t="inlineStr">
        <is>
          <t>1C</t>
        </is>
      </c>
      <c r="D209" s="8" t="inlineStr">
        <is>
          <t>Приход в кассу ЦБ-С001963</t>
        </is>
      </c>
      <c r="E209" s="14" t="n">
        <v>222700</v>
      </c>
      <c r="F209" s="8" t="inlineStr">
        <is>
          <t>PAYMENT_NOT_IN_ETM</t>
        </is>
      </c>
      <c r="G209" s="8" t="inlineStr">
        <is>
          <t>Бот ETM</t>
        </is>
      </c>
      <c r="H209" s="8" t="inlineStr">
        <is>
          <t>B</t>
        </is>
      </c>
      <c r="I209" s="12" t="inlineStr">
        <is>
          <t>Поступление 222,700.00 есть в 1С, зачисления на баланс ETM нет</t>
        </is>
      </c>
      <c r="J209" s="14" t="n">
        <v>-222700</v>
      </c>
    </row>
    <row r="210">
      <c r="A210" s="8" t="inlineStr">
        <is>
          <t>Сыдыков С. У.</t>
        </is>
      </c>
      <c r="B210" s="21" t="n">
        <v>46160.75138888889</v>
      </c>
      <c r="C210" s="8" t="inlineStr">
        <is>
          <t>ETM</t>
        </is>
      </c>
      <c r="D210" s="8" t="inlineStr">
        <is>
          <t>57294254</t>
        </is>
      </c>
      <c r="E210" s="14" t="n">
        <v>222200</v>
      </c>
      <c r="F210" s="8" t="inlineStr">
        <is>
          <t>ETM_PAYMENT_IN_MISSING_ACT_MONTH</t>
        </is>
      </c>
      <c r="G210" s="8" t="inlineStr">
        <is>
          <t>Выгрузка 1С</t>
        </is>
      </c>
      <c r="H210" s="8" t="inlineStr">
        <is>
          <t>B</t>
        </is>
      </c>
      <c r="I210" s="12" t="inlineStr">
        <is>
          <t>Оплата есть в ETM, акт 1С за месяц не выгружен</t>
        </is>
      </c>
      <c r="J210" s="14" t="n">
        <v>222200</v>
      </c>
    </row>
    <row r="211">
      <c r="A211" s="8" t="inlineStr">
        <is>
          <t>Жибек Эйр</t>
        </is>
      </c>
      <c r="B211" s="21" t="n">
        <v>46209</v>
      </c>
      <c r="C211" s="8" t="inlineStr">
        <is>
          <t>1C</t>
        </is>
      </c>
      <c r="D211" s="8" t="inlineStr">
        <is>
          <t>Поступление на р/с, п/п ЦБ-С000973</t>
        </is>
      </c>
      <c r="E211" s="14" t="n">
        <v>221600</v>
      </c>
      <c r="F211" s="8" t="inlineStr">
        <is>
          <t>PAYMENT_NOT_IN_ETM</t>
        </is>
      </c>
      <c r="G211" s="8" t="inlineStr">
        <is>
          <t>Бот ETM</t>
        </is>
      </c>
      <c r="H211" s="8" t="inlineStr">
        <is>
          <t>B</t>
        </is>
      </c>
      <c r="I211" s="12" t="inlineStr">
        <is>
          <t>Поступление 221,600.00 есть в 1С, зачисления на баланс ETM нет</t>
        </is>
      </c>
      <c r="J211" s="14" t="n">
        <v>-221600</v>
      </c>
    </row>
    <row r="212">
      <c r="A212" s="8" t="inlineStr">
        <is>
          <t>Karakol Express</t>
        </is>
      </c>
      <c r="B212" s="21" t="n">
        <v>46179</v>
      </c>
      <c r="C212" s="8" t="inlineStr">
        <is>
          <t>1C</t>
        </is>
      </c>
      <c r="D212" s="8" t="inlineStr">
        <is>
          <t>Поступление на р/с, п/п ЦБ-С001163</t>
        </is>
      </c>
      <c r="E212" s="14" t="n">
        <v>220900</v>
      </c>
      <c r="F212" s="8" t="inlineStr">
        <is>
          <t>PAYMENT_NOT_IN_ETM</t>
        </is>
      </c>
      <c r="G212" s="8" t="inlineStr">
        <is>
          <t>Бот ETM</t>
        </is>
      </c>
      <c r="H212" s="8" t="inlineStr">
        <is>
          <t>B</t>
        </is>
      </c>
      <c r="I212" s="12" t="inlineStr">
        <is>
          <t>Поступление 220,900.00 есть в 1С, зачисления на баланс ETM нет</t>
        </is>
      </c>
      <c r="J212" s="14" t="n">
        <v>-220900</v>
      </c>
    </row>
    <row r="213">
      <c r="A213" s="8" t="inlineStr">
        <is>
          <t>Бейшенова Н. Ч.</t>
        </is>
      </c>
      <c r="B213" s="21" t="n">
        <v>46054</v>
      </c>
      <c r="C213" s="8" t="inlineStr">
        <is>
          <t>1C</t>
        </is>
      </c>
      <c r="D213" s="8" t="inlineStr">
        <is>
          <t>Поступление на р/с, п/п ЦБ-С001445</t>
        </is>
      </c>
      <c r="E213" s="14" t="n">
        <v>220200</v>
      </c>
      <c r="F213" s="8" t="inlineStr">
        <is>
          <t>PAYMENT_NOT_IN_ETM</t>
        </is>
      </c>
      <c r="G213" s="8" t="inlineStr">
        <is>
          <t>Бот ETM</t>
        </is>
      </c>
      <c r="H213" s="8" t="inlineStr">
        <is>
          <t>B</t>
        </is>
      </c>
      <c r="I213" s="12" t="inlineStr">
        <is>
          <t>Поступление 220,200.00 есть в 1С, зачисления на баланс ETM нет</t>
        </is>
      </c>
      <c r="J213" s="14" t="n">
        <v>-220200</v>
      </c>
    </row>
    <row r="214">
      <c r="A214" s="8" t="inlineStr">
        <is>
          <t>ИП Джолдошов Д. У.</t>
        </is>
      </c>
      <c r="B214" s="21" t="n">
        <v>46037</v>
      </c>
      <c r="C214" s="8" t="inlineStr">
        <is>
          <t>1C</t>
        </is>
      </c>
      <c r="D214" s="8" t="inlineStr">
        <is>
          <t>Поступление на р/с, п/п ЦБ-С001249</t>
        </is>
      </c>
      <c r="E214" s="14" t="n">
        <v>220200</v>
      </c>
      <c r="F214" s="8" t="inlineStr">
        <is>
          <t>PAYMENT_NOT_IN_ETM</t>
        </is>
      </c>
      <c r="G214" s="8" t="inlineStr">
        <is>
          <t>Бот ETM</t>
        </is>
      </c>
      <c r="H214" s="8" t="inlineStr">
        <is>
          <t>B</t>
        </is>
      </c>
      <c r="I214" s="12" t="inlineStr">
        <is>
          <t>Поступление 220,200.00 есть в 1С, зачисления на баланс ETM нет</t>
        </is>
      </c>
      <c r="J214" s="14" t="n">
        <v>-220200</v>
      </c>
    </row>
    <row r="215">
      <c r="A215" s="8" t="inlineStr">
        <is>
          <t>Тянь-Шань Тур</t>
        </is>
      </c>
      <c r="B215" s="21" t="n">
        <v>46132.64501157407</v>
      </c>
      <c r="C215" s="8" t="inlineStr">
        <is>
          <t>ETM</t>
        </is>
      </c>
      <c r="D215" s="8" t="inlineStr">
        <is>
          <t>57216703</t>
        </is>
      </c>
      <c r="E215" s="14" t="n">
        <v>219100</v>
      </c>
      <c r="F215" s="8" t="inlineStr">
        <is>
          <t>ETM_PAYMENT_IN_MISSING_ACT_MONTH</t>
        </is>
      </c>
      <c r="G215" s="8" t="inlineStr">
        <is>
          <t>Выгрузка 1С</t>
        </is>
      </c>
      <c r="H215" s="8" t="inlineStr">
        <is>
          <t>B</t>
        </is>
      </c>
      <c r="I215" s="12" t="inlineStr">
        <is>
          <t>Оплата есть в ETM, акт 1С за месяц не выгружен</t>
        </is>
      </c>
      <c r="J215" s="14" t="n">
        <v>219100</v>
      </c>
    </row>
    <row r="216">
      <c r="A216" s="8" t="inlineStr">
        <is>
          <t>ОсОО Ала-Арча Авиа</t>
        </is>
      </c>
      <c r="B216" s="21" t="n">
        <v>46227</v>
      </c>
      <c r="C216" s="8" t="inlineStr">
        <is>
          <t>1C</t>
        </is>
      </c>
      <c r="D216" s="8" t="inlineStr">
        <is>
          <t>Поступление на р/с, п/п ЦБ-С002057</t>
        </is>
      </c>
      <c r="E216" s="14" t="n">
        <v>218300</v>
      </c>
      <c r="F216" s="8" t="inlineStr">
        <is>
          <t>PAYMENT_NOT_IN_ETM</t>
        </is>
      </c>
      <c r="G216" s="8" t="inlineStr">
        <is>
          <t>Бот ETM</t>
        </is>
      </c>
      <c r="H216" s="8" t="inlineStr">
        <is>
          <t>B</t>
        </is>
      </c>
      <c r="I216" s="12" t="inlineStr">
        <is>
          <t>Поступление 218,300.00 есть в 1С, зачисления на баланс ETM нет</t>
        </is>
      </c>
      <c r="J216" s="14" t="n">
        <v>-218300</v>
      </c>
    </row>
    <row r="217">
      <c r="A217" s="8" t="inlineStr">
        <is>
          <t>Karakol Express</t>
        </is>
      </c>
      <c r="B217" s="21" t="n">
        <v>46220</v>
      </c>
      <c r="C217" s="8" t="inlineStr">
        <is>
          <t>1C</t>
        </is>
      </c>
      <c r="D217" s="8" t="inlineStr">
        <is>
          <t>Поступление на р/с, п/п ЦБ-С002370</t>
        </is>
      </c>
      <c r="E217" s="14" t="n">
        <v>218100</v>
      </c>
      <c r="F217" s="8" t="inlineStr">
        <is>
          <t>PAYMENT_NOT_IN_ETM</t>
        </is>
      </c>
      <c r="G217" s="8" t="inlineStr">
        <is>
          <t>Бот ETM</t>
        </is>
      </c>
      <c r="H217" s="8" t="inlineStr">
        <is>
          <t>B</t>
        </is>
      </c>
      <c r="I217" s="12" t="inlineStr">
        <is>
          <t>Поступление 218,100.00 есть в 1С, зачисления на баланс ETM нет</t>
        </is>
      </c>
      <c r="J217" s="14" t="n">
        <v>-218100</v>
      </c>
    </row>
    <row r="218">
      <c r="A218" s="8" t="inlineStr">
        <is>
          <t>Сатар уулу Санжар</t>
        </is>
      </c>
      <c r="B218" s="21" t="n">
        <v>46158</v>
      </c>
      <c r="C218" s="8" t="inlineStr">
        <is>
          <t>1C</t>
        </is>
      </c>
      <c r="D218" s="8" t="inlineStr">
        <is>
          <t>Поступление на р/с, п/п ЦБ-С000237</t>
        </is>
      </c>
      <c r="E218" s="14" t="n">
        <v>217600</v>
      </c>
      <c r="F218" s="8" t="inlineStr">
        <is>
          <t>PAYMENT_NOT_IN_ETM</t>
        </is>
      </c>
      <c r="G218" s="8" t="inlineStr">
        <is>
          <t>Бот ETM</t>
        </is>
      </c>
      <c r="H218" s="8" t="inlineStr">
        <is>
          <t>B</t>
        </is>
      </c>
      <c r="I218" s="12" t="inlineStr">
        <is>
          <t>Поступление 217,600.00 есть в 1С, зачисления на баланс ETM нет</t>
        </is>
      </c>
      <c r="J218" s="14" t="n">
        <v>-217600</v>
      </c>
    </row>
    <row r="219">
      <c r="A219" s="8" t="inlineStr">
        <is>
          <t>Жибек Эйр</t>
        </is>
      </c>
      <c r="B219" s="21" t="n">
        <v>46164.60028935185</v>
      </c>
      <c r="C219" s="8" t="inlineStr">
        <is>
          <t>ETM</t>
        </is>
      </c>
      <c r="D219" s="8" t="inlineStr">
        <is>
          <t>57305878</t>
        </is>
      </c>
      <c r="E219" s="14" t="n">
        <v>217300</v>
      </c>
      <c r="F219" s="8" t="inlineStr">
        <is>
          <t>ETM_PAYMENT_IN_MISSING_ACT_MONTH</t>
        </is>
      </c>
      <c r="G219" s="8" t="inlineStr">
        <is>
          <t>Выгрузка 1С</t>
        </is>
      </c>
      <c r="H219" s="8" t="inlineStr">
        <is>
          <t>B</t>
        </is>
      </c>
      <c r="I219" s="12" t="inlineStr">
        <is>
          <t>Оплата есть в ETM, акт 1С за месяц не выгружен</t>
        </is>
      </c>
      <c r="J219" s="14" t="n">
        <v>217300</v>
      </c>
    </row>
    <row r="220">
      <c r="A220" s="8" t="inlineStr">
        <is>
          <t>Тянь-Шань Тур</t>
        </is>
      </c>
      <c r="B220" s="21" t="n">
        <v>46149.58002314815</v>
      </c>
      <c r="C220" s="8" t="inlineStr">
        <is>
          <t>ETM</t>
        </is>
      </c>
      <c r="D220" s="8" t="inlineStr">
        <is>
          <t>57260584</t>
        </is>
      </c>
      <c r="E220" s="14" t="n">
        <v>216200</v>
      </c>
      <c r="F220" s="8" t="inlineStr">
        <is>
          <t>ETM_PAYMENT_IN_MISSING_ACT_MONTH</t>
        </is>
      </c>
      <c r="G220" s="8" t="inlineStr">
        <is>
          <t>Выгрузка 1С</t>
        </is>
      </c>
      <c r="H220" s="8" t="inlineStr">
        <is>
          <t>B</t>
        </is>
      </c>
      <c r="I220" s="12" t="inlineStr">
        <is>
          <t>Оплата есть в ETM, акт 1С за месяц не выгружен</t>
        </is>
      </c>
      <c r="J220" s="14" t="n">
        <v>216200</v>
      </c>
    </row>
    <row r="221">
      <c r="A221" s="8" t="inlineStr">
        <is>
          <t>Бейшенова Н. Ч.</t>
        </is>
      </c>
      <c r="B221" s="21" t="n">
        <v>46100</v>
      </c>
      <c r="C221" s="8" t="inlineStr">
        <is>
          <t>1C</t>
        </is>
      </c>
      <c r="D221" s="8" t="inlineStr">
        <is>
          <t>Приход в кассу ЦБ-С001109</t>
        </is>
      </c>
      <c r="E221" s="14" t="n">
        <v>215500</v>
      </c>
      <c r="F221" s="8" t="inlineStr">
        <is>
          <t>PAYMENT_NOT_IN_ETM</t>
        </is>
      </c>
      <c r="G221" s="8" t="inlineStr">
        <is>
          <t>Бот ETM</t>
        </is>
      </c>
      <c r="H221" s="8" t="inlineStr">
        <is>
          <t>B</t>
        </is>
      </c>
      <c r="I221" s="12" t="inlineStr">
        <is>
          <t>Поступление 215,500.00 есть в 1С, зачисления на баланс ETM нет</t>
        </is>
      </c>
      <c r="J221" s="14" t="n">
        <v>-215500</v>
      </c>
    </row>
    <row r="222">
      <c r="A222" s="8" t="inlineStr">
        <is>
          <t>ЧОЛПОН ТУР</t>
        </is>
      </c>
      <c r="B222" s="21" t="n">
        <v>46154</v>
      </c>
      <c r="C222" s="8" t="inlineStr">
        <is>
          <t>1C</t>
        </is>
      </c>
      <c r="D222" s="8" t="inlineStr">
        <is>
          <t>Поступление на р/с, п/п ЦБ-С000276</t>
        </is>
      </c>
      <c r="E222" s="14" t="n">
        <v>215300</v>
      </c>
      <c r="F222" s="8" t="inlineStr">
        <is>
          <t>PAYMENT_NOT_IN_ETM</t>
        </is>
      </c>
      <c r="G222" s="8" t="inlineStr">
        <is>
          <t>Бот ETM</t>
        </is>
      </c>
      <c r="H222" s="8" t="inlineStr">
        <is>
          <t>B</t>
        </is>
      </c>
      <c r="I222" s="12" t="inlineStr">
        <is>
          <t>Поступление 215,300.00 есть в 1С, зачисления на баланс ETM нет</t>
        </is>
      </c>
      <c r="J222" s="14" t="n">
        <v>-215300</v>
      </c>
    </row>
    <row r="223">
      <c r="A223" s="8" t="inlineStr">
        <is>
          <t>ИП Турсунов Т. А.</t>
        </is>
      </c>
      <c r="B223" s="21" t="n">
        <v>46051</v>
      </c>
      <c r="C223" s="8" t="inlineStr">
        <is>
          <t>1C</t>
        </is>
      </c>
      <c r="D223" s="8" t="inlineStr">
        <is>
          <t>Поступление на р/с, п/п ЦБ-С000342</t>
        </is>
      </c>
      <c r="E223" s="14" t="n">
        <v>214800</v>
      </c>
      <c r="F223" s="8" t="inlineStr">
        <is>
          <t>PAYMENT_NOT_IN_ETM</t>
        </is>
      </c>
      <c r="G223" s="8" t="inlineStr">
        <is>
          <t>Бот ETM</t>
        </is>
      </c>
      <c r="H223" s="8" t="inlineStr">
        <is>
          <t>B</t>
        </is>
      </c>
      <c r="I223" s="12" t="inlineStr">
        <is>
          <t>Поступление 214,800.00 есть в 1С, зачисления на баланс ETM нет</t>
        </is>
      </c>
      <c r="J223" s="14" t="n">
        <v>-214800</v>
      </c>
    </row>
    <row r="224">
      <c r="A224" s="8" t="inlineStr">
        <is>
          <t>Джолдошова Салтанат Сатаревна</t>
        </is>
      </c>
      <c r="B224" s="21" t="n">
        <v>46118</v>
      </c>
      <c r="C224" s="8" t="inlineStr">
        <is>
          <t>1C</t>
        </is>
      </c>
      <c r="D224" s="8" t="inlineStr">
        <is>
          <t>Приход в кассу ЦБ-С001229</t>
        </is>
      </c>
      <c r="E224" s="14" t="n">
        <v>213200</v>
      </c>
      <c r="F224" s="8" t="inlineStr">
        <is>
          <t>PAYMENT_NOT_IN_ETM</t>
        </is>
      </c>
      <c r="G224" s="8" t="inlineStr">
        <is>
          <t>Бот ETM</t>
        </is>
      </c>
      <c r="H224" s="8" t="inlineStr">
        <is>
          <t>B</t>
        </is>
      </c>
      <c r="I224" s="12" t="inlineStr">
        <is>
          <t>Поступление 213,200.00 есть в 1С, зачисления на баланс ETM нет</t>
        </is>
      </c>
      <c r="J224" s="14" t="n">
        <v>-213200</v>
      </c>
    </row>
    <row r="225">
      <c r="A225" s="8" t="inlineStr">
        <is>
          <t>Сыдыков С. У.</t>
        </is>
      </c>
      <c r="B225" s="21" t="n">
        <v>46167.46767361111</v>
      </c>
      <c r="C225" s="8" t="inlineStr">
        <is>
          <t>ETM</t>
        </is>
      </c>
      <c r="D225" s="8" t="inlineStr">
        <is>
          <t>57314270</t>
        </is>
      </c>
      <c r="E225" s="14" t="n">
        <v>212800</v>
      </c>
      <c r="F225" s="8" t="inlineStr">
        <is>
          <t>ETM_PAYMENT_IN_MISSING_ACT_MONTH</t>
        </is>
      </c>
      <c r="G225" s="8" t="inlineStr">
        <is>
          <t>Выгрузка 1С</t>
        </is>
      </c>
      <c r="H225" s="8" t="inlineStr">
        <is>
          <t>B</t>
        </is>
      </c>
      <c r="I225" s="12" t="inlineStr">
        <is>
          <t>Оплата есть в ETM, акт 1С за месяц не выгружен</t>
        </is>
      </c>
      <c r="J225" s="14" t="n">
        <v>212800</v>
      </c>
    </row>
    <row r="226">
      <c r="A226" s="8" t="inlineStr">
        <is>
          <t>МУРАС ТРИП</t>
        </is>
      </c>
      <c r="B226" s="21" t="n">
        <v>46062</v>
      </c>
      <c r="C226" s="8" t="inlineStr">
        <is>
          <t>1C</t>
        </is>
      </c>
      <c r="D226" s="8" t="inlineStr">
        <is>
          <t>Поступление на р/с, п/п ЦБ-С000994</t>
        </is>
      </c>
      <c r="E226" s="14" t="n">
        <v>211000</v>
      </c>
      <c r="F226" s="8" t="inlineStr">
        <is>
          <t>PAYMENT_NOT_IN_ETM</t>
        </is>
      </c>
      <c r="G226" s="8" t="inlineStr">
        <is>
          <t>Бот ETM</t>
        </is>
      </c>
      <c r="H226" s="8" t="inlineStr">
        <is>
          <t>B</t>
        </is>
      </c>
      <c r="I226" s="12" t="inlineStr">
        <is>
          <t>Поступление 211,000.00 есть в 1С, зачисления на баланс ETM нет</t>
        </is>
      </c>
      <c r="J226" s="14" t="n">
        <v>-211000</v>
      </c>
    </row>
    <row r="227">
      <c r="A227" s="8" t="inlineStr">
        <is>
          <t>Джолдошова Салтанат Сатаревна</t>
        </is>
      </c>
      <c r="B227" s="21" t="n">
        <v>46214</v>
      </c>
      <c r="C227" s="8" t="inlineStr">
        <is>
          <t>1C</t>
        </is>
      </c>
      <c r="D227" s="8" t="inlineStr">
        <is>
          <t>Поступление на р/с, п/п ЦБ-С001206</t>
        </is>
      </c>
      <c r="E227" s="14" t="n">
        <v>210800</v>
      </c>
      <c r="F227" s="8" t="inlineStr">
        <is>
          <t>PAYMENT_NOT_IN_ETM</t>
        </is>
      </c>
      <c r="G227" s="8" t="inlineStr">
        <is>
          <t>Бот ETM</t>
        </is>
      </c>
      <c r="H227" s="8" t="inlineStr">
        <is>
          <t>B</t>
        </is>
      </c>
      <c r="I227" s="12" t="inlineStr">
        <is>
          <t>Поступление 210,800.00 есть в 1С, зачисления на баланс ETM нет</t>
        </is>
      </c>
      <c r="J227" s="14" t="n">
        <v>-210800</v>
      </c>
    </row>
    <row r="228">
      <c r="A228" s="8" t="inlineStr">
        <is>
          <t>Ыйык Тур</t>
        </is>
      </c>
      <c r="B228" s="21" t="n">
        <v>46175</v>
      </c>
      <c r="C228" s="8" t="inlineStr">
        <is>
          <t>1C</t>
        </is>
      </c>
      <c r="D228" s="8" t="inlineStr">
        <is>
          <t>Поступление на р/с, п/п ЦБ-С000820</t>
        </is>
      </c>
      <c r="E228" s="14" t="n">
        <v>210700</v>
      </c>
      <c r="F228" s="8" t="inlineStr">
        <is>
          <t>PAYMENT_NOT_IN_ETM</t>
        </is>
      </c>
      <c r="G228" s="8" t="inlineStr">
        <is>
          <t>Бот ETM</t>
        </is>
      </c>
      <c r="H228" s="8" t="inlineStr">
        <is>
          <t>B</t>
        </is>
      </c>
      <c r="I228" s="12" t="inlineStr">
        <is>
          <t>Поступление 210,700.00 есть в 1С, зачисления на баланс ETM нет</t>
        </is>
      </c>
      <c r="J228" s="14" t="n">
        <v>-210700</v>
      </c>
    </row>
    <row r="229">
      <c r="A229" s="8" t="inlineStr">
        <is>
          <t>Karakol Express</t>
        </is>
      </c>
      <c r="B229" s="21" t="n">
        <v>46033</v>
      </c>
      <c r="C229" s="8" t="inlineStr">
        <is>
          <t>1C</t>
        </is>
      </c>
      <c r="D229" s="8" t="inlineStr">
        <is>
          <t>Поступление на р/с, п/п ЦБ-С000552</t>
        </is>
      </c>
      <c r="E229" s="14" t="n">
        <v>209700</v>
      </c>
      <c r="F229" s="8" t="inlineStr">
        <is>
          <t>PAYMENT_NOT_IN_ETM</t>
        </is>
      </c>
      <c r="G229" s="8" t="inlineStr">
        <is>
          <t>Бот ETM</t>
        </is>
      </c>
      <c r="H229" s="8" t="inlineStr">
        <is>
          <t>B</t>
        </is>
      </c>
      <c r="I229" s="12" t="inlineStr">
        <is>
          <t>Поступление 209,700.00 есть в 1С, зачисления на баланс ETM нет</t>
        </is>
      </c>
      <c r="J229" s="14" t="n">
        <v>-209700</v>
      </c>
    </row>
    <row r="230">
      <c r="A230" s="8" t="inlineStr">
        <is>
          <t>ИП Муратов Э. У.</t>
        </is>
      </c>
      <c r="B230" s="21" t="n">
        <v>46090.72092592593</v>
      </c>
      <c r="C230" s="8" t="inlineStr">
        <is>
          <t>ETM</t>
        </is>
      </c>
      <c r="D230" s="8" t="inlineStr">
        <is>
          <t>57133132</t>
        </is>
      </c>
      <c r="E230" s="14" t="n">
        <v>209400</v>
      </c>
      <c r="F230" s="8" t="inlineStr">
        <is>
          <t>ETM_PAYMENT_IN_MISSING_ACT_MONTH</t>
        </is>
      </c>
      <c r="G230" s="8" t="inlineStr">
        <is>
          <t>Выгрузка 1С</t>
        </is>
      </c>
      <c r="H230" s="8" t="inlineStr">
        <is>
          <t>B</t>
        </is>
      </c>
      <c r="I230" s="12" t="inlineStr">
        <is>
          <t>Оплата есть в ETM, акт 1С за месяц не выгружен</t>
        </is>
      </c>
      <c r="J230" s="14" t="n">
        <v>209400</v>
      </c>
    </row>
    <row r="231">
      <c r="A231" s="8" t="inlineStr">
        <is>
          <t>Эсенбеков Кубат Элдияревич</t>
        </is>
      </c>
      <c r="B231" s="21" t="n">
        <v>46184</v>
      </c>
      <c r="C231" s="8" t="inlineStr">
        <is>
          <t>1C</t>
        </is>
      </c>
      <c r="D231" s="8" t="inlineStr">
        <is>
          <t>Поступление на р/с, п/п ЦБ-С002301</t>
        </is>
      </c>
      <c r="E231" s="14" t="n">
        <v>209300</v>
      </c>
      <c r="F231" s="8" t="inlineStr">
        <is>
          <t>PAYMENT_NOT_IN_ETM</t>
        </is>
      </c>
      <c r="G231" s="8" t="inlineStr">
        <is>
          <t>Бот ETM</t>
        </is>
      </c>
      <c r="H231" s="8" t="inlineStr">
        <is>
          <t>B</t>
        </is>
      </c>
      <c r="I231" s="12" t="inlineStr">
        <is>
          <t>Поступление 209,300.00 есть в 1С, зачисления на баланс ETM нет</t>
        </is>
      </c>
      <c r="J231" s="14" t="n">
        <v>-209300</v>
      </c>
    </row>
    <row r="232">
      <c r="A232" s="8" t="inlineStr">
        <is>
          <t>Ыйык Авиакасса</t>
        </is>
      </c>
      <c r="B232" s="21" t="n">
        <v>46086</v>
      </c>
      <c r="C232" s="8" t="inlineStr">
        <is>
          <t>1C</t>
        </is>
      </c>
      <c r="D232" s="8" t="inlineStr">
        <is>
          <t>Поступление на р/с, п/п ЦБ-С000638</t>
        </is>
      </c>
      <c r="E232" s="14" t="n">
        <v>208900</v>
      </c>
      <c r="F232" s="8" t="inlineStr">
        <is>
          <t>PAYMENT_NOT_IN_ETM</t>
        </is>
      </c>
      <c r="G232" s="8" t="inlineStr">
        <is>
          <t>Бот ETM</t>
        </is>
      </c>
      <c r="H232" s="8" t="inlineStr">
        <is>
          <t>B</t>
        </is>
      </c>
      <c r="I232" s="12" t="inlineStr">
        <is>
          <t>Поступление 208,900.00 есть в 1С, зачисления на баланс ETM нет</t>
        </is>
      </c>
      <c r="J232" s="14" t="n">
        <v>-208900</v>
      </c>
    </row>
    <row r="233">
      <c r="A233" s="8" t="inlineStr">
        <is>
          <t>Ыйык Авиакасса</t>
        </is>
      </c>
      <c r="B233" s="21" t="n">
        <v>46087</v>
      </c>
      <c r="C233" s="8" t="inlineStr">
        <is>
          <t>1C</t>
        </is>
      </c>
      <c r="D233" s="8" t="inlineStr">
        <is>
          <t>Приход в кассу ЦБ-С002073</t>
        </is>
      </c>
      <c r="E233" s="14" t="n">
        <v>208500</v>
      </c>
      <c r="F233" s="8" t="inlineStr">
        <is>
          <t>PAYMENT_NOT_IN_ETM</t>
        </is>
      </c>
      <c r="G233" s="8" t="inlineStr">
        <is>
          <t>Бот ETM</t>
        </is>
      </c>
      <c r="H233" s="8" t="inlineStr">
        <is>
          <t>B</t>
        </is>
      </c>
      <c r="I233" s="12" t="inlineStr">
        <is>
          <t>Поступление 208,500.00 есть в 1С, зачисления на баланс ETM нет</t>
        </is>
      </c>
      <c r="J233" s="14" t="n">
        <v>-208500</v>
      </c>
    </row>
    <row r="234">
      <c r="A234" s="8" t="inlineStr">
        <is>
          <t>ОсОО Чолпон Авиакасса</t>
        </is>
      </c>
      <c r="B234" s="21" t="n">
        <v>46226</v>
      </c>
      <c r="C234" s="8" t="inlineStr">
        <is>
          <t>1C</t>
        </is>
      </c>
      <c r="D234" s="8" t="inlineStr">
        <is>
          <t>Поступление на р/с, п/п ЦБ-С002391</t>
        </is>
      </c>
      <c r="E234" s="14" t="n">
        <v>208300</v>
      </c>
      <c r="F234" s="8" t="inlineStr">
        <is>
          <t>PAYMENT_NOT_IN_ETM</t>
        </is>
      </c>
      <c r="G234" s="8" t="inlineStr">
        <is>
          <t>Бот ETM</t>
        </is>
      </c>
      <c r="H234" s="8" t="inlineStr">
        <is>
          <t>B</t>
        </is>
      </c>
      <c r="I234" s="12" t="inlineStr">
        <is>
          <t>Поступление 208,300.00 есть в 1С, зачисления на баланс ETM нет</t>
        </is>
      </c>
      <c r="J234" s="14" t="n">
        <v>-208300</v>
      </c>
    </row>
    <row r="235">
      <c r="A235" s="8" t="inlineStr">
        <is>
          <t>Karakol Express</t>
        </is>
      </c>
      <c r="B235" s="21" t="n">
        <v>46207</v>
      </c>
      <c r="C235" s="8" t="inlineStr">
        <is>
          <t>1C</t>
        </is>
      </c>
      <c r="D235" s="8" t="inlineStr">
        <is>
          <t>Поступление на р/с, п/п ЦБ-С000993</t>
        </is>
      </c>
      <c r="E235" s="14" t="n">
        <v>207500</v>
      </c>
      <c r="F235" s="8" t="inlineStr">
        <is>
          <t>PAYMENT_NOT_IN_ETM</t>
        </is>
      </c>
      <c r="G235" s="8" t="inlineStr">
        <is>
          <t>Бот ETM</t>
        </is>
      </c>
      <c r="H235" s="8" t="inlineStr">
        <is>
          <t>B</t>
        </is>
      </c>
      <c r="I235" s="12" t="inlineStr">
        <is>
          <t>Поступление 207,500.00 есть в 1С, зачисления на баланс ETM нет</t>
        </is>
      </c>
      <c r="J235" s="14" t="n">
        <v>-207500</v>
      </c>
    </row>
    <row r="236">
      <c r="A236" s="8" t="inlineStr">
        <is>
          <t>Сатар уулу Санжар</t>
        </is>
      </c>
      <c r="B236" s="21" t="n">
        <v>46174.53748842593</v>
      </c>
      <c r="C236" s="8" t="inlineStr">
        <is>
          <t>ETM</t>
        </is>
      </c>
      <c r="D236" s="8" t="inlineStr">
        <is>
          <t>57332113</t>
        </is>
      </c>
      <c r="E236" s="14" t="n">
        <v>207200</v>
      </c>
      <c r="F236" s="8" t="inlineStr">
        <is>
          <t>ETM_PAYMENT_IN_MISSING_ACT_MONTH</t>
        </is>
      </c>
      <c r="G236" s="8" t="inlineStr">
        <is>
          <t>Выгрузка 1С</t>
        </is>
      </c>
      <c r="H236" s="8" t="inlineStr">
        <is>
          <t>B</t>
        </is>
      </c>
      <c r="I236" s="12" t="inlineStr">
        <is>
          <t>Оплата есть в ETM, акт 1С за месяц не выгружен</t>
        </is>
      </c>
      <c r="J236" s="14" t="n">
        <v>207200</v>
      </c>
    </row>
    <row r="237">
      <c r="A237" s="8" t="inlineStr">
        <is>
          <t>ИП Токтосун кызы Н.</t>
        </is>
      </c>
      <c r="B237" s="21" t="n">
        <v>46100</v>
      </c>
      <c r="C237" s="8" t="inlineStr">
        <is>
          <t>1C</t>
        </is>
      </c>
      <c r="D237" s="8" t="inlineStr">
        <is>
          <t>Приход в кассу ЦБ-С000471</t>
        </is>
      </c>
      <c r="E237" s="14" t="n">
        <v>207000</v>
      </c>
      <c r="F237" s="8" t="inlineStr">
        <is>
          <t>PAYMENT_NOT_IN_ETM</t>
        </is>
      </c>
      <c r="G237" s="8" t="inlineStr">
        <is>
          <t>Бот ETM</t>
        </is>
      </c>
      <c r="H237" s="8" t="inlineStr">
        <is>
          <t>B</t>
        </is>
      </c>
      <c r="I237" s="12" t="inlineStr">
        <is>
          <t>Поступление 207,000.00 есть в 1С, зачисления на баланс ETM нет</t>
        </is>
      </c>
      <c r="J237" s="14" t="n">
        <v>-207000</v>
      </c>
    </row>
    <row r="238">
      <c r="A238" s="8" t="inlineStr">
        <is>
          <t>ИП Жумабекова Б. Н.</t>
        </is>
      </c>
      <c r="B238" s="21" t="n">
        <v>46152.59005787037</v>
      </c>
      <c r="C238" s="8" t="inlineStr">
        <is>
          <t>ETM</t>
        </is>
      </c>
      <c r="D238" s="8" t="inlineStr">
        <is>
          <t>57268992</t>
        </is>
      </c>
      <c r="E238" s="14" t="n">
        <v>206200</v>
      </c>
      <c r="F238" s="8" t="inlineStr">
        <is>
          <t>ETM_PAYMENT_IN_MISSING_ACT_MONTH</t>
        </is>
      </c>
      <c r="G238" s="8" t="inlineStr">
        <is>
          <t>Выгрузка 1С</t>
        </is>
      </c>
      <c r="H238" s="8" t="inlineStr">
        <is>
          <t>B</t>
        </is>
      </c>
      <c r="I238" s="12" t="inlineStr">
        <is>
          <t>Оплата есть в ETM, акт 1С за месяц не выгружен</t>
        </is>
      </c>
      <c r="J238" s="14" t="n">
        <v>206200</v>
      </c>
    </row>
    <row r="239">
      <c r="A239" s="8" t="inlineStr">
        <is>
          <t>Кадырова Айнура Жумабекевна</t>
        </is>
      </c>
      <c r="B239" s="21" t="n">
        <v>46208</v>
      </c>
      <c r="C239" s="8" t="inlineStr">
        <is>
          <t>1C</t>
        </is>
      </c>
      <c r="D239" s="8" t="inlineStr">
        <is>
          <t>Поступление на р/с, п/п ЦБ-С000209</t>
        </is>
      </c>
      <c r="E239" s="14" t="n">
        <v>205500</v>
      </c>
      <c r="F239" s="8" t="inlineStr">
        <is>
          <t>PAYMENT_NOT_IN_ETM</t>
        </is>
      </c>
      <c r="G239" s="8" t="inlineStr">
        <is>
          <t>Бот ETM</t>
        </is>
      </c>
      <c r="H239" s="8" t="inlineStr">
        <is>
          <t>B</t>
        </is>
      </c>
      <c r="I239" s="12" t="inlineStr">
        <is>
          <t>Поступление 205,500.00 есть в 1С, зачисления на баланс ETM нет</t>
        </is>
      </c>
      <c r="J239" s="14" t="n">
        <v>-205500</v>
      </c>
    </row>
    <row r="240">
      <c r="A240" s="8" t="inlineStr">
        <is>
          <t>ТАЛАС ЭЙР</t>
        </is>
      </c>
      <c r="B240" s="21" t="n">
        <v>46222.71146990741</v>
      </c>
      <c r="C240" s="8" t="inlineStr">
        <is>
          <t>ETM</t>
        </is>
      </c>
      <c r="D240" s="8" t="inlineStr">
        <is>
          <t>57462731</t>
        </is>
      </c>
      <c r="E240" s="14" t="n">
        <v>205400</v>
      </c>
      <c r="F240" s="8" t="inlineStr">
        <is>
          <t>REPEATED_CREDIT</t>
        </is>
      </c>
      <c r="G240" s="8" t="inlineStr">
        <is>
          <t>Бот ETM</t>
        </is>
      </c>
      <c r="H240" s="8" t="inlineStr">
        <is>
          <t>A</t>
        </is>
      </c>
      <c r="I240" s="12" t="inlineStr">
        <is>
          <t>Оплата на 205,400.00 повторно зачислена в ETM через 69.5 ч, в 1С поступление одно</t>
        </is>
      </c>
      <c r="J240" s="14" t="n">
        <v>205400</v>
      </c>
    </row>
    <row r="241">
      <c r="A241" s="8" t="inlineStr">
        <is>
          <t>Жибек Вояж</t>
        </is>
      </c>
      <c r="B241" s="21" t="n">
        <v>46109</v>
      </c>
      <c r="C241" s="8" t="inlineStr">
        <is>
          <t>1C</t>
        </is>
      </c>
      <c r="D241" s="8" t="inlineStr">
        <is>
          <t>Приход в кассу ЦБ-С001986</t>
        </is>
      </c>
      <c r="E241" s="14" t="n">
        <v>203600</v>
      </c>
      <c r="F241" s="8" t="inlineStr">
        <is>
          <t>PAYMENT_NOT_IN_ETM</t>
        </is>
      </c>
      <c r="G241" s="8" t="inlineStr">
        <is>
          <t>Бот ETM</t>
        </is>
      </c>
      <c r="H241" s="8" t="inlineStr">
        <is>
          <t>B</t>
        </is>
      </c>
      <c r="I241" s="12" t="inlineStr">
        <is>
          <t>Поступление 203,600.00 есть в 1С, зачисления на баланс ETM нет</t>
        </is>
      </c>
      <c r="J241" s="14" t="n">
        <v>-203600</v>
      </c>
    </row>
    <row r="242">
      <c r="A242" s="8" t="inlineStr">
        <is>
          <t>Эсенбеков Кубат Элдияревич</t>
        </is>
      </c>
      <c r="B242" s="21" t="n">
        <v>46059</v>
      </c>
      <c r="C242" s="8" t="inlineStr">
        <is>
          <t>1C</t>
        </is>
      </c>
      <c r="D242" s="8" t="inlineStr">
        <is>
          <t>Поступление на р/с, п/п ЦБ-С000016</t>
        </is>
      </c>
      <c r="E242" s="14" t="n">
        <v>203300</v>
      </c>
      <c r="F242" s="8" t="inlineStr">
        <is>
          <t>PAYMENT_NOT_IN_ETM</t>
        </is>
      </c>
      <c r="G242" s="8" t="inlineStr">
        <is>
          <t>Бот ETM</t>
        </is>
      </c>
      <c r="H242" s="8" t="inlineStr">
        <is>
          <t>B</t>
        </is>
      </c>
      <c r="I242" s="12" t="inlineStr">
        <is>
          <t>Поступление 203,300.00 есть в 1С, зачисления на баланс ETM нет</t>
        </is>
      </c>
      <c r="J242" s="14" t="n">
        <v>-203300</v>
      </c>
    </row>
    <row r="243">
      <c r="A243" s="8" t="inlineStr">
        <is>
          <t>Бирлик Трип</t>
        </is>
      </c>
      <c r="B243" s="21" t="n">
        <v>46130</v>
      </c>
      <c r="C243" s="8" t="inlineStr">
        <is>
          <t>1C</t>
        </is>
      </c>
      <c r="D243" s="8" t="inlineStr">
        <is>
          <t>Поступление на р/с, п/п ЦБ-С000419</t>
        </is>
      </c>
      <c r="E243" s="14" t="n">
        <v>202500</v>
      </c>
      <c r="F243" s="8" t="inlineStr">
        <is>
          <t>PAYMENT_NOT_IN_ETM</t>
        </is>
      </c>
      <c r="G243" s="8" t="inlineStr">
        <is>
          <t>Бот ETM</t>
        </is>
      </c>
      <c r="H243" s="8" t="inlineStr">
        <is>
          <t>B</t>
        </is>
      </c>
      <c r="I243" s="12" t="inlineStr">
        <is>
          <t>Поступление 202,500.00 есть в 1С, зачисления на баланс ETM нет</t>
        </is>
      </c>
      <c r="J243" s="14" t="n">
        <v>-202500</v>
      </c>
    </row>
    <row r="244">
      <c r="A244" s="8" t="inlineStr">
        <is>
          <t>Салам Экспресс</t>
        </is>
      </c>
      <c r="B244" s="21" t="n">
        <v>46075.51982638889</v>
      </c>
      <c r="C244" s="8" t="inlineStr">
        <is>
          <t>ETM</t>
        </is>
      </c>
      <c r="D244" s="8" t="inlineStr">
        <is>
          <t>57101228</t>
        </is>
      </c>
      <c r="E244" s="14" t="n">
        <v>200300</v>
      </c>
      <c r="F244" s="8" t="inlineStr">
        <is>
          <t>REPEATED_CREDIT</t>
        </is>
      </c>
      <c r="G244" s="8" t="inlineStr">
        <is>
          <t>Бот ETM</t>
        </is>
      </c>
      <c r="H244" s="8" t="inlineStr">
        <is>
          <t>A</t>
        </is>
      </c>
      <c r="I244" s="12" t="inlineStr">
        <is>
          <t>Оплата на 200,300.00 повторно зачислена в ETM через 28.2 ч, в 1С поступление одно</t>
        </is>
      </c>
      <c r="J244" s="14" t="n">
        <v>200300</v>
      </c>
    </row>
    <row r="245">
      <c r="A245" s="8" t="inlineStr">
        <is>
          <t>ИП Асанов К. Б.</t>
        </is>
      </c>
      <c r="B245" s="21" t="n">
        <v>46195</v>
      </c>
      <c r="C245" s="8" t="inlineStr">
        <is>
          <t>1C</t>
        </is>
      </c>
      <c r="D245" s="8" t="inlineStr">
        <is>
          <t>Поступление на р/с, п/п ЦБ-С000340</t>
        </is>
      </c>
      <c r="E245" s="14" t="n">
        <v>199600</v>
      </c>
      <c r="F245" s="8" t="inlineStr">
        <is>
          <t>PAYMENT_NOT_IN_ETM</t>
        </is>
      </c>
      <c r="G245" s="8" t="inlineStr">
        <is>
          <t>Бот ETM</t>
        </is>
      </c>
      <c r="H245" s="8" t="inlineStr">
        <is>
          <t>B</t>
        </is>
      </c>
      <c r="I245" s="12" t="inlineStr">
        <is>
          <t>Поступление 199,600.00 есть в 1С, зачисления на баланс ETM нет</t>
        </is>
      </c>
      <c r="J245" s="14" t="n">
        <v>-199600</v>
      </c>
    </row>
    <row r="246">
      <c r="A246" s="8" t="inlineStr">
        <is>
          <t>ИП Токтосун кызы Н.</t>
        </is>
      </c>
      <c r="B246" s="21" t="n">
        <v>46142</v>
      </c>
      <c r="C246" s="8" t="inlineStr">
        <is>
          <t>1C</t>
        </is>
      </c>
      <c r="D246" s="8" t="inlineStr">
        <is>
          <t>Поступление на р/с, п/п ЦБ-С001511</t>
        </is>
      </c>
      <c r="E246" s="14" t="n">
        <v>198100</v>
      </c>
      <c r="F246" s="8" t="inlineStr">
        <is>
          <t>PAYMENT_NOT_IN_ETM</t>
        </is>
      </c>
      <c r="G246" s="8" t="inlineStr">
        <is>
          <t>Бот ETM</t>
        </is>
      </c>
      <c r="H246" s="8" t="inlineStr">
        <is>
          <t>B</t>
        </is>
      </c>
      <c r="I246" s="12" t="inlineStr">
        <is>
          <t>Поступление 198,100.00 есть в 1С, зачисления на баланс ETM нет</t>
        </is>
      </c>
      <c r="J246" s="14" t="n">
        <v>-198100</v>
      </c>
    </row>
    <row r="247">
      <c r="A247" s="8" t="inlineStr">
        <is>
          <t>Sunrise Tours</t>
        </is>
      </c>
      <c r="B247" s="21" t="n">
        <v>46185</v>
      </c>
      <c r="C247" s="8" t="inlineStr">
        <is>
          <t>1C</t>
        </is>
      </c>
      <c r="D247" s="8" t="inlineStr">
        <is>
          <t>Поступление на р/с, п/п ЦБ-С001449</t>
        </is>
      </c>
      <c r="E247" s="14" t="n">
        <v>197200</v>
      </c>
      <c r="F247" s="8" t="inlineStr">
        <is>
          <t>PAYMENT_NOT_IN_ETM</t>
        </is>
      </c>
      <c r="G247" s="8" t="inlineStr">
        <is>
          <t>Бот ETM</t>
        </is>
      </c>
      <c r="H247" s="8" t="inlineStr">
        <is>
          <t>B</t>
        </is>
      </c>
      <c r="I247" s="12" t="inlineStr">
        <is>
          <t>Поступление 197,200.00 есть в 1С, зачисления на баланс ETM нет</t>
        </is>
      </c>
      <c r="J247" s="14" t="n">
        <v>-197200</v>
      </c>
    </row>
    <row r="248">
      <c r="A248" s="8" t="inlineStr">
        <is>
          <t>ЧОЛПОН ТУР</t>
        </is>
      </c>
      <c r="B248" s="21" t="n">
        <v>46032</v>
      </c>
      <c r="C248" s="8" t="inlineStr">
        <is>
          <t>1C</t>
        </is>
      </c>
      <c r="D248" s="8" t="inlineStr">
        <is>
          <t>Поступление на р/с, п/п ЦБ-С002205</t>
        </is>
      </c>
      <c r="E248" s="14" t="n">
        <v>196500</v>
      </c>
      <c r="F248" s="8" t="inlineStr">
        <is>
          <t>PAYMENT_NOT_IN_ETM</t>
        </is>
      </c>
      <c r="G248" s="8" t="inlineStr">
        <is>
          <t>Бот ETM</t>
        </is>
      </c>
      <c r="H248" s="8" t="inlineStr">
        <is>
          <t>B</t>
        </is>
      </c>
      <c r="I248" s="12" t="inlineStr">
        <is>
          <t>Поступление 196,500.00 есть в 1С, зачисления на баланс ETM нет</t>
        </is>
      </c>
      <c r="J248" s="14" t="n">
        <v>-196500</v>
      </c>
    </row>
    <row r="249">
      <c r="A249" s="8" t="inlineStr">
        <is>
          <t>ЫЙЫК ЭКСПРЕСС</t>
        </is>
      </c>
      <c r="B249" s="21" t="n">
        <v>46187</v>
      </c>
      <c r="C249" s="8" t="inlineStr">
        <is>
          <t>1C</t>
        </is>
      </c>
      <c r="D249" s="8" t="inlineStr">
        <is>
          <t>Поступление на р/с, п/п ЦБ-С000258</t>
        </is>
      </c>
      <c r="E249" s="14" t="n">
        <v>196000</v>
      </c>
      <c r="F249" s="8" t="inlineStr">
        <is>
          <t>PAYMENT_NOT_IN_ETM</t>
        </is>
      </c>
      <c r="G249" s="8" t="inlineStr">
        <is>
          <t>Бот ETM</t>
        </is>
      </c>
      <c r="H249" s="8" t="inlineStr">
        <is>
          <t>B</t>
        </is>
      </c>
      <c r="I249" s="12" t="inlineStr">
        <is>
          <t>Поступление 196,000.00 есть в 1С, зачисления на баланс ETM нет</t>
        </is>
      </c>
      <c r="J249" s="14" t="n">
        <v>-196000</v>
      </c>
    </row>
    <row r="250">
      <c r="A250" s="8" t="inlineStr">
        <is>
          <t>Джолдошова Салтанат Сатаревна</t>
        </is>
      </c>
      <c r="B250" s="21" t="n">
        <v>46107</v>
      </c>
      <c r="C250" s="8" t="inlineStr">
        <is>
          <t>1C</t>
        </is>
      </c>
      <c r="D250" s="8" t="inlineStr">
        <is>
          <t>Поступление на р/с, п/п ЦБ-С002124</t>
        </is>
      </c>
      <c r="E250" s="14" t="n">
        <v>195500</v>
      </c>
      <c r="F250" s="8" t="inlineStr">
        <is>
          <t>PAYMENT_NOT_IN_ETM</t>
        </is>
      </c>
      <c r="G250" s="8" t="inlineStr">
        <is>
          <t>Бот ETM</t>
        </is>
      </c>
      <c r="H250" s="8" t="inlineStr">
        <is>
          <t>B</t>
        </is>
      </c>
      <c r="I250" s="12" t="inlineStr">
        <is>
          <t>Поступление 195,500.00 есть в 1С, зачисления на баланс ETM нет</t>
        </is>
      </c>
      <c r="J250" s="14" t="n">
        <v>-195500</v>
      </c>
    </row>
    <row r="251">
      <c r="A251" s="8" t="inlineStr">
        <is>
          <t>Джолдошова Салтанат Сатаревна</t>
        </is>
      </c>
      <c r="B251" s="21" t="n">
        <v>46053</v>
      </c>
      <c r="C251" s="8" t="inlineStr">
        <is>
          <t>1C</t>
        </is>
      </c>
      <c r="D251" s="8" t="inlineStr">
        <is>
          <t>Поступление на р/с, п/п ЦБ-С001170</t>
        </is>
      </c>
      <c r="E251" s="14" t="n">
        <v>193000</v>
      </c>
      <c r="F251" s="8" t="inlineStr">
        <is>
          <t>PAYMENT_NOT_IN_ETM</t>
        </is>
      </c>
      <c r="G251" s="8" t="inlineStr">
        <is>
          <t>Бот ETM</t>
        </is>
      </c>
      <c r="H251" s="8" t="inlineStr">
        <is>
          <t>B</t>
        </is>
      </c>
      <c r="I251" s="12" t="inlineStr">
        <is>
          <t>Поступление 193,000.00 есть в 1С, зачисления на баланс ETM нет</t>
        </is>
      </c>
      <c r="J251" s="14" t="n">
        <v>-193000</v>
      </c>
    </row>
    <row r="252">
      <c r="A252" s="8" t="inlineStr">
        <is>
          <t>ЧОЛПОН ТУР</t>
        </is>
      </c>
      <c r="B252" s="21" t="n">
        <v>46128.70240740741</v>
      </c>
      <c r="C252" s="8" t="inlineStr">
        <is>
          <t>ETM</t>
        </is>
      </c>
      <c r="D252" s="8" t="inlineStr">
        <is>
          <t>57210020</t>
        </is>
      </c>
      <c r="E252" s="14" t="n">
        <v>192300</v>
      </c>
      <c r="F252" s="8" t="inlineStr">
        <is>
          <t>ETM_PAYMENT_IN_MISSING_ACT_MONTH</t>
        </is>
      </c>
      <c r="G252" s="8" t="inlineStr">
        <is>
          <t>Выгрузка 1С</t>
        </is>
      </c>
      <c r="H252" s="8" t="inlineStr">
        <is>
          <t>B</t>
        </is>
      </c>
      <c r="I252" s="12" t="inlineStr">
        <is>
          <t>Оплата есть в ETM, акт 1С за месяц не выгружен</t>
        </is>
      </c>
      <c r="J252" s="14" t="n">
        <v>192300</v>
      </c>
    </row>
    <row r="253">
      <c r="A253" s="8" t="inlineStr">
        <is>
          <t>Манас Тур</t>
        </is>
      </c>
      <c r="B253" s="21" t="n">
        <v>46123</v>
      </c>
      <c r="C253" s="8" t="inlineStr">
        <is>
          <t>1C</t>
        </is>
      </c>
      <c r="D253" s="8" t="inlineStr">
        <is>
          <t>Поступление на р/с, п/п ЦБ-С000711</t>
        </is>
      </c>
      <c r="E253" s="14" t="n">
        <v>190100</v>
      </c>
      <c r="F253" s="8" t="inlineStr">
        <is>
          <t>PAYMENT_NOT_IN_ETM</t>
        </is>
      </c>
      <c r="G253" s="8" t="inlineStr">
        <is>
          <t>Бот ETM</t>
        </is>
      </c>
      <c r="H253" s="8" t="inlineStr">
        <is>
          <t>B</t>
        </is>
      </c>
      <c r="I253" s="12" t="inlineStr">
        <is>
          <t>Поступление 190,100.00 есть в 1С, зачисления на баланс ETM нет</t>
        </is>
      </c>
      <c r="J253" s="14" t="n">
        <v>-190100</v>
      </c>
    </row>
    <row r="254">
      <c r="A254" s="8" t="inlineStr">
        <is>
          <t>Жибек Эйр</t>
        </is>
      </c>
      <c r="B254" s="21" t="n">
        <v>46151.41701388889</v>
      </c>
      <c r="C254" s="8" t="inlineStr">
        <is>
          <t>ETM</t>
        </is>
      </c>
      <c r="D254" s="8" t="inlineStr">
        <is>
          <t>57266405</t>
        </is>
      </c>
      <c r="E254" s="14" t="n">
        <v>189800</v>
      </c>
      <c r="F254" s="8" t="inlineStr">
        <is>
          <t>ETM_PAYMENT_IN_MISSING_ACT_MONTH</t>
        </is>
      </c>
      <c r="G254" s="8" t="inlineStr">
        <is>
          <t>Выгрузка 1С</t>
        </is>
      </c>
      <c r="H254" s="8" t="inlineStr">
        <is>
          <t>B</t>
        </is>
      </c>
      <c r="I254" s="12" t="inlineStr">
        <is>
          <t>Оплата есть в ETM, акт 1С за месяц не выгружен</t>
        </is>
      </c>
      <c r="J254" s="14" t="n">
        <v>189800</v>
      </c>
    </row>
    <row r="255">
      <c r="A255" s="8" t="inlineStr">
        <is>
          <t>ОсОО Ала-Тоо Эйр</t>
        </is>
      </c>
      <c r="B255" s="21" t="n">
        <v>46143.7166087963</v>
      </c>
      <c r="C255" s="8" t="inlineStr">
        <is>
          <t>ETM</t>
        </is>
      </c>
      <c r="D255" s="8" t="inlineStr">
        <is>
          <t>57238401</t>
        </is>
      </c>
      <c r="E255" s="14" t="n">
        <v>188800</v>
      </c>
      <c r="F255" s="8" t="inlineStr">
        <is>
          <t>REPEATED_CREDIT</t>
        </is>
      </c>
      <c r="G255" s="8" t="inlineStr">
        <is>
          <t>Бот ETM</t>
        </is>
      </c>
      <c r="H255" s="8" t="inlineStr">
        <is>
          <t>A</t>
        </is>
      </c>
      <c r="I255" s="12" t="inlineStr">
        <is>
          <t>Оплата на 188,800.00 повторно зачислена в ETM через 22.2 ч, в 1С поступление одно</t>
        </is>
      </c>
      <c r="J255" s="14" t="n">
        <v>188800</v>
      </c>
    </row>
    <row r="256">
      <c r="A256" s="8" t="inlineStr">
        <is>
          <t>Салам Авиакасса</t>
        </is>
      </c>
      <c r="B256" s="21" t="n">
        <v>46112</v>
      </c>
      <c r="C256" s="8" t="inlineStr">
        <is>
          <t>1C</t>
        </is>
      </c>
      <c r="D256" s="8" t="inlineStr">
        <is>
          <t>Поступление на р/с, п/п ЦБ-С001614</t>
        </is>
      </c>
      <c r="E256" s="14" t="n">
        <v>188600</v>
      </c>
      <c r="F256" s="8" t="inlineStr">
        <is>
          <t>PAYMENT_NOT_IN_ETM</t>
        </is>
      </c>
      <c r="G256" s="8" t="inlineStr">
        <is>
          <t>Бот ETM</t>
        </is>
      </c>
      <c r="H256" s="8" t="inlineStr">
        <is>
          <t>B</t>
        </is>
      </c>
      <c r="I256" s="12" t="inlineStr">
        <is>
          <t>Поступление 188,600.00 есть в 1С, зачисления на баланс ETM нет</t>
        </is>
      </c>
      <c r="J256" s="14" t="n">
        <v>-188600</v>
      </c>
    </row>
    <row r="257">
      <c r="A257" s="8" t="inlineStr">
        <is>
          <t>САЛАМ ВОЯЖ</t>
        </is>
      </c>
      <c r="B257" s="21" t="n">
        <v>46049</v>
      </c>
      <c r="C257" s="8" t="inlineStr">
        <is>
          <t>1C</t>
        </is>
      </c>
      <c r="D257" s="8" t="inlineStr">
        <is>
          <t>Поступление на р/с, п/п ЦБ-С000487</t>
        </is>
      </c>
      <c r="E257" s="14" t="n">
        <v>187700</v>
      </c>
      <c r="F257" s="8" t="inlineStr">
        <is>
          <t>PAYMENT_NOT_IN_ETM</t>
        </is>
      </c>
      <c r="G257" s="8" t="inlineStr">
        <is>
          <t>Бот ETM</t>
        </is>
      </c>
      <c r="H257" s="8" t="inlineStr">
        <is>
          <t>B</t>
        </is>
      </c>
      <c r="I257" s="12" t="inlineStr">
        <is>
          <t>Поступление 187,700.00 есть в 1С, зачисления на баланс ETM нет</t>
        </is>
      </c>
      <c r="J257" s="14" t="n">
        <v>-187700</v>
      </c>
    </row>
    <row r="258">
      <c r="A258" s="8" t="inlineStr">
        <is>
          <t>Чолпон Тревел</t>
        </is>
      </c>
      <c r="B258" s="21" t="n">
        <v>46172.82646990741</v>
      </c>
      <c r="C258" s="8" t="inlineStr">
        <is>
          <t>ETM</t>
        </is>
      </c>
      <c r="D258" s="8" t="inlineStr">
        <is>
          <t>57327486</t>
        </is>
      </c>
      <c r="E258" s="14" t="n">
        <v>187000</v>
      </c>
      <c r="F258" s="8" t="inlineStr">
        <is>
          <t>ETM_PAYMENT_IN_MISSING_ACT_MONTH</t>
        </is>
      </c>
      <c r="G258" s="8" t="inlineStr">
        <is>
          <t>Выгрузка 1С</t>
        </is>
      </c>
      <c r="H258" s="8" t="inlineStr">
        <is>
          <t>B</t>
        </is>
      </c>
      <c r="I258" s="12" t="inlineStr">
        <is>
          <t>Оплата есть в ETM, акт 1С за месяц не выгружен</t>
        </is>
      </c>
      <c r="J258" s="14" t="n">
        <v>187000</v>
      </c>
    </row>
    <row r="259">
      <c r="A259" s="8" t="inlineStr">
        <is>
          <t>ОсОО Иссык Тур</t>
        </is>
      </c>
      <c r="B259" s="21" t="n">
        <v>46083</v>
      </c>
      <c r="C259" s="8" t="inlineStr">
        <is>
          <t>1C</t>
        </is>
      </c>
      <c r="D259" s="8" t="inlineStr">
        <is>
          <t>Поступление на р/с, п/п ЦБ-С000650</t>
        </is>
      </c>
      <c r="E259" s="14" t="n">
        <v>187000</v>
      </c>
      <c r="F259" s="8" t="inlineStr">
        <is>
          <t>PAYMENT_NOT_IN_ETM</t>
        </is>
      </c>
      <c r="G259" s="8" t="inlineStr">
        <is>
          <t>Бот ETM</t>
        </is>
      </c>
      <c r="H259" s="8" t="inlineStr">
        <is>
          <t>B</t>
        </is>
      </c>
      <c r="I259" s="12" t="inlineStr">
        <is>
          <t>Поступление 187,000.00 есть в 1С, зачисления на баланс ETM нет</t>
        </is>
      </c>
      <c r="J259" s="14" t="n">
        <v>-187000</v>
      </c>
    </row>
    <row r="260">
      <c r="A260" s="8" t="inlineStr">
        <is>
          <t>Жибек Эйр</t>
        </is>
      </c>
      <c r="B260" s="21" t="n">
        <v>46173.76802083333</v>
      </c>
      <c r="C260" s="8" t="inlineStr">
        <is>
          <t>ETM</t>
        </is>
      </c>
      <c r="D260" s="8" t="inlineStr">
        <is>
          <t>57329951</t>
        </is>
      </c>
      <c r="E260" s="14" t="n">
        <v>186200</v>
      </c>
      <c r="F260" s="8" t="inlineStr">
        <is>
          <t>ETM_PAYMENT_IN_MISSING_ACT_MONTH</t>
        </is>
      </c>
      <c r="G260" s="8" t="inlineStr">
        <is>
          <t>Выгрузка 1С</t>
        </is>
      </c>
      <c r="H260" s="8" t="inlineStr">
        <is>
          <t>B</t>
        </is>
      </c>
      <c r="I260" s="12" t="inlineStr">
        <is>
          <t>Оплата есть в ETM, акт 1С за месяц не выгружен</t>
        </is>
      </c>
      <c r="J260" s="14" t="n">
        <v>186200</v>
      </c>
    </row>
    <row r="261">
      <c r="A261" s="8" t="inlineStr">
        <is>
          <t>Сатар уулу Санжар</t>
        </is>
      </c>
      <c r="B261" s="21" t="n">
        <v>46133.73591435186</v>
      </c>
      <c r="C261" s="8" t="inlineStr">
        <is>
          <t>ETM</t>
        </is>
      </c>
      <c r="D261" s="8" t="inlineStr">
        <is>
          <t>57218683</t>
        </is>
      </c>
      <c r="E261" s="14" t="n">
        <v>185000</v>
      </c>
      <c r="F261" s="8" t="inlineStr">
        <is>
          <t>PAYMENT_WRONG_AGENT</t>
        </is>
      </c>
      <c r="G261" s="8" t="inlineStr">
        <is>
          <t>Бот ETM</t>
        </is>
      </c>
      <c r="H261" s="8" t="inlineStr">
        <is>
          <t>B</t>
        </is>
      </c>
      <c r="I261" s="12" t="inlineStr">
        <is>
          <t>Оплата 185,000.00 зачислена в ETM этому субагенту, а в 1С поступление проведено другому — вероятно, бот зачислил не тому</t>
        </is>
      </c>
      <c r="J261" s="14" t="n">
        <v>185000</v>
      </c>
    </row>
    <row r="262">
      <c r="A262" s="8" t="inlineStr">
        <is>
          <t>Урматов Эрлан Сагынович</t>
        </is>
      </c>
      <c r="B262" s="21" t="n">
        <v>46135</v>
      </c>
      <c r="C262" s="8" t="inlineStr">
        <is>
          <t>1C</t>
        </is>
      </c>
      <c r="D262" s="8" t="inlineStr">
        <is>
          <t>Поступление на р/с, п/п ЦБ-С002346</t>
        </is>
      </c>
      <c r="E262" s="14" t="n">
        <v>185000</v>
      </c>
      <c r="F262" s="8" t="inlineStr">
        <is>
          <t>PAYMENT_WRONG_AGENT</t>
        </is>
      </c>
      <c r="G262" s="8" t="inlineStr">
        <is>
          <t>Бот ETM</t>
        </is>
      </c>
      <c r="H262" s="8" t="inlineStr">
        <is>
          <t>B</t>
        </is>
      </c>
      <c r="I262" s="12" t="inlineStr">
        <is>
          <t>Поступление 185,000.00 по 1С у этого субагента, в ETM такая оплата зачислена субагенту «Сатар уулу Санжар»</t>
        </is>
      </c>
      <c r="J262" s="14" t="n">
        <v>-185000</v>
      </c>
    </row>
    <row r="263">
      <c r="A263" s="8" t="inlineStr">
        <is>
          <t>Karakol Express</t>
        </is>
      </c>
      <c r="B263" s="21" t="n">
        <v>46213</v>
      </c>
      <c r="C263" s="8" t="inlineStr">
        <is>
          <t>1C</t>
        </is>
      </c>
      <c r="D263" s="8" t="inlineStr">
        <is>
          <t>Поступление на р/с, п/п ЦБ-С000997</t>
        </is>
      </c>
      <c r="E263" s="14" t="n">
        <v>183400</v>
      </c>
      <c r="F263" s="8" t="inlineStr">
        <is>
          <t>PAYMENT_NOT_IN_ETM</t>
        </is>
      </c>
      <c r="G263" s="8" t="inlineStr">
        <is>
          <t>Бот ETM</t>
        </is>
      </c>
      <c r="H263" s="8" t="inlineStr">
        <is>
          <t>B</t>
        </is>
      </c>
      <c r="I263" s="12" t="inlineStr">
        <is>
          <t>Поступление 183,400.00 есть в 1С, зачисления на баланс ETM нет</t>
        </is>
      </c>
      <c r="J263" s="14" t="n">
        <v>-183400</v>
      </c>
    </row>
    <row r="264">
      <c r="A264" s="8" t="inlineStr">
        <is>
          <t>Чынарова Бурул Джолдошовна</t>
        </is>
      </c>
      <c r="B264" s="21" t="n">
        <v>46082</v>
      </c>
      <c r="C264" s="8" t="inlineStr">
        <is>
          <t>1C</t>
        </is>
      </c>
      <c r="D264" s="8" t="inlineStr">
        <is>
          <t>Приход в кассу ЦБ-С000554</t>
        </is>
      </c>
      <c r="E264" s="14" t="n">
        <v>180400</v>
      </c>
      <c r="F264" s="8" t="inlineStr">
        <is>
          <t>PAYMENT_NOT_IN_ETM</t>
        </is>
      </c>
      <c r="G264" s="8" t="inlineStr">
        <is>
          <t>Бот ETM</t>
        </is>
      </c>
      <c r="H264" s="8" t="inlineStr">
        <is>
          <t>B</t>
        </is>
      </c>
      <c r="I264" s="12" t="inlineStr">
        <is>
          <t>Поступление 180,400.00 есть в 1С, зачисления на баланс ETM нет</t>
        </is>
      </c>
      <c r="J264" s="14" t="n">
        <v>-180400</v>
      </c>
    </row>
    <row r="265">
      <c r="A265" s="8" t="inlineStr">
        <is>
          <t>Karakol Express</t>
        </is>
      </c>
      <c r="B265" s="21" t="n">
        <v>46028</v>
      </c>
      <c r="C265" s="8" t="inlineStr">
        <is>
          <t>1C</t>
        </is>
      </c>
      <c r="D265" s="8" t="inlineStr">
        <is>
          <t>Поступление на р/с, п/п ЦБ-С001302</t>
        </is>
      </c>
      <c r="E265" s="14" t="n">
        <v>178900</v>
      </c>
      <c r="F265" s="8" t="inlineStr">
        <is>
          <t>PAYMENT_NOT_IN_ETM</t>
        </is>
      </c>
      <c r="G265" s="8" t="inlineStr">
        <is>
          <t>Бот ETM</t>
        </is>
      </c>
      <c r="H265" s="8" t="inlineStr">
        <is>
          <t>B</t>
        </is>
      </c>
      <c r="I265" s="12" t="inlineStr">
        <is>
          <t>Поступление 178,900.00 есть в 1С, зачисления на баланс ETM нет</t>
        </is>
      </c>
      <c r="J265" s="14" t="n">
        <v>-178900</v>
      </c>
    </row>
    <row r="266">
      <c r="A266" s="8" t="inlineStr">
        <is>
          <t>Эсенбеков Кубат Элдияревич</t>
        </is>
      </c>
      <c r="B266" s="21" t="n">
        <v>46078</v>
      </c>
      <c r="C266" s="8" t="inlineStr">
        <is>
          <t>1C</t>
        </is>
      </c>
      <c r="D266" s="8" t="inlineStr">
        <is>
          <t>Поступление на р/с, п/п ЦБ-С001338</t>
        </is>
      </c>
      <c r="E266" s="14" t="n">
        <v>177700</v>
      </c>
      <c r="F266" s="8" t="inlineStr">
        <is>
          <t>PAYMENT_NOT_IN_ETM</t>
        </is>
      </c>
      <c r="G266" s="8" t="inlineStr">
        <is>
          <t>Бот ETM</t>
        </is>
      </c>
      <c r="H266" s="8" t="inlineStr">
        <is>
          <t>B</t>
        </is>
      </c>
      <c r="I266" s="12" t="inlineStr">
        <is>
          <t>Поступление 177,700.00 есть в 1С, зачисления на баланс ETM нет</t>
        </is>
      </c>
      <c r="J266" s="14" t="n">
        <v>-177700</v>
      </c>
    </row>
    <row r="267">
      <c r="A267" s="8" t="inlineStr">
        <is>
          <t>Жибек Авиакасса</t>
        </is>
      </c>
      <c r="B267" s="21" t="n">
        <v>46031</v>
      </c>
      <c r="C267" s="8" t="inlineStr">
        <is>
          <t>1C</t>
        </is>
      </c>
      <c r="D267" s="8" t="inlineStr">
        <is>
          <t>Поступление на р/с, п/п ЦБ-С001210</t>
        </is>
      </c>
      <c r="E267" s="14" t="n">
        <v>177100</v>
      </c>
      <c r="F267" s="8" t="inlineStr">
        <is>
          <t>PAYMENT_NOT_IN_ETM</t>
        </is>
      </c>
      <c r="G267" s="8" t="inlineStr">
        <is>
          <t>Бот ETM</t>
        </is>
      </c>
      <c r="H267" s="8" t="inlineStr">
        <is>
          <t>B</t>
        </is>
      </c>
      <c r="I267" s="12" t="inlineStr">
        <is>
          <t>Поступление 177,100.00 есть в 1С, зачисления на баланс ETM нет</t>
        </is>
      </c>
      <c r="J267" s="14" t="n">
        <v>-177100</v>
      </c>
    </row>
    <row r="268">
      <c r="A268" s="8" t="inlineStr">
        <is>
          <t>Жибек Эйр</t>
        </is>
      </c>
      <c r="B268" s="21" t="n">
        <v>46163.72611111111</v>
      </c>
      <c r="C268" s="8" t="inlineStr">
        <is>
          <t>ETM</t>
        </is>
      </c>
      <c r="D268" s="8" t="inlineStr">
        <is>
          <t>57303089</t>
        </is>
      </c>
      <c r="E268" s="14" t="n">
        <v>177000</v>
      </c>
      <c r="F268" s="8" t="inlineStr">
        <is>
          <t>ETM_PAYMENT_IN_MISSING_ACT_MONTH</t>
        </is>
      </c>
      <c r="G268" s="8" t="inlineStr">
        <is>
          <t>Выгрузка 1С</t>
        </is>
      </c>
      <c r="H268" s="8" t="inlineStr">
        <is>
          <t>B</t>
        </is>
      </c>
      <c r="I268" s="12" t="inlineStr">
        <is>
          <t>Оплата есть в ETM, акт 1С за месяц не выгружен</t>
        </is>
      </c>
      <c r="J268" s="14" t="n">
        <v>177000</v>
      </c>
    </row>
    <row r="269">
      <c r="A269" s="8" t="inlineStr">
        <is>
          <t>Karakol Express</t>
        </is>
      </c>
      <c r="B269" s="21" t="n">
        <v>46196</v>
      </c>
      <c r="C269" s="8" t="inlineStr">
        <is>
          <t>1C</t>
        </is>
      </c>
      <c r="D269" s="8" t="inlineStr">
        <is>
          <t>Поступление на р/с, п/п ЦБ-С001039</t>
        </is>
      </c>
      <c r="E269" s="14" t="n">
        <v>176700</v>
      </c>
      <c r="F269" s="8" t="inlineStr">
        <is>
          <t>PAYMENT_NOT_IN_ETM</t>
        </is>
      </c>
      <c r="G269" s="8" t="inlineStr">
        <is>
          <t>Бот ETM</t>
        </is>
      </c>
      <c r="H269" s="8" t="inlineStr">
        <is>
          <t>B</t>
        </is>
      </c>
      <c r="I269" s="12" t="inlineStr">
        <is>
          <t>Поступление 176,700.00 есть в 1С, зачисления на баланс ETM нет</t>
        </is>
      </c>
      <c r="J269" s="14" t="n">
        <v>-176700</v>
      </c>
    </row>
    <row r="270">
      <c r="A270" s="8" t="inlineStr">
        <is>
          <t>ЧОЛПОН ТУР</t>
        </is>
      </c>
      <c r="B270" s="21" t="n">
        <v>46101.70857638889</v>
      </c>
      <c r="C270" s="8" t="inlineStr">
        <is>
          <t>ETM</t>
        </is>
      </c>
      <c r="D270" s="8" t="inlineStr">
        <is>
          <t>57159137</t>
        </is>
      </c>
      <c r="E270" s="14" t="n">
        <v>175900</v>
      </c>
      <c r="F270" s="8" t="inlineStr">
        <is>
          <t>ETM_PAYMENT_IN_MISSING_ACT_MONTH</t>
        </is>
      </c>
      <c r="G270" s="8" t="inlineStr">
        <is>
          <t>Выгрузка 1С</t>
        </is>
      </c>
      <c r="H270" s="8" t="inlineStr">
        <is>
          <t>B</t>
        </is>
      </c>
      <c r="I270" s="12" t="inlineStr">
        <is>
          <t>Оплата есть в ETM, акт 1С за месяц не выгружен</t>
        </is>
      </c>
      <c r="J270" s="14" t="n">
        <v>175900</v>
      </c>
    </row>
    <row r="271">
      <c r="A271" s="8" t="inlineStr">
        <is>
          <t>Салам Авиакасса</t>
        </is>
      </c>
      <c r="B271" s="21" t="n">
        <v>46061.68164351852</v>
      </c>
      <c r="C271" s="8" t="inlineStr">
        <is>
          <t>ETM</t>
        </is>
      </c>
      <c r="D271" s="8" t="inlineStr">
        <is>
          <t>57078361</t>
        </is>
      </c>
      <c r="E271" s="14" t="n">
        <v>175700</v>
      </c>
      <c r="F271" s="8" t="inlineStr">
        <is>
          <t>REPEATED_CREDIT</t>
        </is>
      </c>
      <c r="G271" s="8" t="inlineStr">
        <is>
          <t>Бот ETM</t>
        </is>
      </c>
      <c r="H271" s="8" t="inlineStr">
        <is>
          <t>A</t>
        </is>
      </c>
      <c r="I271" s="12" t="inlineStr">
        <is>
          <t>Оплата на 175,700.00 повторно зачислена в ETM через 1.6 ч, в 1С поступление одно</t>
        </is>
      </c>
      <c r="J271" s="14" t="n">
        <v>175700</v>
      </c>
    </row>
    <row r="272">
      <c r="A272" s="8" t="inlineStr">
        <is>
          <t>Жибек Эйр</t>
        </is>
      </c>
      <c r="B272" s="21" t="n">
        <v>46123.80030092593</v>
      </c>
      <c r="C272" s="8" t="inlineStr">
        <is>
          <t>ETM</t>
        </is>
      </c>
      <c r="D272" s="8" t="inlineStr">
        <is>
          <t>57201729</t>
        </is>
      </c>
      <c r="E272" s="14" t="n">
        <v>174500</v>
      </c>
      <c r="F272" s="8" t="inlineStr">
        <is>
          <t>ETM_PAYMENT_IN_MISSING_ACT_MONTH</t>
        </is>
      </c>
      <c r="G272" s="8" t="inlineStr">
        <is>
          <t>Выгрузка 1С</t>
        </is>
      </c>
      <c r="H272" s="8" t="inlineStr">
        <is>
          <t>B</t>
        </is>
      </c>
      <c r="I272" s="12" t="inlineStr">
        <is>
          <t>Оплата есть в ETM, акт 1С за месяц не выгружен</t>
        </is>
      </c>
      <c r="J272" s="14" t="n">
        <v>174500</v>
      </c>
    </row>
    <row r="273">
      <c r="A273" s="8" t="inlineStr">
        <is>
          <t>ИП Токтосун кызы Н.</t>
        </is>
      </c>
      <c r="B273" s="21" t="n">
        <v>46174.72621527778</v>
      </c>
      <c r="C273" s="8" t="inlineStr">
        <is>
          <t>ETM</t>
        </is>
      </c>
      <c r="D273" s="8" t="inlineStr">
        <is>
          <t>57325212</t>
        </is>
      </c>
      <c r="E273" s="14" t="n">
        <v>174500</v>
      </c>
      <c r="F273" s="8" t="inlineStr">
        <is>
          <t>PAYMENT_NOT_IN_1C</t>
        </is>
      </c>
      <c r="G273" s="8" t="inlineStr">
        <is>
          <t>1С</t>
        </is>
      </c>
      <c r="H273" s="8" t="inlineStr">
        <is>
          <t>B</t>
        </is>
      </c>
      <c r="I273" s="12" t="inlineStr">
        <is>
          <t>Оплата 174,500.00 есть в ETM, поступления в 1С нет</t>
        </is>
      </c>
      <c r="J273" s="14" t="n">
        <v>174500</v>
      </c>
    </row>
    <row r="274">
      <c r="A274" s="8" t="inlineStr">
        <is>
          <t>Джолдошова Салтанат Сатаревна</t>
        </is>
      </c>
      <c r="B274" s="21" t="n">
        <v>46047</v>
      </c>
      <c r="C274" s="8" t="inlineStr">
        <is>
          <t>1C</t>
        </is>
      </c>
      <c r="D274" s="8" t="inlineStr">
        <is>
          <t>Поступление на р/с, п/п ЦБ-С000014</t>
        </is>
      </c>
      <c r="E274" s="14" t="n">
        <v>174400</v>
      </c>
      <c r="F274" s="8" t="inlineStr">
        <is>
          <t>PAYMENT_NOT_IN_ETM</t>
        </is>
      </c>
      <c r="G274" s="8" t="inlineStr">
        <is>
          <t>Бот ETM</t>
        </is>
      </c>
      <c r="H274" s="8" t="inlineStr">
        <is>
          <t>B</t>
        </is>
      </c>
      <c r="I274" s="12" t="inlineStr">
        <is>
          <t>Поступление 174,400.00 есть в 1С, зачисления на баланс ETM нет</t>
        </is>
      </c>
      <c r="J274" s="14" t="n">
        <v>-174400</v>
      </c>
    </row>
    <row r="275">
      <c r="A275" s="8" t="inlineStr">
        <is>
          <t>ИП Мамбетова Ч. Э.</t>
        </is>
      </c>
      <c r="B275" s="21" t="n">
        <v>46061</v>
      </c>
      <c r="C275" s="8" t="inlineStr">
        <is>
          <t>1C</t>
        </is>
      </c>
      <c r="D275" s="8" t="inlineStr">
        <is>
          <t>Поступление на р/с, п/п ЦБ-С001659</t>
        </is>
      </c>
      <c r="E275" s="14" t="n">
        <v>174100</v>
      </c>
      <c r="F275" s="8" t="inlineStr">
        <is>
          <t>PAYMENT_NOT_IN_ETM</t>
        </is>
      </c>
      <c r="G275" s="8" t="inlineStr">
        <is>
          <t>Бот ETM</t>
        </is>
      </c>
      <c r="H275" s="8" t="inlineStr">
        <is>
          <t>B</t>
        </is>
      </c>
      <c r="I275" s="12" t="inlineStr">
        <is>
          <t>Поступление 174,100.00 есть в 1С, зачисления на баланс ETM нет</t>
        </is>
      </c>
      <c r="J275" s="14" t="n">
        <v>-174100</v>
      </c>
    </row>
    <row r="276">
      <c r="A276" s="8" t="inlineStr">
        <is>
          <t>Жибек Авиакасса</t>
        </is>
      </c>
      <c r="B276" s="21" t="n">
        <v>46210</v>
      </c>
      <c r="C276" s="8" t="inlineStr">
        <is>
          <t>1C</t>
        </is>
      </c>
      <c r="D276" s="8" t="inlineStr">
        <is>
          <t>Поступление на р/с, п/п ЦБ-С000439</t>
        </is>
      </c>
      <c r="E276" s="14" t="n">
        <v>173100</v>
      </c>
      <c r="F276" s="8" t="inlineStr">
        <is>
          <t>PAYMENT_NOT_IN_ETM</t>
        </is>
      </c>
      <c r="G276" s="8" t="inlineStr">
        <is>
          <t>Бот ETM</t>
        </is>
      </c>
      <c r="H276" s="8" t="inlineStr">
        <is>
          <t>B</t>
        </is>
      </c>
      <c r="I276" s="12" t="inlineStr">
        <is>
          <t>Поступление 173,100.00 есть в 1С, зачисления на баланс ETM нет</t>
        </is>
      </c>
      <c r="J276" s="14" t="n">
        <v>-173100</v>
      </c>
    </row>
    <row r="277">
      <c r="A277" s="8" t="inlineStr">
        <is>
          <t>Салам Экспресс</t>
        </is>
      </c>
      <c r="B277" s="21" t="n">
        <v>46169</v>
      </c>
      <c r="C277" s="8" t="inlineStr">
        <is>
          <t>1C</t>
        </is>
      </c>
      <c r="D277" s="8" t="inlineStr">
        <is>
          <t>Приход в кассу ЦБ-С000009</t>
        </is>
      </c>
      <c r="E277" s="14" t="n">
        <v>173000</v>
      </c>
      <c r="F277" s="8" t="inlineStr">
        <is>
          <t>PAYMENT_NOT_IN_ETM</t>
        </is>
      </c>
      <c r="G277" s="8" t="inlineStr">
        <is>
          <t>Бот ETM</t>
        </is>
      </c>
      <c r="H277" s="8" t="inlineStr">
        <is>
          <t>B</t>
        </is>
      </c>
      <c r="I277" s="12" t="inlineStr">
        <is>
          <t>Поступление 173,000.00 есть в 1С, зачисления на баланс ETM нет</t>
        </is>
      </c>
      <c r="J277" s="14" t="n">
        <v>-173000</v>
      </c>
    </row>
    <row r="278">
      <c r="A278" s="8" t="inlineStr">
        <is>
          <t>Ыйык Авиакасса</t>
        </is>
      </c>
      <c r="B278" s="21" t="n">
        <v>46187.42826388889</v>
      </c>
      <c r="C278" s="8" t="inlineStr">
        <is>
          <t>ETM</t>
        </is>
      </c>
      <c r="D278" s="8" t="inlineStr">
        <is>
          <t>57358175</t>
        </is>
      </c>
      <c r="E278" s="14" t="n">
        <v>171900</v>
      </c>
      <c r="F278" s="8" t="inlineStr">
        <is>
          <t>REPEATED_CREDIT</t>
        </is>
      </c>
      <c r="G278" s="8" t="inlineStr">
        <is>
          <t>Бот ETM</t>
        </is>
      </c>
      <c r="H278" s="8" t="inlineStr">
        <is>
          <t>A</t>
        </is>
      </c>
      <c r="I278" s="12" t="inlineStr">
        <is>
          <t>Оплата на 171,900.00 повторно зачислена в ETM через 64.9 ч, в 1С поступление одно</t>
        </is>
      </c>
      <c r="J278" s="14" t="n">
        <v>171900</v>
      </c>
    </row>
    <row r="279">
      <c r="A279" s="8" t="inlineStr">
        <is>
          <t>ОсОО Иссык Тур</t>
        </is>
      </c>
      <c r="B279" s="21" t="n">
        <v>46178.80561342592</v>
      </c>
      <c r="C279" s="8" t="inlineStr">
        <is>
          <t>ETM</t>
        </is>
      </c>
      <c r="D279" s="8" t="inlineStr">
        <is>
          <t>57341819</t>
        </is>
      </c>
      <c r="E279" s="14" t="n">
        <v>170800</v>
      </c>
      <c r="F279" s="8" t="inlineStr">
        <is>
          <t>REPEATED_CREDIT</t>
        </is>
      </c>
      <c r="G279" s="8" t="inlineStr">
        <is>
          <t>Бот ETM</t>
        </is>
      </c>
      <c r="H279" s="8" t="inlineStr">
        <is>
          <t>A</t>
        </is>
      </c>
      <c r="I279" s="12" t="inlineStr">
        <is>
          <t>Оплата на 170,800.00 повторно зачислена в ETM через 6.3 ч, в 1С поступление одно</t>
        </is>
      </c>
      <c r="J279" s="14" t="n">
        <v>170800</v>
      </c>
    </row>
    <row r="280">
      <c r="A280" s="8" t="inlineStr">
        <is>
          <t>Эсенбек уулу Азамат</t>
        </is>
      </c>
      <c r="B280" s="21" t="n">
        <v>46177</v>
      </c>
      <c r="C280" s="8" t="inlineStr">
        <is>
          <t>1C</t>
        </is>
      </c>
      <c r="D280" s="8" t="inlineStr">
        <is>
          <t>Поступление на р/с, п/п ЦБ-С002169</t>
        </is>
      </c>
      <c r="E280" s="14" t="n">
        <v>169500</v>
      </c>
      <c r="F280" s="8" t="inlineStr">
        <is>
          <t>PAYMENT_NOT_IN_ETM</t>
        </is>
      </c>
      <c r="G280" s="8" t="inlineStr">
        <is>
          <t>Бот ETM</t>
        </is>
      </c>
      <c r="H280" s="8" t="inlineStr">
        <is>
          <t>B</t>
        </is>
      </c>
      <c r="I280" s="12" t="inlineStr">
        <is>
          <t>Поступление 169,500.00 есть в 1С, зачисления на баланс ETM нет</t>
        </is>
      </c>
      <c r="J280" s="14" t="n">
        <v>-169500</v>
      </c>
    </row>
    <row r="281">
      <c r="A281" s="8" t="inlineStr">
        <is>
          <t>Жибек Авиакасса</t>
        </is>
      </c>
      <c r="B281" s="21" t="n">
        <v>46227</v>
      </c>
      <c r="C281" s="8" t="inlineStr">
        <is>
          <t>1C</t>
        </is>
      </c>
      <c r="D281" s="8" t="inlineStr">
        <is>
          <t>Поступление на р/с, п/п ЦБ-С002163</t>
        </is>
      </c>
      <c r="E281" s="14" t="n">
        <v>168900</v>
      </c>
      <c r="F281" s="8" t="inlineStr">
        <is>
          <t>PAYMENT_NOT_IN_ETM</t>
        </is>
      </c>
      <c r="G281" s="8" t="inlineStr">
        <is>
          <t>Бот ETM</t>
        </is>
      </c>
      <c r="H281" s="8" t="inlineStr">
        <is>
          <t>B</t>
        </is>
      </c>
      <c r="I281" s="12" t="inlineStr">
        <is>
          <t>Поступление 168,900.00 есть в 1С, зачисления на баланс ETM нет</t>
        </is>
      </c>
      <c r="J281" s="14" t="n">
        <v>-168900</v>
      </c>
    </row>
    <row r="282">
      <c r="A282" s="8" t="inlineStr">
        <is>
          <t>Жибек Эйр</t>
        </is>
      </c>
      <c r="B282" s="21" t="n">
        <v>46066</v>
      </c>
      <c r="C282" s="8" t="inlineStr">
        <is>
          <t>1C</t>
        </is>
      </c>
      <c r="D282" s="8" t="inlineStr">
        <is>
          <t>Поступление на р/с, п/п ЦБ-С000030</t>
        </is>
      </c>
      <c r="E282" s="14" t="n">
        <v>167700</v>
      </c>
      <c r="F282" s="8" t="inlineStr">
        <is>
          <t>PAYMENT_NOT_IN_ETM</t>
        </is>
      </c>
      <c r="G282" s="8" t="inlineStr">
        <is>
          <t>Бот ETM</t>
        </is>
      </c>
      <c r="H282" s="8" t="inlineStr">
        <is>
          <t>B</t>
        </is>
      </c>
      <c r="I282" s="12" t="inlineStr">
        <is>
          <t>Поступление 167,700.00 есть в 1С, зачисления на баланс ETM нет</t>
        </is>
      </c>
      <c r="J282" s="14" t="n">
        <v>-167700</v>
      </c>
    </row>
    <row r="283">
      <c r="A283" s="8" t="inlineStr">
        <is>
          <t>ЧОЛПОН ТУР</t>
        </is>
      </c>
      <c r="B283" s="21" t="n">
        <v>46139.57561342593</v>
      </c>
      <c r="C283" s="8" t="inlineStr">
        <is>
          <t>ETM</t>
        </is>
      </c>
      <c r="D283" s="8" t="inlineStr">
        <is>
          <t>57231494</t>
        </is>
      </c>
      <c r="E283" s="14" t="n">
        <v>166500</v>
      </c>
      <c r="F283" s="8" t="inlineStr">
        <is>
          <t>ETM_PAYMENT_IN_MISSING_ACT_MONTH</t>
        </is>
      </c>
      <c r="G283" s="8" t="inlineStr">
        <is>
          <t>Выгрузка 1С</t>
        </is>
      </c>
      <c r="H283" s="8" t="inlineStr">
        <is>
          <t>B</t>
        </is>
      </c>
      <c r="I283" s="12" t="inlineStr">
        <is>
          <t>Оплата есть в ETM, акт 1С за месяц не выгружен</t>
        </is>
      </c>
      <c r="J283" s="14" t="n">
        <v>166500</v>
      </c>
    </row>
    <row r="284">
      <c r="A284" s="8" t="inlineStr">
        <is>
          <t>МУРАС ТРИП</t>
        </is>
      </c>
      <c r="B284" s="21" t="n">
        <v>46188.78435185185</v>
      </c>
      <c r="C284" s="8" t="inlineStr">
        <is>
          <t>ETM</t>
        </is>
      </c>
      <c r="D284" s="8" t="inlineStr">
        <is>
          <t>57368040</t>
        </is>
      </c>
      <c r="E284" s="14" t="n">
        <v>165300</v>
      </c>
      <c r="F284" s="8" t="inlineStr">
        <is>
          <t>ETM_PAYMENT_IN_MISSING_ACT_MONTH</t>
        </is>
      </c>
      <c r="G284" s="8" t="inlineStr">
        <is>
          <t>Выгрузка 1С</t>
        </is>
      </c>
      <c r="H284" s="8" t="inlineStr">
        <is>
          <t>B</t>
        </is>
      </c>
      <c r="I284" s="12" t="inlineStr">
        <is>
          <t>Оплата есть в ETM, акт 1С за месяц не выгружен</t>
        </is>
      </c>
      <c r="J284" s="14" t="n">
        <v>165300</v>
      </c>
    </row>
    <row r="285">
      <c r="A285" s="8" t="inlineStr">
        <is>
          <t>Джолдош уулу Эмир</t>
        </is>
      </c>
      <c r="B285" s="21" t="n">
        <v>46079</v>
      </c>
      <c r="C285" s="8" t="inlineStr">
        <is>
          <t>1C</t>
        </is>
      </c>
      <c r="D285" s="8" t="inlineStr">
        <is>
          <t>Приход в кассу ЦБ-С000341</t>
        </is>
      </c>
      <c r="E285" s="14" t="n">
        <v>165200</v>
      </c>
      <c r="F285" s="8" t="inlineStr">
        <is>
          <t>PAYMENT_NOT_IN_ETM</t>
        </is>
      </c>
      <c r="G285" s="8" t="inlineStr">
        <is>
          <t>Бот ETM</t>
        </is>
      </c>
      <c r="H285" s="8" t="inlineStr">
        <is>
          <t>B</t>
        </is>
      </c>
      <c r="I285" s="12" t="inlineStr">
        <is>
          <t>Поступление 165,200.00 есть в 1С, зачисления на баланс ETM нет</t>
        </is>
      </c>
      <c r="J285" s="14" t="n">
        <v>-165200</v>
      </c>
    </row>
    <row r="286">
      <c r="A286" s="8" t="inlineStr">
        <is>
          <t>Karakol Express</t>
        </is>
      </c>
      <c r="B286" s="21" t="n">
        <v>46230</v>
      </c>
      <c r="C286" s="8" t="inlineStr">
        <is>
          <t>1C</t>
        </is>
      </c>
      <c r="D286" s="8" t="inlineStr">
        <is>
          <t>Поступление на р/с, п/п ЦБ-С001523</t>
        </is>
      </c>
      <c r="E286" s="14" t="n">
        <v>163700</v>
      </c>
      <c r="F286" s="8" t="inlineStr">
        <is>
          <t>PAYMENT_NOT_IN_ETM</t>
        </is>
      </c>
      <c r="G286" s="8" t="inlineStr">
        <is>
          <t>Бот ETM</t>
        </is>
      </c>
      <c r="H286" s="8" t="inlineStr">
        <is>
          <t>B</t>
        </is>
      </c>
      <c r="I286" s="12" t="inlineStr">
        <is>
          <t>Поступление 163,700.00 есть в 1С, зачисления на баланс ETM нет</t>
        </is>
      </c>
      <c r="J286" s="14" t="n">
        <v>-163700</v>
      </c>
    </row>
    <row r="287">
      <c r="A287" s="8" t="inlineStr">
        <is>
          <t>Манас Тур</t>
        </is>
      </c>
      <c r="B287" s="21" t="n">
        <v>46124</v>
      </c>
      <c r="C287" s="8" t="inlineStr">
        <is>
          <t>1C</t>
        </is>
      </c>
      <c r="D287" s="8" t="inlineStr">
        <is>
          <t>Приход в кассу ЦБ-С001651</t>
        </is>
      </c>
      <c r="E287" s="14" t="n">
        <v>163500</v>
      </c>
      <c r="F287" s="8" t="inlineStr">
        <is>
          <t>PAYMENT_NOT_IN_ETM</t>
        </is>
      </c>
      <c r="G287" s="8" t="inlineStr">
        <is>
          <t>Бот ETM</t>
        </is>
      </c>
      <c r="H287" s="8" t="inlineStr">
        <is>
          <t>B</t>
        </is>
      </c>
      <c r="I287" s="12" t="inlineStr">
        <is>
          <t>Поступление 163,500.00 есть в 1С, зачисления на баланс ETM нет</t>
        </is>
      </c>
      <c r="J287" s="14" t="n">
        <v>-163500</v>
      </c>
    </row>
    <row r="288">
      <c r="A288" s="8" t="inlineStr">
        <is>
          <t>ИП Токтосун кызы Н.</t>
        </is>
      </c>
      <c r="B288" s="21" t="n">
        <v>46128</v>
      </c>
      <c r="C288" s="8" t="inlineStr">
        <is>
          <t>1C</t>
        </is>
      </c>
      <c r="D288" s="8" t="inlineStr">
        <is>
          <t>Приход в кассу ЦБ-С001484</t>
        </is>
      </c>
      <c r="E288" s="14" t="n">
        <v>162600</v>
      </c>
      <c r="F288" s="8" t="inlineStr">
        <is>
          <t>PAYMENT_NOT_IN_ETM</t>
        </is>
      </c>
      <c r="G288" s="8" t="inlineStr">
        <is>
          <t>Бот ETM</t>
        </is>
      </c>
      <c r="H288" s="8" t="inlineStr">
        <is>
          <t>B</t>
        </is>
      </c>
      <c r="I288" s="12" t="inlineStr">
        <is>
          <t>Поступление 162,600.00 есть в 1С, зачисления на баланс ETM нет</t>
        </is>
      </c>
      <c r="J288" s="14" t="n">
        <v>-162600</v>
      </c>
    </row>
    <row r="289">
      <c r="A289" s="8" t="inlineStr">
        <is>
          <t>Жибек Эйр</t>
        </is>
      </c>
      <c r="B289" s="21" t="n">
        <v>46161.40436342593</v>
      </c>
      <c r="C289" s="8" t="inlineStr">
        <is>
          <t>ETM</t>
        </is>
      </c>
      <c r="D289" s="8" t="inlineStr">
        <is>
          <t>57297059</t>
        </is>
      </c>
      <c r="E289" s="14" t="n">
        <v>162300</v>
      </c>
      <c r="F289" s="8" t="inlineStr">
        <is>
          <t>ETM_PAYMENT_IN_MISSING_ACT_MONTH</t>
        </is>
      </c>
      <c r="G289" s="8" t="inlineStr">
        <is>
          <t>Выгрузка 1С</t>
        </is>
      </c>
      <c r="H289" s="8" t="inlineStr">
        <is>
          <t>B</t>
        </is>
      </c>
      <c r="I289" s="12" t="inlineStr">
        <is>
          <t>Оплата есть в ETM, акт 1С за месяц не выгружен</t>
        </is>
      </c>
      <c r="J289" s="14" t="n">
        <v>162300</v>
      </c>
    </row>
    <row r="290">
      <c r="A290" s="8" t="inlineStr">
        <is>
          <t>Бирлик Трип</t>
        </is>
      </c>
      <c r="B290" s="21" t="n">
        <v>46089.60690972222</v>
      </c>
      <c r="C290" s="8" t="inlineStr">
        <is>
          <t>ETM</t>
        </is>
      </c>
      <c r="D290" s="8" t="inlineStr">
        <is>
          <t>57124268</t>
        </is>
      </c>
      <c r="E290" s="14" t="n">
        <v>160400</v>
      </c>
      <c r="F290" s="8" t="inlineStr">
        <is>
          <t>REPEATED_CREDIT</t>
        </is>
      </c>
      <c r="G290" s="8" t="inlineStr">
        <is>
          <t>Бот ETM</t>
        </is>
      </c>
      <c r="H290" s="8" t="inlineStr">
        <is>
          <t>A</t>
        </is>
      </c>
      <c r="I290" s="12" t="inlineStr">
        <is>
          <t>Оплата на 160,400.00 повторно зачислена в ETM через 69.1 ч, в 1С поступление одно</t>
        </is>
      </c>
      <c r="J290" s="14" t="n">
        <v>160400</v>
      </c>
    </row>
    <row r="291">
      <c r="A291" s="8" t="inlineStr">
        <is>
          <t>Сатар уулу Санжар</t>
        </is>
      </c>
      <c r="B291" s="21" t="n">
        <v>46099</v>
      </c>
      <c r="C291" s="8" t="inlineStr">
        <is>
          <t>1C</t>
        </is>
      </c>
      <c r="D291" s="8" t="inlineStr">
        <is>
          <t>Приход в кассу ЦБ-С001587</t>
        </is>
      </c>
      <c r="E291" s="14" t="n">
        <v>160300</v>
      </c>
      <c r="F291" s="8" t="inlineStr">
        <is>
          <t>PAYMENT_NOT_IN_ETM</t>
        </is>
      </c>
      <c r="G291" s="8" t="inlineStr">
        <is>
          <t>Бот ETM</t>
        </is>
      </c>
      <c r="H291" s="8" t="inlineStr">
        <is>
          <t>B</t>
        </is>
      </c>
      <c r="I291" s="12" t="inlineStr">
        <is>
          <t>Поступление 160,300.00 есть в 1С, зачисления на баланс ETM нет</t>
        </is>
      </c>
      <c r="J291" s="14" t="n">
        <v>-160300</v>
      </c>
    </row>
    <row r="292">
      <c r="A292" s="8" t="inlineStr">
        <is>
          <t>Тянь-Шань Тур</t>
        </is>
      </c>
      <c r="B292" s="21" t="n">
        <v>46128.72900462963</v>
      </c>
      <c r="C292" s="8" t="inlineStr">
        <is>
          <t>ETM</t>
        </is>
      </c>
      <c r="D292" s="8" t="inlineStr">
        <is>
          <t>57210029</t>
        </is>
      </c>
      <c r="E292" s="14" t="n">
        <v>160200</v>
      </c>
      <c r="F292" s="8" t="inlineStr">
        <is>
          <t>ETM_PAYMENT_IN_MISSING_ACT_MONTH</t>
        </is>
      </c>
      <c r="G292" s="8" t="inlineStr">
        <is>
          <t>Выгрузка 1С</t>
        </is>
      </c>
      <c r="H292" s="8" t="inlineStr">
        <is>
          <t>B</t>
        </is>
      </c>
      <c r="I292" s="12" t="inlineStr">
        <is>
          <t>Оплата есть в ETM, акт 1С за месяц не выгружен</t>
        </is>
      </c>
      <c r="J292" s="14" t="n">
        <v>160200</v>
      </c>
    </row>
    <row r="293">
      <c r="A293" s="8" t="inlineStr">
        <is>
          <t>Жибек Авиакасса</t>
        </is>
      </c>
      <c r="B293" s="21" t="n">
        <v>46070</v>
      </c>
      <c r="C293" s="8" t="inlineStr">
        <is>
          <t>1C</t>
        </is>
      </c>
      <c r="D293" s="8" t="inlineStr">
        <is>
          <t>Приход в кассу ЦБ-С000458</t>
        </is>
      </c>
      <c r="E293" s="14" t="n">
        <v>160000</v>
      </c>
      <c r="F293" s="8" t="inlineStr">
        <is>
          <t>PAYMENT_NOT_IN_ETM</t>
        </is>
      </c>
      <c r="G293" s="8" t="inlineStr">
        <is>
          <t>Бот ETM</t>
        </is>
      </c>
      <c r="H293" s="8" t="inlineStr">
        <is>
          <t>B</t>
        </is>
      </c>
      <c r="I293" s="12" t="inlineStr">
        <is>
          <t>Поступление 160,000.00 есть в 1С, зачисления на баланс ETM нет</t>
        </is>
      </c>
      <c r="J293" s="14" t="n">
        <v>-160000</v>
      </c>
    </row>
    <row r="294">
      <c r="A294" s="8" t="inlineStr">
        <is>
          <t>ИП Джолдошов Д. У.</t>
        </is>
      </c>
      <c r="B294" s="21" t="n">
        <v>46164</v>
      </c>
      <c r="C294" s="8" t="inlineStr">
        <is>
          <t>1C</t>
        </is>
      </c>
      <c r="D294" s="8" t="inlineStr">
        <is>
          <t>Приход в кассу ЦБ-С001928</t>
        </is>
      </c>
      <c r="E294" s="14" t="n">
        <v>159800</v>
      </c>
      <c r="F294" s="8" t="inlineStr">
        <is>
          <t>PAYMENT_NOT_IN_ETM</t>
        </is>
      </c>
      <c r="G294" s="8" t="inlineStr">
        <is>
          <t>Бот ETM</t>
        </is>
      </c>
      <c r="H294" s="8" t="inlineStr">
        <is>
          <t>B</t>
        </is>
      </c>
      <c r="I294" s="12" t="inlineStr">
        <is>
          <t>Поступление 159,800.00 есть в 1С, зачисления на баланс ETM нет</t>
        </is>
      </c>
      <c r="J294" s="14" t="n">
        <v>-159800</v>
      </c>
    </row>
    <row r="295">
      <c r="A295" s="8" t="inlineStr">
        <is>
          <t>Тянь-Шань Тур</t>
        </is>
      </c>
      <c r="B295" s="21" t="n">
        <v>46143.81653935185</v>
      </c>
      <c r="C295" s="8" t="inlineStr">
        <is>
          <t>ETM</t>
        </is>
      </c>
      <c r="D295" s="8" t="inlineStr">
        <is>
          <t>57240989</t>
        </is>
      </c>
      <c r="E295" s="14" t="n">
        <v>159000</v>
      </c>
      <c r="F295" s="8" t="inlineStr">
        <is>
          <t>ETM_PAYMENT_IN_MISSING_ACT_MONTH</t>
        </is>
      </c>
      <c r="G295" s="8" t="inlineStr">
        <is>
          <t>Выгрузка 1С</t>
        </is>
      </c>
      <c r="H295" s="8" t="inlineStr">
        <is>
          <t>B</t>
        </is>
      </c>
      <c r="I295" s="12" t="inlineStr">
        <is>
          <t>Оплата есть в ETM, акт 1С за месяц не выгружен</t>
        </is>
      </c>
      <c r="J295" s="14" t="n">
        <v>159000</v>
      </c>
    </row>
    <row r="296">
      <c r="A296" s="8" t="inlineStr">
        <is>
          <t>ИП Элдиярова А. Ч.</t>
        </is>
      </c>
      <c r="B296" s="21" t="n">
        <v>46082</v>
      </c>
      <c r="C296" s="8" t="inlineStr">
        <is>
          <t>1C</t>
        </is>
      </c>
      <c r="D296" s="8" t="inlineStr">
        <is>
          <t>Поступление на р/с, п/п ЦБ-С000635</t>
        </is>
      </c>
      <c r="E296" s="14" t="n">
        <v>158500</v>
      </c>
      <c r="F296" s="8" t="inlineStr">
        <is>
          <t>PAYMENT_NOT_IN_ETM</t>
        </is>
      </c>
      <c r="G296" s="8" t="inlineStr">
        <is>
          <t>Бот ETM</t>
        </is>
      </c>
      <c r="H296" s="8" t="inlineStr">
        <is>
          <t>B</t>
        </is>
      </c>
      <c r="I296" s="12" t="inlineStr">
        <is>
          <t>Поступление 158,500.00 есть в 1С, зачисления на баланс ETM нет</t>
        </is>
      </c>
      <c r="J296" s="14" t="n">
        <v>-158500</v>
      </c>
    </row>
    <row r="297">
      <c r="A297" s="8" t="inlineStr">
        <is>
          <t>Джолдошова Салтанат Сатаревна</t>
        </is>
      </c>
      <c r="B297" s="21" t="n">
        <v>46167</v>
      </c>
      <c r="C297" s="8" t="inlineStr">
        <is>
          <t>1C</t>
        </is>
      </c>
      <c r="D297" s="8" t="inlineStr">
        <is>
          <t>Поступление на р/с, п/п ЦБ-С001234</t>
        </is>
      </c>
      <c r="E297" s="14" t="n">
        <v>158000</v>
      </c>
      <c r="F297" s="8" t="inlineStr">
        <is>
          <t>PAYMENT_NOT_IN_ETM</t>
        </is>
      </c>
      <c r="G297" s="8" t="inlineStr">
        <is>
          <t>Бот ETM</t>
        </is>
      </c>
      <c r="H297" s="8" t="inlineStr">
        <is>
          <t>B</t>
        </is>
      </c>
      <c r="I297" s="12" t="inlineStr">
        <is>
          <t>Поступление 158,000.00 есть в 1С, зачисления на баланс ETM нет</t>
        </is>
      </c>
      <c r="J297" s="14" t="n">
        <v>-158000</v>
      </c>
    </row>
    <row r="298">
      <c r="A298" s="8" t="inlineStr">
        <is>
          <t>Чолпон Тревел</t>
        </is>
      </c>
      <c r="B298" s="21" t="n">
        <v>46163.72848379629</v>
      </c>
      <c r="C298" s="8" t="inlineStr">
        <is>
          <t>ETM</t>
        </is>
      </c>
      <c r="D298" s="8" t="inlineStr">
        <is>
          <t>57303368</t>
        </is>
      </c>
      <c r="E298" s="14" t="n">
        <v>157000</v>
      </c>
      <c r="F298" s="8" t="inlineStr">
        <is>
          <t>ETM_PAYMENT_IN_MISSING_ACT_MONTH</t>
        </is>
      </c>
      <c r="G298" s="8" t="inlineStr">
        <is>
          <t>Выгрузка 1С</t>
        </is>
      </c>
      <c r="H298" s="8" t="inlineStr">
        <is>
          <t>B</t>
        </is>
      </c>
      <c r="I298" s="12" t="inlineStr">
        <is>
          <t>Оплата есть в ETM, акт 1С за месяц не выгружен</t>
        </is>
      </c>
      <c r="J298" s="14" t="n">
        <v>157000</v>
      </c>
    </row>
    <row r="299">
      <c r="A299" s="8" t="inlineStr">
        <is>
          <t>Сатар уулу Санжар</t>
        </is>
      </c>
      <c r="B299" s="21" t="n">
        <v>46049</v>
      </c>
      <c r="C299" s="8" t="inlineStr">
        <is>
          <t>1C</t>
        </is>
      </c>
      <c r="D299" s="8" t="inlineStr">
        <is>
          <t>Приход в кассу ЦБ-С001037</t>
        </is>
      </c>
      <c r="E299" s="14" t="n">
        <v>156600</v>
      </c>
      <c r="F299" s="8" t="inlineStr">
        <is>
          <t>PAYMENT_NOT_IN_ETM</t>
        </is>
      </c>
      <c r="G299" s="8" t="inlineStr">
        <is>
          <t>Бот ETM</t>
        </is>
      </c>
      <c r="H299" s="8" t="inlineStr">
        <is>
          <t>B</t>
        </is>
      </c>
      <c r="I299" s="12" t="inlineStr">
        <is>
          <t>Поступление 156,600.00 есть в 1С, зачисления на баланс ETM нет</t>
        </is>
      </c>
      <c r="J299" s="14" t="n">
        <v>-156600</v>
      </c>
    </row>
    <row r="300">
      <c r="A300" s="8" t="inlineStr">
        <is>
          <t>ОсОО Ала-Арча Трип</t>
        </is>
      </c>
      <c r="B300" s="21" t="n">
        <v>46081</v>
      </c>
      <c r="C300" s="8" t="inlineStr">
        <is>
          <t>1C</t>
        </is>
      </c>
      <c r="D300" s="8" t="inlineStr">
        <is>
          <t>Приход в кассу ЦБ-С001544</t>
        </is>
      </c>
      <c r="E300" s="14" t="n">
        <v>156200</v>
      </c>
      <c r="F300" s="8" t="inlineStr">
        <is>
          <t>PAYMENT_NOT_IN_ETM</t>
        </is>
      </c>
      <c r="G300" s="8" t="inlineStr">
        <is>
          <t>Бот ETM</t>
        </is>
      </c>
      <c r="H300" s="8" t="inlineStr">
        <is>
          <t>B</t>
        </is>
      </c>
      <c r="I300" s="12" t="inlineStr">
        <is>
          <t>Поступление 156,200.00 есть в 1С, зачисления на баланс ETM нет</t>
        </is>
      </c>
      <c r="J300" s="14" t="n">
        <v>-156200</v>
      </c>
    </row>
    <row r="301">
      <c r="A301" s="8" t="inlineStr">
        <is>
          <t>ИП Джолдошов Д. У.</t>
        </is>
      </c>
      <c r="B301" s="21" t="n">
        <v>46132</v>
      </c>
      <c r="C301" s="8" t="inlineStr">
        <is>
          <t>1C</t>
        </is>
      </c>
      <c r="D301" s="8" t="inlineStr">
        <is>
          <t>Поступление на р/с, п/п ЦБ-С002113</t>
        </is>
      </c>
      <c r="E301" s="14" t="n">
        <v>155900</v>
      </c>
      <c r="F301" s="8" t="inlineStr">
        <is>
          <t>PAYMENT_NOT_IN_ETM</t>
        </is>
      </c>
      <c r="G301" s="8" t="inlineStr">
        <is>
          <t>Бот ETM</t>
        </is>
      </c>
      <c r="H301" s="8" t="inlineStr">
        <is>
          <t>B</t>
        </is>
      </c>
      <c r="I301" s="12" t="inlineStr">
        <is>
          <t>Поступление 155,900.00 есть в 1С, зачисления на баланс ETM нет</t>
        </is>
      </c>
      <c r="J301" s="14" t="n">
        <v>-155900</v>
      </c>
    </row>
    <row r="302">
      <c r="A302" s="8" t="inlineStr">
        <is>
          <t>ЧОЛПОН ТУР</t>
        </is>
      </c>
      <c r="B302" s="21" t="n">
        <v>46137.40282407407</v>
      </c>
      <c r="C302" s="8" t="inlineStr">
        <is>
          <t>ETM</t>
        </is>
      </c>
      <c r="D302" s="8" t="inlineStr">
        <is>
          <t>57227795</t>
        </is>
      </c>
      <c r="E302" s="14" t="n">
        <v>152400</v>
      </c>
      <c r="F302" s="8" t="inlineStr">
        <is>
          <t>ETM_PAYMENT_IN_MISSING_ACT_MONTH</t>
        </is>
      </c>
      <c r="G302" s="8" t="inlineStr">
        <is>
          <t>Выгрузка 1С</t>
        </is>
      </c>
      <c r="H302" s="8" t="inlineStr">
        <is>
          <t>B</t>
        </is>
      </c>
      <c r="I302" s="12" t="inlineStr">
        <is>
          <t>Оплата есть в ETM, акт 1С за месяц не выгружен</t>
        </is>
      </c>
      <c r="J302" s="14" t="n">
        <v>152400</v>
      </c>
    </row>
    <row r="303">
      <c r="A303" s="8" t="inlineStr">
        <is>
          <t>Сатар уулу Санжар</t>
        </is>
      </c>
      <c r="B303" s="21" t="n">
        <v>46126.58097222223</v>
      </c>
      <c r="C303" s="8" t="inlineStr">
        <is>
          <t>ETM</t>
        </is>
      </c>
      <c r="D303" s="8" t="inlineStr">
        <is>
          <t>57206106</t>
        </is>
      </c>
      <c r="E303" s="14" t="n">
        <v>152000</v>
      </c>
      <c r="F303" s="8" t="inlineStr">
        <is>
          <t>ETM_PAYMENT_IN_MISSING_ACT_MONTH</t>
        </is>
      </c>
      <c r="G303" s="8" t="inlineStr">
        <is>
          <t>Выгрузка 1С</t>
        </is>
      </c>
      <c r="H303" s="8" t="inlineStr">
        <is>
          <t>B</t>
        </is>
      </c>
      <c r="I303" s="12" t="inlineStr">
        <is>
          <t>Оплата есть в ETM, акт 1С за месяц не выгружен</t>
        </is>
      </c>
      <c r="J303" s="14" t="n">
        <v>152000</v>
      </c>
    </row>
    <row r="304">
      <c r="A304" s="8" t="inlineStr">
        <is>
          <t>Karakol Express</t>
        </is>
      </c>
      <c r="B304" s="21" t="n">
        <v>46146</v>
      </c>
      <c r="C304" s="8" t="inlineStr">
        <is>
          <t>1C</t>
        </is>
      </c>
      <c r="D304" s="8" t="inlineStr">
        <is>
          <t>Поступление на р/с, п/п ЦБ-С001796</t>
        </is>
      </c>
      <c r="E304" s="14" t="n">
        <v>150600</v>
      </c>
      <c r="F304" s="8" t="inlineStr">
        <is>
          <t>PAYMENT_NOT_IN_ETM</t>
        </is>
      </c>
      <c r="G304" s="8" t="inlineStr">
        <is>
          <t>Бот ETM</t>
        </is>
      </c>
      <c r="H304" s="8" t="inlineStr">
        <is>
          <t>B</t>
        </is>
      </c>
      <c r="I304" s="12" t="inlineStr">
        <is>
          <t>Поступление 150,600.00 есть в 1С, зачисления на баланс ETM нет</t>
        </is>
      </c>
      <c r="J304" s="14" t="n">
        <v>-150600</v>
      </c>
    </row>
    <row r="305">
      <c r="A305" s="8" t="inlineStr">
        <is>
          <t>Karakol Express</t>
        </is>
      </c>
      <c r="B305" s="21" t="n">
        <v>46186</v>
      </c>
      <c r="C305" s="8" t="inlineStr">
        <is>
          <t>1C</t>
        </is>
      </c>
      <c r="D305" s="8" t="inlineStr">
        <is>
          <t>Приход в кассу ЦБ-С000212</t>
        </is>
      </c>
      <c r="E305" s="14" t="n">
        <v>150500</v>
      </c>
      <c r="F305" s="8" t="inlineStr">
        <is>
          <t>PAYMENT_NOT_IN_ETM</t>
        </is>
      </c>
      <c r="G305" s="8" t="inlineStr">
        <is>
          <t>Бот ETM</t>
        </is>
      </c>
      <c r="H305" s="8" t="inlineStr">
        <is>
          <t>B</t>
        </is>
      </c>
      <c r="I305" s="12" t="inlineStr">
        <is>
          <t>Поступление 150,500.00 есть в 1С, зачисления на баланс ETM нет</t>
        </is>
      </c>
      <c r="J305" s="14" t="n">
        <v>-150500</v>
      </c>
    </row>
    <row r="306">
      <c r="A306" s="8" t="inlineStr">
        <is>
          <t>Blue Bird Travel</t>
        </is>
      </c>
      <c r="B306" s="21" t="n">
        <v>46049</v>
      </c>
      <c r="C306" s="8" t="inlineStr">
        <is>
          <t>1C</t>
        </is>
      </c>
      <c r="D306" s="8" t="inlineStr">
        <is>
          <t>Поступление на р/с, п/п ЦБ-С000920</t>
        </is>
      </c>
      <c r="E306" s="14" t="n">
        <v>149400</v>
      </c>
      <c r="F306" s="8" t="inlineStr">
        <is>
          <t>PAYMENT_NOT_IN_ETM</t>
        </is>
      </c>
      <c r="G306" s="8" t="inlineStr">
        <is>
          <t>Бот ETM</t>
        </is>
      </c>
      <c r="H306" s="8" t="inlineStr">
        <is>
          <t>B</t>
        </is>
      </c>
      <c r="I306" s="12" t="inlineStr">
        <is>
          <t>Поступление 149,400.00 есть в 1С, зачисления на баланс ETM нет</t>
        </is>
      </c>
      <c r="J306" s="14" t="n">
        <v>-149400</v>
      </c>
    </row>
    <row r="307">
      <c r="A307" s="8" t="inlineStr">
        <is>
          <t>Абдылдаов Д. М.</t>
        </is>
      </c>
      <c r="B307" s="21" t="n">
        <v>46099</v>
      </c>
      <c r="C307" s="8" t="inlineStr">
        <is>
          <t>1C</t>
        </is>
      </c>
      <c r="D307" s="8" t="inlineStr">
        <is>
          <t>Поступление на р/с, п/п ЦБ-С000237</t>
        </is>
      </c>
      <c r="E307" s="14" t="n">
        <v>148900</v>
      </c>
      <c r="F307" s="8" t="inlineStr">
        <is>
          <t>PAYMENT_NOT_IN_ETM</t>
        </is>
      </c>
      <c r="G307" s="8" t="inlineStr">
        <is>
          <t>Бот ETM</t>
        </is>
      </c>
      <c r="H307" s="8" t="inlineStr">
        <is>
          <t>B</t>
        </is>
      </c>
      <c r="I307" s="12" t="inlineStr">
        <is>
          <t>Поступление 148,900.00 есть в 1С, зачисления на баланс ETM нет</t>
        </is>
      </c>
      <c r="J307" s="14" t="n">
        <v>-148900</v>
      </c>
    </row>
    <row r="308">
      <c r="A308" s="8" t="inlineStr">
        <is>
          <t>Karakol Express</t>
        </is>
      </c>
      <c r="B308" s="21" t="n">
        <v>46182</v>
      </c>
      <c r="C308" s="8" t="inlineStr">
        <is>
          <t>1C</t>
        </is>
      </c>
      <c r="D308" s="8" t="inlineStr">
        <is>
          <t>Поступление на р/с, п/п ЦБ-С001456</t>
        </is>
      </c>
      <c r="E308" s="14" t="n">
        <v>148700</v>
      </c>
      <c r="F308" s="8" t="inlineStr">
        <is>
          <t>PAYMENT_NOT_IN_ETM</t>
        </is>
      </c>
      <c r="G308" s="8" t="inlineStr">
        <is>
          <t>Бот ETM</t>
        </is>
      </c>
      <c r="H308" s="8" t="inlineStr">
        <is>
          <t>B</t>
        </is>
      </c>
      <c r="I308" s="12" t="inlineStr">
        <is>
          <t>Поступление 148,700.00 есть в 1С, зачисления на баланс ETM нет</t>
        </is>
      </c>
      <c r="J308" s="14" t="n">
        <v>-148700</v>
      </c>
    </row>
    <row r="309">
      <c r="A309" s="8" t="inlineStr">
        <is>
          <t>ОсОО Иссык Тур</t>
        </is>
      </c>
      <c r="B309" s="21" t="n">
        <v>46139.5263425926</v>
      </c>
      <c r="C309" s="8" t="inlineStr">
        <is>
          <t>ETM</t>
        </is>
      </c>
      <c r="D309" s="8" t="inlineStr">
        <is>
          <t>57229588</t>
        </is>
      </c>
      <c r="E309" s="14" t="n">
        <v>148500</v>
      </c>
      <c r="F309" s="8" t="inlineStr">
        <is>
          <t>REPEATED_CREDIT</t>
        </is>
      </c>
      <c r="G309" s="8" t="inlineStr">
        <is>
          <t>Бот ETM</t>
        </is>
      </c>
      <c r="H309" s="8" t="inlineStr">
        <is>
          <t>A</t>
        </is>
      </c>
      <c r="I309" s="12" t="inlineStr">
        <is>
          <t>Оплата на 148,500.00 повторно зачислена в ETM через 23.0 ч, в 1С поступление одно</t>
        </is>
      </c>
      <c r="J309" s="14" t="n">
        <v>148500</v>
      </c>
    </row>
    <row r="310">
      <c r="A310" s="8" t="inlineStr">
        <is>
          <t>Karakol Express</t>
        </is>
      </c>
      <c r="B310" s="21" t="n">
        <v>46178.4618287037</v>
      </c>
      <c r="C310" s="8" t="inlineStr">
        <is>
          <t>ETM</t>
        </is>
      </c>
      <c r="D310" s="8" t="inlineStr">
        <is>
          <t>57335052</t>
        </is>
      </c>
      <c r="E310" s="14" t="n">
        <v>147900</v>
      </c>
      <c r="F310" s="8" t="inlineStr">
        <is>
          <t>REPEATED_CREDIT</t>
        </is>
      </c>
      <c r="G310" s="8" t="inlineStr">
        <is>
          <t>Бот ETM</t>
        </is>
      </c>
      <c r="H310" s="8" t="inlineStr">
        <is>
          <t>A</t>
        </is>
      </c>
      <c r="I310" s="12" t="inlineStr">
        <is>
          <t>Оплата на 147,900.00 повторно зачислена в ETM через 71.9 ч, в 1С поступление одно</t>
        </is>
      </c>
      <c r="J310" s="14" t="n">
        <v>147900</v>
      </c>
    </row>
    <row r="311">
      <c r="A311" s="8" t="inlineStr">
        <is>
          <t>Жолчу кызы А.</t>
        </is>
      </c>
      <c r="B311" s="21" t="n">
        <v>46139</v>
      </c>
      <c r="C311" s="8" t="inlineStr">
        <is>
          <t>1C</t>
        </is>
      </c>
      <c r="D311" s="8" t="inlineStr">
        <is>
          <t>Поступление на р/с, п/п ЦБ-С001036</t>
        </is>
      </c>
      <c r="E311" s="14" t="n">
        <v>146200</v>
      </c>
      <c r="F311" s="8" t="inlineStr">
        <is>
          <t>PAYMENT_NOT_IN_ETM</t>
        </is>
      </c>
      <c r="G311" s="8" t="inlineStr">
        <is>
          <t>Бот ETM</t>
        </is>
      </c>
      <c r="H311" s="8" t="inlineStr">
        <is>
          <t>B</t>
        </is>
      </c>
      <c r="I311" s="12" t="inlineStr">
        <is>
          <t>Поступление 146,200.00 есть в 1С, зачисления на баланс ETM нет</t>
        </is>
      </c>
      <c r="J311" s="14" t="n">
        <v>-146200</v>
      </c>
    </row>
    <row r="312">
      <c r="A312" s="8" t="inlineStr">
        <is>
          <t>ОсОО Кок-Жайык Вояж</t>
        </is>
      </c>
      <c r="B312" s="21" t="n">
        <v>46049</v>
      </c>
      <c r="C312" s="8" t="inlineStr">
        <is>
          <t>1C</t>
        </is>
      </c>
      <c r="D312" s="8" t="inlineStr">
        <is>
          <t>Поступление на р/с, п/п ЦБ-С000528</t>
        </is>
      </c>
      <c r="E312" s="14" t="n">
        <v>145800</v>
      </c>
      <c r="F312" s="8" t="inlineStr">
        <is>
          <t>PAYMENT_NOT_IN_ETM</t>
        </is>
      </c>
      <c r="G312" s="8" t="inlineStr">
        <is>
          <t>Бот ETM</t>
        </is>
      </c>
      <c r="H312" s="8" t="inlineStr">
        <is>
          <t>B</t>
        </is>
      </c>
      <c r="I312" s="12" t="inlineStr">
        <is>
          <t>Поступление 145,800.00 есть в 1С, зачисления на баланс ETM нет</t>
        </is>
      </c>
      <c r="J312" s="14" t="n">
        <v>-145800</v>
      </c>
    </row>
    <row r="313">
      <c r="A313" s="8" t="inlineStr">
        <is>
          <t>КУТ ЭЙР</t>
        </is>
      </c>
      <c r="B313" s="21" t="n">
        <v>46217</v>
      </c>
      <c r="C313" s="8" t="inlineStr">
        <is>
          <t>1C</t>
        </is>
      </c>
      <c r="D313" s="8" t="inlineStr">
        <is>
          <t>Поступление на р/с, п/п ЦБ-С002022</t>
        </is>
      </c>
      <c r="E313" s="14" t="n">
        <v>145100</v>
      </c>
      <c r="F313" s="8" t="inlineStr">
        <is>
          <t>PAYMENT_NOT_IN_ETM</t>
        </is>
      </c>
      <c r="G313" s="8" t="inlineStr">
        <is>
          <t>Бот ETM</t>
        </is>
      </c>
      <c r="H313" s="8" t="inlineStr">
        <is>
          <t>B</t>
        </is>
      </c>
      <c r="I313" s="12" t="inlineStr">
        <is>
          <t>Поступление 145,100.00 есть в 1С, зачисления на баланс ETM нет</t>
        </is>
      </c>
      <c r="J313" s="14" t="n">
        <v>-145100</v>
      </c>
    </row>
    <row r="314">
      <c r="A314" s="8" t="inlineStr">
        <is>
          <t>Джолдош уулу Эмир</t>
        </is>
      </c>
      <c r="B314" s="21" t="n">
        <v>46212</v>
      </c>
      <c r="C314" s="8" t="inlineStr">
        <is>
          <t>1C</t>
        </is>
      </c>
      <c r="D314" s="8" t="inlineStr">
        <is>
          <t>Поступление на р/с, п/п ЦБ-С001387</t>
        </is>
      </c>
      <c r="E314" s="14" t="n">
        <v>144800</v>
      </c>
      <c r="F314" s="8" t="inlineStr">
        <is>
          <t>PAYMENT_NOT_IN_ETM</t>
        </is>
      </c>
      <c r="G314" s="8" t="inlineStr">
        <is>
          <t>Бот ETM</t>
        </is>
      </c>
      <c r="H314" s="8" t="inlineStr">
        <is>
          <t>B</t>
        </is>
      </c>
      <c r="I314" s="12" t="inlineStr">
        <is>
          <t>Поступление 144,800.00 есть в 1С, зачисления на баланс ETM нет</t>
        </is>
      </c>
      <c r="J314" s="14" t="n">
        <v>-144800</v>
      </c>
    </row>
    <row r="315">
      <c r="A315" s="8" t="inlineStr">
        <is>
          <t>Джолдошова Салтанат Сатаревна</t>
        </is>
      </c>
      <c r="B315" s="21" t="n">
        <v>46056</v>
      </c>
      <c r="C315" s="8" t="inlineStr">
        <is>
          <t>1C</t>
        </is>
      </c>
      <c r="D315" s="8" t="inlineStr">
        <is>
          <t>Поступление на р/с, п/п ЦБ-С002002</t>
        </is>
      </c>
      <c r="E315" s="14" t="n">
        <v>143000</v>
      </c>
      <c r="F315" s="8" t="inlineStr">
        <is>
          <t>PAYMENT_NOT_IN_ETM</t>
        </is>
      </c>
      <c r="G315" s="8" t="inlineStr">
        <is>
          <t>Бот ETM</t>
        </is>
      </c>
      <c r="H315" s="8" t="inlineStr">
        <is>
          <t>B</t>
        </is>
      </c>
      <c r="I315" s="12" t="inlineStr">
        <is>
          <t>Поступление 143,000.00 есть в 1С, зачисления на баланс ETM нет</t>
        </is>
      </c>
      <c r="J315" s="14" t="n">
        <v>-143000</v>
      </c>
    </row>
    <row r="316">
      <c r="A316" s="8" t="inlineStr">
        <is>
          <t>КУТ ЭЙР</t>
        </is>
      </c>
      <c r="B316" s="21" t="n">
        <v>46031</v>
      </c>
      <c r="C316" s="8" t="inlineStr">
        <is>
          <t>1C</t>
        </is>
      </c>
      <c r="D316" s="8" t="inlineStr">
        <is>
          <t>Поступление на р/с, п/п ЦБ-С000005</t>
        </is>
      </c>
      <c r="E316" s="14" t="n">
        <v>141600</v>
      </c>
      <c r="F316" s="8" t="inlineStr">
        <is>
          <t>PAYMENT_NOT_IN_ETM</t>
        </is>
      </c>
      <c r="G316" s="8" t="inlineStr">
        <is>
          <t>Бот ETM</t>
        </is>
      </c>
      <c r="H316" s="8" t="inlineStr">
        <is>
          <t>B</t>
        </is>
      </c>
      <c r="I316" s="12" t="inlineStr">
        <is>
          <t>Поступление 141,600.00 есть в 1С, зачисления на баланс ETM нет</t>
        </is>
      </c>
      <c r="J316" s="14" t="n">
        <v>-141600</v>
      </c>
    </row>
    <row r="317">
      <c r="A317" s="8" t="inlineStr">
        <is>
          <t>Жибек Эйр</t>
        </is>
      </c>
      <c r="B317" s="21" t="n">
        <v>46125.56738425926</v>
      </c>
      <c r="C317" s="8" t="inlineStr">
        <is>
          <t>ETM</t>
        </is>
      </c>
      <c r="D317" s="8" t="inlineStr">
        <is>
          <t>57204240</t>
        </is>
      </c>
      <c r="E317" s="14" t="n">
        <v>138700</v>
      </c>
      <c r="F317" s="8" t="inlineStr">
        <is>
          <t>ETM_PAYMENT_IN_MISSING_ACT_MONTH</t>
        </is>
      </c>
      <c r="G317" s="8" t="inlineStr">
        <is>
          <t>Выгрузка 1С</t>
        </is>
      </c>
      <c r="H317" s="8" t="inlineStr">
        <is>
          <t>B</t>
        </is>
      </c>
      <c r="I317" s="12" t="inlineStr">
        <is>
          <t>Оплата есть в ETM, акт 1С за месяц не выгружен</t>
        </is>
      </c>
      <c r="J317" s="14" t="n">
        <v>138700</v>
      </c>
    </row>
    <row r="318">
      <c r="A318" s="8" t="inlineStr">
        <is>
          <t>КУТ ЭЙР</t>
        </is>
      </c>
      <c r="B318" s="21" t="n">
        <v>46088</v>
      </c>
      <c r="C318" s="8" t="inlineStr">
        <is>
          <t>1C</t>
        </is>
      </c>
      <c r="D318" s="8" t="inlineStr">
        <is>
          <t>Поступление на р/с, п/п ЦБ-С000887</t>
        </is>
      </c>
      <c r="E318" s="14" t="n">
        <v>136700</v>
      </c>
      <c r="F318" s="8" t="inlineStr">
        <is>
          <t>PAYMENT_NOT_IN_ETM</t>
        </is>
      </c>
      <c r="G318" s="8" t="inlineStr">
        <is>
          <t>Бот ETM</t>
        </is>
      </c>
      <c r="H318" s="8" t="inlineStr">
        <is>
          <t>B</t>
        </is>
      </c>
      <c r="I318" s="12" t="inlineStr">
        <is>
          <t>Поступление 136,700.00 есть в 1С, зачисления на баланс ETM нет</t>
        </is>
      </c>
      <c r="J318" s="14" t="n">
        <v>-136700</v>
      </c>
    </row>
    <row r="319">
      <c r="A319" s="8" t="inlineStr">
        <is>
          <t>Джолдошова Салтанат Сатаревна</t>
        </is>
      </c>
      <c r="B319" s="21" t="n">
        <v>46028</v>
      </c>
      <c r="C319" s="8" t="inlineStr">
        <is>
          <t>1C</t>
        </is>
      </c>
      <c r="D319" s="8" t="inlineStr">
        <is>
          <t>Поступление на р/с, п/п ЦБ-С000435</t>
        </is>
      </c>
      <c r="E319" s="14" t="n">
        <v>135200</v>
      </c>
      <c r="F319" s="8" t="inlineStr">
        <is>
          <t>PAYMENT_NOT_IN_ETM</t>
        </is>
      </c>
      <c r="G319" s="8" t="inlineStr">
        <is>
          <t>Бот ETM</t>
        </is>
      </c>
      <c r="H319" s="8" t="inlineStr">
        <is>
          <t>B</t>
        </is>
      </c>
      <c r="I319" s="12" t="inlineStr">
        <is>
          <t>Поступление 135,200.00 есть в 1С, зачисления на баланс ETM нет</t>
        </is>
      </c>
      <c r="J319" s="14" t="n">
        <v>-135200</v>
      </c>
    </row>
    <row r="320">
      <c r="A320" s="8" t="inlineStr">
        <is>
          <t>Karakol Express</t>
        </is>
      </c>
      <c r="B320" s="21" t="n">
        <v>46120</v>
      </c>
      <c r="C320" s="8" t="inlineStr">
        <is>
          <t>1C</t>
        </is>
      </c>
      <c r="D320" s="8" t="inlineStr">
        <is>
          <t>Поступление на р/с, п/п ЦБ-С000590</t>
        </is>
      </c>
      <c r="E320" s="14" t="n">
        <v>134800</v>
      </c>
      <c r="F320" s="8" t="inlineStr">
        <is>
          <t>PAYMENT_NOT_IN_ETM</t>
        </is>
      </c>
      <c r="G320" s="8" t="inlineStr">
        <is>
          <t>Бот ETM</t>
        </is>
      </c>
      <c r="H320" s="8" t="inlineStr">
        <is>
          <t>B</t>
        </is>
      </c>
      <c r="I320" s="12" t="inlineStr">
        <is>
          <t>Поступление 134,800.00 есть в 1С, зачисления на баланс ETM нет</t>
        </is>
      </c>
      <c r="J320" s="14" t="n">
        <v>-134800</v>
      </c>
    </row>
    <row r="321">
      <c r="A321" s="8" t="inlineStr">
        <is>
          <t>Абдылдаов Д. М.</t>
        </is>
      </c>
      <c r="B321" s="21" t="n">
        <v>46040</v>
      </c>
      <c r="C321" s="8" t="inlineStr">
        <is>
          <t>1C</t>
        </is>
      </c>
      <c r="D321" s="8" t="inlineStr">
        <is>
          <t>Приход в кассу ЦБ-С001369</t>
        </is>
      </c>
      <c r="E321" s="14" t="n">
        <v>134600</v>
      </c>
      <c r="F321" s="8" t="inlineStr">
        <is>
          <t>PAYMENT_NOT_IN_ETM</t>
        </is>
      </c>
      <c r="G321" s="8" t="inlineStr">
        <is>
          <t>Бот ETM</t>
        </is>
      </c>
      <c r="H321" s="8" t="inlineStr">
        <is>
          <t>B</t>
        </is>
      </c>
      <c r="I321" s="12" t="inlineStr">
        <is>
          <t>Поступление 134,600.00 есть в 1С, зачисления на баланс ETM нет</t>
        </is>
      </c>
      <c r="J321" s="14" t="n">
        <v>-134600</v>
      </c>
    </row>
    <row r="322">
      <c r="A322" s="8" t="inlineStr">
        <is>
          <t>Karakol Express</t>
        </is>
      </c>
      <c r="B322" s="21" t="n">
        <v>46036.37393518518</v>
      </c>
      <c r="C322" s="8" t="inlineStr">
        <is>
          <t>ETM</t>
        </is>
      </c>
      <c r="D322" s="8" t="inlineStr">
        <is>
          <t>57019147</t>
        </is>
      </c>
      <c r="E322" s="14" t="n">
        <v>133600</v>
      </c>
      <c r="F322" s="8" t="inlineStr">
        <is>
          <t>REPEATED_CREDIT</t>
        </is>
      </c>
      <c r="G322" s="8" t="inlineStr">
        <is>
          <t>Бот ETM</t>
        </is>
      </c>
      <c r="H322" s="8" t="inlineStr">
        <is>
          <t>A</t>
        </is>
      </c>
      <c r="I322" s="12" t="inlineStr">
        <is>
          <t>Оплата на 133,600.00 повторно зачислена в ETM через 67.7 ч, в 1С поступление одно</t>
        </is>
      </c>
      <c r="J322" s="14" t="n">
        <v>133600</v>
      </c>
    </row>
    <row r="323">
      <c r="A323" s="8" t="inlineStr">
        <is>
          <t>Blue Bird Travel</t>
        </is>
      </c>
      <c r="B323" s="21" t="n">
        <v>46155.76694444445</v>
      </c>
      <c r="C323" s="8" t="inlineStr">
        <is>
          <t>ETM</t>
        </is>
      </c>
      <c r="D323" s="8" t="inlineStr">
        <is>
          <t>57278370</t>
        </is>
      </c>
      <c r="E323" s="14" t="n">
        <v>125700</v>
      </c>
      <c r="F323" s="8" t="inlineStr">
        <is>
          <t>REPEATED_CREDIT</t>
        </is>
      </c>
      <c r="G323" s="8" t="inlineStr">
        <is>
          <t>Бот ETM</t>
        </is>
      </c>
      <c r="H323" s="8" t="inlineStr">
        <is>
          <t>A</t>
        </is>
      </c>
      <c r="I323" s="12" t="inlineStr">
        <is>
          <t>Оплата на 125,700.00 повторно зачислена в ETM через 4.8 ч, в 1С поступление одно</t>
        </is>
      </c>
      <c r="J323" s="14" t="n">
        <v>125700</v>
      </c>
    </row>
    <row r="324">
      <c r="A324" s="8" t="inlineStr">
        <is>
          <t>Эсенбеков Кубат Элдияревич</t>
        </is>
      </c>
      <c r="B324" s="21" t="n">
        <v>46095</v>
      </c>
      <c r="C324" s="8" t="inlineStr">
        <is>
          <t>1C</t>
        </is>
      </c>
      <c r="D324" s="8" t="inlineStr">
        <is>
          <t>Поступление на р/с, п/п ЦБ-С001906</t>
        </is>
      </c>
      <c r="E324" s="14" t="n">
        <v>125400</v>
      </c>
      <c r="F324" s="8" t="inlineStr">
        <is>
          <t>PAYMENT_NOT_IN_ETM</t>
        </is>
      </c>
      <c r="G324" s="8" t="inlineStr">
        <is>
          <t>Бот ETM</t>
        </is>
      </c>
      <c r="H324" s="8" t="inlineStr">
        <is>
          <t>B</t>
        </is>
      </c>
      <c r="I324" s="12" t="inlineStr">
        <is>
          <t>Поступление 125,400.00 есть в 1С, зачисления на баланс ETM нет</t>
        </is>
      </c>
      <c r="J324" s="14" t="n">
        <v>-125400</v>
      </c>
    </row>
    <row r="325">
      <c r="A325" s="8" t="inlineStr">
        <is>
          <t>Жибек Эйр</t>
        </is>
      </c>
      <c r="B325" s="21" t="n">
        <v>46139.36429398148</v>
      </c>
      <c r="C325" s="8" t="inlineStr">
        <is>
          <t>ETM</t>
        </is>
      </c>
      <c r="D325" s="8" t="inlineStr">
        <is>
          <t>57231329</t>
        </is>
      </c>
      <c r="E325" s="14" t="n">
        <v>123600</v>
      </c>
      <c r="F325" s="8" t="inlineStr">
        <is>
          <t>ETM_PAYMENT_IN_MISSING_ACT_MONTH</t>
        </is>
      </c>
      <c r="G325" s="8" t="inlineStr">
        <is>
          <t>Выгрузка 1С</t>
        </is>
      </c>
      <c r="H325" s="8" t="inlineStr">
        <is>
          <t>B</t>
        </is>
      </c>
      <c r="I325" s="12" t="inlineStr">
        <is>
          <t>Оплата есть в ETM, акт 1С за месяц не выгружен</t>
        </is>
      </c>
      <c r="J325" s="14" t="n">
        <v>123600</v>
      </c>
    </row>
    <row r="326">
      <c r="A326" s="8" t="inlineStr">
        <is>
          <t>Ыйык Авиакасса</t>
        </is>
      </c>
      <c r="B326" s="21" t="n">
        <v>46069</v>
      </c>
      <c r="C326" s="8" t="inlineStr">
        <is>
          <t>1C</t>
        </is>
      </c>
      <c r="D326" s="8" t="inlineStr">
        <is>
          <t>Поступление на р/с, п/п ЦБ-С001192</t>
        </is>
      </c>
      <c r="E326" s="14" t="n">
        <v>122500</v>
      </c>
      <c r="F326" s="8" t="inlineStr">
        <is>
          <t>PAYMENT_NOT_IN_ETM</t>
        </is>
      </c>
      <c r="G326" s="8" t="inlineStr">
        <is>
          <t>Бот ETM</t>
        </is>
      </c>
      <c r="H326" s="8" t="inlineStr">
        <is>
          <t>B</t>
        </is>
      </c>
      <c r="I326" s="12" t="inlineStr">
        <is>
          <t>Поступление 122,500.00 есть в 1С, зачисления на баланс ETM нет</t>
        </is>
      </c>
      <c r="J326" s="14" t="n">
        <v>-122500</v>
      </c>
    </row>
    <row r="327">
      <c r="A327" s="8" t="inlineStr">
        <is>
          <t>МУРАС ТРИП</t>
        </is>
      </c>
      <c r="B327" s="21" t="n">
        <v>46034</v>
      </c>
      <c r="C327" s="8" t="inlineStr">
        <is>
          <t>1C</t>
        </is>
      </c>
      <c r="D327" s="8" t="inlineStr">
        <is>
          <t>Поступление на р/с, п/п ЦБ-С001934</t>
        </is>
      </c>
      <c r="E327" s="14" t="n">
        <v>120000</v>
      </c>
      <c r="F327" s="8" t="inlineStr">
        <is>
          <t>PAYMENT_NOT_IN_ETM</t>
        </is>
      </c>
      <c r="G327" s="8" t="inlineStr">
        <is>
          <t>Бот ETM</t>
        </is>
      </c>
      <c r="H327" s="8" t="inlineStr">
        <is>
          <t>B</t>
        </is>
      </c>
      <c r="I327" s="12" t="inlineStr">
        <is>
          <t>Поступление 120,000.00 есть в 1С, зачисления на баланс ETM нет</t>
        </is>
      </c>
      <c r="J327" s="14" t="n">
        <v>-120000</v>
      </c>
    </row>
    <row r="328">
      <c r="A328" s="8" t="inlineStr">
        <is>
          <t>Karakol Express</t>
        </is>
      </c>
      <c r="B328" s="21" t="n">
        <v>46136</v>
      </c>
      <c r="C328" s="8" t="inlineStr">
        <is>
          <t>1C</t>
        </is>
      </c>
      <c r="D328" s="8" t="inlineStr">
        <is>
          <t>Приход в кассу ЦБ-С001521</t>
        </is>
      </c>
      <c r="E328" s="14" t="n">
        <v>116700</v>
      </c>
      <c r="F328" s="8" t="inlineStr">
        <is>
          <t>PAYMENT_NOT_IN_ETM</t>
        </is>
      </c>
      <c r="G328" s="8" t="inlineStr">
        <is>
          <t>Бот ETM</t>
        </is>
      </c>
      <c r="H328" s="8" t="inlineStr">
        <is>
          <t>B</t>
        </is>
      </c>
      <c r="I328" s="12" t="inlineStr">
        <is>
          <t>Поступление 116,700.00 есть в 1С, зачисления на баланс ETM нет</t>
        </is>
      </c>
      <c r="J328" s="14" t="n">
        <v>-116700</v>
      </c>
    </row>
    <row r="329">
      <c r="A329" s="8" t="inlineStr">
        <is>
          <t>ЫЙЫК ЭКСПРЕСС</t>
        </is>
      </c>
      <c r="B329" s="21" t="n">
        <v>46117</v>
      </c>
      <c r="C329" s="8" t="inlineStr">
        <is>
          <t>1C</t>
        </is>
      </c>
      <c r="D329" s="8" t="inlineStr">
        <is>
          <t>Приход в кассу ЦБ-С001121</t>
        </is>
      </c>
      <c r="E329" s="14" t="n">
        <v>106600</v>
      </c>
      <c r="F329" s="8" t="inlineStr">
        <is>
          <t>PAYMENT_NOT_IN_ETM</t>
        </is>
      </c>
      <c r="G329" s="8" t="inlineStr">
        <is>
          <t>Бот ETM</t>
        </is>
      </c>
      <c r="H329" s="8" t="inlineStr">
        <is>
          <t>B</t>
        </is>
      </c>
      <c r="I329" s="12" t="inlineStr">
        <is>
          <t>Поступление 106,600.00 есть в 1С, зачисления на баланс ETM нет</t>
        </is>
      </c>
      <c r="J329" s="14" t="n">
        <v>-106600</v>
      </c>
    </row>
    <row r="330">
      <c r="A330" s="8" t="inlineStr">
        <is>
          <t>Сатар уулу Санжар</t>
        </is>
      </c>
      <c r="B330" s="21" t="n">
        <v>46192.46143518519</v>
      </c>
      <c r="C330" s="8" t="inlineStr">
        <is>
          <t>ETM</t>
        </is>
      </c>
      <c r="D330" s="8" t="inlineStr">
        <is>
          <t>57379713</t>
        </is>
      </c>
      <c r="E330" s="14" t="n">
        <v>103300</v>
      </c>
      <c r="F330" s="8" t="inlineStr">
        <is>
          <t>ETM_PAYMENT_IN_MISSING_ACT_MONTH</t>
        </is>
      </c>
      <c r="G330" s="8" t="inlineStr">
        <is>
          <t>Выгрузка 1С</t>
        </is>
      </c>
      <c r="H330" s="8" t="inlineStr">
        <is>
          <t>B</t>
        </is>
      </c>
      <c r="I330" s="12" t="inlineStr">
        <is>
          <t>Оплата есть в ETM, акт 1С за месяц не выгружен</t>
        </is>
      </c>
      <c r="J330" s="14" t="n">
        <v>103300</v>
      </c>
    </row>
    <row r="331">
      <c r="A331" s="8" t="inlineStr">
        <is>
          <t>Чынарова Бурул Джолдошовна</t>
        </is>
      </c>
      <c r="B331" s="21" t="n">
        <v>46148</v>
      </c>
      <c r="C331" s="8" t="inlineStr">
        <is>
          <t>1C</t>
        </is>
      </c>
      <c r="D331" s="8" t="inlineStr">
        <is>
          <t>Поступление на р/с, п/п ЦБ-С000048</t>
        </is>
      </c>
      <c r="E331" s="14" t="n">
        <v>95000</v>
      </c>
      <c r="F331" s="8" t="inlineStr">
        <is>
          <t>PAYMENT_NOT_IN_ETM</t>
        </is>
      </c>
      <c r="G331" s="8" t="inlineStr">
        <is>
          <t>Бот ETM</t>
        </is>
      </c>
      <c r="H331" s="8" t="inlineStr">
        <is>
          <t>B</t>
        </is>
      </c>
      <c r="I331" s="12" t="inlineStr">
        <is>
          <t>Поступление 95,000.00 есть в 1С, зачисления на баланс ETM нет</t>
        </is>
      </c>
      <c r="J331" s="14" t="n">
        <v>-95000</v>
      </c>
    </row>
  </sheetData>
  <autoFilter ref="A3:J3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45" customWidth="1" min="3" max="3"/>
    <col width="21" customWidth="1" min="4" max="4"/>
    <col width="11" customWidth="1" min="5" max="5"/>
    <col width="90" customWidth="1" min="6" max="6"/>
  </cols>
  <sheetData>
    <row r="1">
      <c r="A1" s="1" t="inlineStr">
        <is>
          <t>Повторные операции и аномалии (67 шт.)</t>
        </is>
      </c>
    </row>
    <row r="3" ht="42" customHeight="1">
      <c r="A3" s="13" t="inlineStr">
        <is>
          <t>Тип</t>
        </is>
      </c>
      <c r="B3" s="13" t="inlineStr">
        <is>
          <t>Субагент</t>
        </is>
      </c>
      <c r="C3" s="13" t="inlineStr">
        <is>
          <t>Билеты/документ</t>
        </is>
      </c>
      <c r="D3" s="13" t="inlineStr">
        <is>
          <t>Дата</t>
        </is>
      </c>
      <c r="E3" s="13" t="inlineStr">
        <is>
          <t>Сумма, KGS</t>
        </is>
      </c>
      <c r="F3" s="13" t="inlineStr">
        <is>
          <t>Описание</t>
        </is>
      </c>
    </row>
    <row r="4">
      <c r="A4" s="8" t="inlineStr">
        <is>
          <t>Повторная оплата</t>
        </is>
      </c>
      <c r="B4" s="8" t="inlineStr">
        <is>
          <t>Ak-Bulak Voyage</t>
        </is>
      </c>
      <c r="C4" s="8" t="inlineStr">
        <is>
          <t>57174246</t>
        </is>
      </c>
      <c r="D4" s="21" t="n">
        <v>46109.45483796296</v>
      </c>
      <c r="E4" s="14" t="n">
        <v>562800</v>
      </c>
      <c r="F4" s="12" t="inlineStr">
        <is>
          <t>Оплата на 562,800.00 повторно зачислена в ETM через 21.4 ч, в 1С поступление одно</t>
        </is>
      </c>
    </row>
    <row r="5">
      <c r="A5" s="8" t="inlineStr">
        <is>
          <t>Повторная оплата</t>
        </is>
      </c>
      <c r="B5" s="8" t="inlineStr">
        <is>
          <t>Ыйык Тур</t>
        </is>
      </c>
      <c r="C5" s="8" t="inlineStr">
        <is>
          <t>57021400</t>
        </is>
      </c>
      <c r="D5" s="21" t="n">
        <v>46035.53916666667</v>
      </c>
      <c r="E5" s="14" t="n">
        <v>529600</v>
      </c>
      <c r="F5" s="12" t="inlineStr">
        <is>
          <t>Оплата на 529,600.00 повторно зачислена в ETM через 23.7 ч, в 1С поступление одно</t>
        </is>
      </c>
    </row>
    <row r="6">
      <c r="A6" s="8" t="inlineStr">
        <is>
          <t>Повторная оплата</t>
        </is>
      </c>
      <c r="B6" s="8" t="inlineStr">
        <is>
          <t>SkyWay Travel</t>
        </is>
      </c>
      <c r="C6" s="8" t="inlineStr">
        <is>
          <t>57419271</t>
        </is>
      </c>
      <c r="D6" s="21" t="n">
        <v>46206.6140162037</v>
      </c>
      <c r="E6" s="14" t="n">
        <v>410800</v>
      </c>
      <c r="F6" s="12" t="inlineStr">
        <is>
          <t>Оплата на 410,800.00 повторно зачислена в ETM через 30.7 ч, в 1С поступление одно</t>
        </is>
      </c>
    </row>
    <row r="7">
      <c r="A7" s="8" t="inlineStr">
        <is>
          <t>Повторная оплата</t>
        </is>
      </c>
      <c r="B7" s="8" t="inlineStr">
        <is>
          <t>ИП Бейшенова Д. О.</t>
        </is>
      </c>
      <c r="C7" s="8" t="inlineStr">
        <is>
          <t>57117017</t>
        </is>
      </c>
      <c r="D7" s="21" t="n">
        <v>46083.76814814815</v>
      </c>
      <c r="E7" s="14" t="n">
        <v>388600</v>
      </c>
      <c r="F7" s="12" t="inlineStr">
        <is>
          <t>Оплата на 388,600.00 повторно зачислена в ETM через 8.1 ч, в 1С поступление одно</t>
        </is>
      </c>
    </row>
    <row r="8">
      <c r="A8" s="8" t="inlineStr">
        <is>
          <t>Повторная оплата</t>
        </is>
      </c>
      <c r="B8" s="8" t="inlineStr">
        <is>
          <t>Сатар уулу Санжар</t>
        </is>
      </c>
      <c r="C8" s="8" t="inlineStr">
        <is>
          <t>57493417</t>
        </is>
      </c>
      <c r="D8" s="21" t="n">
        <v>46232.70319444445</v>
      </c>
      <c r="E8" s="14" t="n">
        <v>375900</v>
      </c>
      <c r="F8" s="12" t="inlineStr">
        <is>
          <t>Оплата на 375,900.00 повторно зачислена в ETM через 29.0 ч, в 1С поступление одно</t>
        </is>
      </c>
    </row>
    <row r="9">
      <c r="A9" s="8" t="inlineStr">
        <is>
          <t>Повторная оплата</t>
        </is>
      </c>
      <c r="B9" s="8" t="inlineStr">
        <is>
          <t>Ак-Куу Авиа</t>
        </is>
      </c>
      <c r="C9" s="8" t="inlineStr">
        <is>
          <t>57070163</t>
        </is>
      </c>
      <c r="D9" s="21" t="n">
        <v>46056.80211805556</v>
      </c>
      <c r="E9" s="14" t="n">
        <v>365100</v>
      </c>
      <c r="F9" s="12" t="inlineStr">
        <is>
          <t>Оплата на 365,100.00 повторно зачислена в ETM через 3.1 ч, в 1С поступление одно</t>
        </is>
      </c>
    </row>
    <row r="10">
      <c r="A10" s="8" t="inlineStr">
        <is>
          <t>Повторная оплата</t>
        </is>
      </c>
      <c r="B10" s="8" t="inlineStr">
        <is>
          <t>ИССЫК ТРИП</t>
        </is>
      </c>
      <c r="C10" s="8" t="inlineStr">
        <is>
          <t>57300423</t>
        </is>
      </c>
      <c r="D10" s="21" t="n">
        <v>46162.64026620371</v>
      </c>
      <c r="E10" s="14" t="n">
        <v>347500</v>
      </c>
      <c r="F10" s="12" t="inlineStr">
        <is>
          <t>Оплата на 347,500.00 повторно зачислена в ETM через 5.7 ч, в 1С поступление одно</t>
        </is>
      </c>
    </row>
    <row r="11">
      <c r="A11" s="8" t="inlineStr">
        <is>
          <t>Повторная оплата</t>
        </is>
      </c>
      <c r="B11" s="8" t="inlineStr">
        <is>
          <t>ЧОЛПОН ЭЙР</t>
        </is>
      </c>
      <c r="C11" s="8" t="inlineStr">
        <is>
          <t>57278297</t>
        </is>
      </c>
      <c r="D11" s="21" t="n">
        <v>46155.79525462963</v>
      </c>
      <c r="E11" s="14" t="n">
        <v>335700</v>
      </c>
      <c r="F11" s="12" t="inlineStr">
        <is>
          <t>Оплата на 335,700.00 повторно зачислена в ETM через 10.0 ч, в 1С поступление одно</t>
        </is>
      </c>
    </row>
    <row r="12">
      <c r="A12" s="8" t="inlineStr">
        <is>
          <t>Повторная оплата</t>
        </is>
      </c>
      <c r="B12" s="8" t="inlineStr">
        <is>
          <t>Абдылда уулу Б.</t>
        </is>
      </c>
      <c r="C12" s="8" t="inlineStr">
        <is>
          <t>57075810</t>
        </is>
      </c>
      <c r="D12" s="21" t="n">
        <v>46060.68043981482</v>
      </c>
      <c r="E12" s="14" t="n">
        <v>331500</v>
      </c>
      <c r="F12" s="12" t="inlineStr">
        <is>
          <t>Оплата на 331,500.00 повторно зачислена в ETM через 23.8 ч, в 1С поступление одно</t>
        </is>
      </c>
    </row>
    <row r="13">
      <c r="A13" s="8" t="inlineStr">
        <is>
          <t>Повторная оплата</t>
        </is>
      </c>
      <c r="B13" s="8" t="inlineStr">
        <is>
          <t>Тянь-Шань Тур</t>
        </is>
      </c>
      <c r="C13" s="8" t="inlineStr">
        <is>
          <t>57433087</t>
        </is>
      </c>
      <c r="D13" s="21" t="n">
        <v>46210.62561342592</v>
      </c>
      <c r="E13" s="14" t="n">
        <v>288600</v>
      </c>
      <c r="F13" s="12" t="inlineStr">
        <is>
          <t>Оплата на 288,600.00 повторно зачислена в ETM через 22.2 ч, в 1С поступление одно</t>
        </is>
      </c>
    </row>
    <row r="14">
      <c r="A14" s="8" t="inlineStr">
        <is>
          <t>Повторная оплата</t>
        </is>
      </c>
      <c r="B14" s="8" t="inlineStr">
        <is>
          <t>Жибек Эйр</t>
        </is>
      </c>
      <c r="C14" s="8" t="inlineStr">
        <is>
          <t>57042021</t>
        </is>
      </c>
      <c r="D14" s="21" t="n">
        <v>46044.67346064815</v>
      </c>
      <c r="E14" s="14" t="n">
        <v>249400</v>
      </c>
      <c r="F14" s="12" t="inlineStr">
        <is>
          <t>Оплата на 249,400.00 повторно зачислена в ETM через 29.7 ч, в 1С поступление одно</t>
        </is>
      </c>
    </row>
    <row r="15">
      <c r="A15" s="8" t="inlineStr">
        <is>
          <t>Повторная оплата</t>
        </is>
      </c>
      <c r="B15" s="8" t="inlineStr">
        <is>
          <t>Ыйык Тур</t>
        </is>
      </c>
      <c r="C15" s="8" t="inlineStr">
        <is>
          <t>57240708</t>
        </is>
      </c>
      <c r="D15" s="21" t="n">
        <v>46144.36767361111</v>
      </c>
      <c r="E15" s="14" t="n">
        <v>245400</v>
      </c>
      <c r="F15" s="12" t="inlineStr">
        <is>
          <t>Оплата на 245,400.00 повторно зачислена в ETM через 21.2 ч, в 1С поступление одно</t>
        </is>
      </c>
    </row>
    <row r="16">
      <c r="A16" s="8" t="inlineStr">
        <is>
          <t>Повторная оплата</t>
        </is>
      </c>
      <c r="B16" s="8" t="inlineStr">
        <is>
          <t>ЫЙЫК ЭКСПРЕСС</t>
        </is>
      </c>
      <c r="C16" s="8" t="inlineStr">
        <is>
          <t>57002416</t>
        </is>
      </c>
      <c r="D16" s="21" t="n">
        <v>46025.81289351852</v>
      </c>
      <c r="E16" s="14" t="n">
        <v>237400</v>
      </c>
      <c r="F16" s="12" t="inlineStr">
        <is>
          <t>Оплата на 237,400.00 повторно зачислена в ETM через 32.9 ч, в 1С поступление одно</t>
        </is>
      </c>
    </row>
    <row r="17">
      <c r="A17" s="8" t="inlineStr">
        <is>
          <t>Повторная оплата</t>
        </is>
      </c>
      <c r="B17" s="8" t="inlineStr">
        <is>
          <t>Karakol Express</t>
        </is>
      </c>
      <c r="C17" s="8" t="inlineStr">
        <is>
          <t>57062765</t>
        </is>
      </c>
      <c r="D17" s="21" t="n">
        <v>46053.61438657407</v>
      </c>
      <c r="E17" s="14" t="n">
        <v>223100</v>
      </c>
      <c r="F17" s="12" t="inlineStr">
        <is>
          <t>Оплата на 223,100.00 повторно зачислена в ETM через 21.1 ч, в 1С поступление одно</t>
        </is>
      </c>
    </row>
    <row r="18">
      <c r="A18" s="8" t="inlineStr">
        <is>
          <t>Повторная оплата</t>
        </is>
      </c>
      <c r="B18" s="8" t="inlineStr">
        <is>
          <t>ТАЛАС ЭЙР</t>
        </is>
      </c>
      <c r="C18" s="8" t="inlineStr">
        <is>
          <t>57462731</t>
        </is>
      </c>
      <c r="D18" s="21" t="n">
        <v>46222.71146990741</v>
      </c>
      <c r="E18" s="14" t="n">
        <v>205400</v>
      </c>
      <c r="F18" s="12" t="inlineStr">
        <is>
          <t>Оплата на 205,400.00 повторно зачислена в ETM через 69.5 ч, в 1С поступление одно</t>
        </is>
      </c>
    </row>
    <row r="19">
      <c r="A19" s="8" t="inlineStr">
        <is>
          <t>Повторная оплата</t>
        </is>
      </c>
      <c r="B19" s="8" t="inlineStr">
        <is>
          <t>Салам Экспресс</t>
        </is>
      </c>
      <c r="C19" s="8" t="inlineStr">
        <is>
          <t>57101228</t>
        </is>
      </c>
      <c r="D19" s="21" t="n">
        <v>46075.51982638889</v>
      </c>
      <c r="E19" s="14" t="n">
        <v>200300</v>
      </c>
      <c r="F19" s="12" t="inlineStr">
        <is>
          <t>Оплата на 200,300.00 повторно зачислена в ETM через 28.2 ч, в 1С поступление одно</t>
        </is>
      </c>
    </row>
    <row r="20">
      <c r="A20" s="8" t="inlineStr">
        <is>
          <t>Повторная оплата</t>
        </is>
      </c>
      <c r="B20" s="8" t="inlineStr">
        <is>
          <t>ОсОО Ала-Тоо Эйр</t>
        </is>
      </c>
      <c r="C20" s="8" t="inlineStr">
        <is>
          <t>57238401</t>
        </is>
      </c>
      <c r="D20" s="21" t="n">
        <v>46143.7166087963</v>
      </c>
      <c r="E20" s="14" t="n">
        <v>188800</v>
      </c>
      <c r="F20" s="12" t="inlineStr">
        <is>
          <t>Оплата на 188,800.00 повторно зачислена в ETM через 22.2 ч, в 1С поступление одно</t>
        </is>
      </c>
    </row>
    <row r="21">
      <c r="A21" s="8" t="inlineStr">
        <is>
          <t>Оплата не тому субагенту</t>
        </is>
      </c>
      <c r="B21" s="8" t="inlineStr">
        <is>
          <t>Урматов Эрлан Сагынович</t>
        </is>
      </c>
      <c r="C21" s="8" t="inlineStr">
        <is>
          <t>Поступление на р/с, п/п ЦБ-С002346</t>
        </is>
      </c>
      <c r="D21" s="21" t="n">
        <v>46135</v>
      </c>
      <c r="E21" s="14" t="n">
        <v>185000</v>
      </c>
      <c r="F21" s="12" t="inlineStr">
        <is>
          <t>Поступление 185,000.00 по 1С у этого субагента, в ETM такая оплата зачислена субагенту «Сатар уулу Санжар»</t>
        </is>
      </c>
    </row>
    <row r="22">
      <c r="A22" s="8" t="inlineStr">
        <is>
          <t>Оплата не тому субагенту</t>
        </is>
      </c>
      <c r="B22" s="8" t="inlineStr">
        <is>
          <t>Сатар уулу Санжар</t>
        </is>
      </c>
      <c r="C22" s="8" t="inlineStr">
        <is>
          <t>57218683</t>
        </is>
      </c>
      <c r="D22" s="21" t="n">
        <v>46133.73591435186</v>
      </c>
      <c r="E22" s="14" t="n">
        <v>185000</v>
      </c>
      <c r="F22" s="12" t="inlineStr">
        <is>
          <t>Оплата 185,000.00 зачислена в ETM этому субагенту, а в 1С поступление проведено другому — вероятно, бот зачислил не тому</t>
        </is>
      </c>
    </row>
    <row r="23">
      <c r="A23" s="8" t="inlineStr">
        <is>
          <t>Повторная оплата</t>
        </is>
      </c>
      <c r="B23" s="8" t="inlineStr">
        <is>
          <t>Салам Авиакасса</t>
        </is>
      </c>
      <c r="C23" s="8" t="inlineStr">
        <is>
          <t>57078361</t>
        </is>
      </c>
      <c r="D23" s="21" t="n">
        <v>46061.68164351852</v>
      </c>
      <c r="E23" s="14" t="n">
        <v>175700</v>
      </c>
      <c r="F23" s="12" t="inlineStr">
        <is>
          <t>Оплата на 175,700.00 повторно зачислена в ETM через 1.6 ч, в 1С поступление одно</t>
        </is>
      </c>
    </row>
    <row r="24">
      <c r="A24" s="8" t="inlineStr">
        <is>
          <t>Повторная оплата</t>
        </is>
      </c>
      <c r="B24" s="8" t="inlineStr">
        <is>
          <t>Ыйык Авиакасса</t>
        </is>
      </c>
      <c r="C24" s="8" t="inlineStr">
        <is>
          <t>57358175</t>
        </is>
      </c>
      <c r="D24" s="21" t="n">
        <v>46187.42826388889</v>
      </c>
      <c r="E24" s="14" t="n">
        <v>171900</v>
      </c>
      <c r="F24" s="12" t="inlineStr">
        <is>
          <t>Оплата на 171,900.00 повторно зачислена в ETM через 64.9 ч, в 1С поступление одно</t>
        </is>
      </c>
    </row>
    <row r="25">
      <c r="A25" s="8" t="inlineStr">
        <is>
          <t>Повторная оплата</t>
        </is>
      </c>
      <c r="B25" s="8" t="inlineStr">
        <is>
          <t>ОсОО Иссык Тур</t>
        </is>
      </c>
      <c r="C25" s="8" t="inlineStr">
        <is>
          <t>57341819</t>
        </is>
      </c>
      <c r="D25" s="21" t="n">
        <v>46178.80561342592</v>
      </c>
      <c r="E25" s="14" t="n">
        <v>170800</v>
      </c>
      <c r="F25" s="12" t="inlineStr">
        <is>
          <t>Оплата на 170,800.00 повторно зачислена в ETM через 6.3 ч, в 1С поступление одно</t>
        </is>
      </c>
    </row>
    <row r="26">
      <c r="A26" s="8" t="inlineStr">
        <is>
          <t>Повторная оплата</t>
        </is>
      </c>
      <c r="B26" s="8" t="inlineStr">
        <is>
          <t>Бирлик Трип</t>
        </is>
      </c>
      <c r="C26" s="8" t="inlineStr">
        <is>
          <t>57124268</t>
        </is>
      </c>
      <c r="D26" s="21" t="n">
        <v>46089.60690972222</v>
      </c>
      <c r="E26" s="14" t="n">
        <v>160400</v>
      </c>
      <c r="F26" s="12" t="inlineStr">
        <is>
          <t>Оплата на 160,400.00 повторно зачислена в ETM через 69.1 ч, в 1С поступление одно</t>
        </is>
      </c>
    </row>
    <row r="27">
      <c r="A27" s="8" t="inlineStr">
        <is>
          <t>Повторная оплата</t>
        </is>
      </c>
      <c r="B27" s="8" t="inlineStr">
        <is>
          <t>ОсОО Иссык Тур</t>
        </is>
      </c>
      <c r="C27" s="8" t="inlineStr">
        <is>
          <t>57229588</t>
        </is>
      </c>
      <c r="D27" s="21" t="n">
        <v>46139.5263425926</v>
      </c>
      <c r="E27" s="14" t="n">
        <v>148500</v>
      </c>
      <c r="F27" s="12" t="inlineStr">
        <is>
          <t>Оплата на 148,500.00 повторно зачислена в ETM через 23.0 ч, в 1С поступление одно</t>
        </is>
      </c>
    </row>
    <row r="28">
      <c r="A28" s="8" t="inlineStr">
        <is>
          <t>Повторная оплата</t>
        </is>
      </c>
      <c r="B28" s="8" t="inlineStr">
        <is>
          <t>Karakol Express</t>
        </is>
      </c>
      <c r="C28" s="8" t="inlineStr">
        <is>
          <t>57335052</t>
        </is>
      </c>
      <c r="D28" s="21" t="n">
        <v>46178.4618287037</v>
      </c>
      <c r="E28" s="14" t="n">
        <v>147900</v>
      </c>
      <c r="F28" s="12" t="inlineStr">
        <is>
          <t>Оплата на 147,900.00 повторно зачислена в ETM через 71.9 ч, в 1С поступление одно</t>
        </is>
      </c>
    </row>
    <row r="29">
      <c r="A29" s="8" t="inlineStr">
        <is>
          <t>Повторная оплата</t>
        </is>
      </c>
      <c r="B29" s="8" t="inlineStr">
        <is>
          <t>Karakol Express</t>
        </is>
      </c>
      <c r="C29" s="8" t="inlineStr">
        <is>
          <t>57019147</t>
        </is>
      </c>
      <c r="D29" s="21" t="n">
        <v>46036.37393518518</v>
      </c>
      <c r="E29" s="14" t="n">
        <v>133600</v>
      </c>
      <c r="F29" s="12" t="inlineStr">
        <is>
          <t>Оплата на 133,600.00 повторно зачислена в ETM через 67.7 ч, в 1С поступление одно</t>
        </is>
      </c>
    </row>
    <row r="30">
      <c r="A30" s="8" t="inlineStr">
        <is>
          <t>Повторная оплата</t>
        </is>
      </c>
      <c r="B30" s="8" t="inlineStr">
        <is>
          <t>Blue Bird Travel</t>
        </is>
      </c>
      <c r="C30" s="8" t="inlineStr">
        <is>
          <t>57278370</t>
        </is>
      </c>
      <c r="D30" s="21" t="n">
        <v>46155.76694444445</v>
      </c>
      <c r="E30" s="14" t="n">
        <v>125700</v>
      </c>
      <c r="F30" s="12" t="inlineStr">
        <is>
          <t>Оплата на 125,700.00 повторно зачислена в ETM через 4.8 ч, в 1С поступление одно</t>
        </is>
      </c>
    </row>
    <row r="31">
      <c r="A31" s="8" t="inlineStr">
        <is>
          <t>Двойное списание</t>
        </is>
      </c>
      <c r="B31" s="8" t="inlineStr">
        <is>
          <t>ТАЛАС ЛАЙН</t>
        </is>
      </c>
      <c r="C31" s="8" t="inlineStr">
        <is>
          <t>2416946131</t>
        </is>
      </c>
      <c r="D31" s="21" t="n">
        <v>46117.79224537037</v>
      </c>
      <c r="E31" s="14" t="n">
        <v>-62508.38</v>
      </c>
      <c r="F31" s="12" t="inlineStr">
        <is>
          <t>В ETM 1 лишн. списание(й) одного билета на 62,508.38; без дубля сумма совпадает с 1С</t>
        </is>
      </c>
    </row>
    <row r="32">
      <c r="A32" s="8" t="inlineStr">
        <is>
          <t>Двойное списание</t>
        </is>
      </c>
      <c r="B32" s="8" t="inlineStr">
        <is>
          <t>Steppe Travel</t>
        </is>
      </c>
      <c r="C32" s="8" t="inlineStr">
        <is>
          <t>2416941084</t>
        </is>
      </c>
      <c r="D32" s="21" t="n">
        <v>46105.38385416667</v>
      </c>
      <c r="E32" s="14" t="n">
        <v>-56402.58</v>
      </c>
      <c r="F32" s="12" t="inlineStr">
        <is>
          <t>В ETM 1 лишн. списание(й) одного билета на 56,402.58; без дубля сумма совпадает с 1С</t>
        </is>
      </c>
    </row>
    <row r="33">
      <c r="A33" s="8" t="inlineStr">
        <is>
          <t>Двойное списание</t>
        </is>
      </c>
      <c r="B33" s="8" t="inlineStr">
        <is>
          <t>Karakol Express</t>
        </is>
      </c>
      <c r="C33" s="8" t="inlineStr">
        <is>
          <t>2416945535</t>
        </is>
      </c>
      <c r="D33" s="21" t="n">
        <v>46195.61657407408</v>
      </c>
      <c r="E33" s="14" t="n">
        <v>-49046</v>
      </c>
      <c r="F33" s="12" t="inlineStr">
        <is>
          <t>В ETM 1 лишн. списание(й) одного билета на 49,046.00; без дубля сумма совпадает с 1С</t>
        </is>
      </c>
    </row>
    <row r="34">
      <c r="A34" s="8" t="inlineStr">
        <is>
          <t>Двойное списание</t>
        </is>
      </c>
      <c r="B34" s="8" t="inlineStr">
        <is>
          <t>Sunrise Tours</t>
        </is>
      </c>
      <c r="C34" s="8" t="inlineStr">
        <is>
          <t>2559102620</t>
        </is>
      </c>
      <c r="D34" s="21" t="n">
        <v>46178.54952546296</v>
      </c>
      <c r="E34" s="14" t="n">
        <v>-48907.15</v>
      </c>
      <c r="F34" s="12" t="inlineStr">
        <is>
          <t>В ETM 1 лишн. списание(й) одного билета на 48,907.15; без дубля сумма совпадает с 1С</t>
        </is>
      </c>
    </row>
    <row r="35">
      <c r="A35" s="8" t="inlineStr">
        <is>
          <t>Двойное списание</t>
        </is>
      </c>
      <c r="B35" s="8" t="inlineStr">
        <is>
          <t>ТАЛАС ЭЙР</t>
        </is>
      </c>
      <c r="C35" s="8" t="inlineStr">
        <is>
          <t>2552671424</t>
        </is>
      </c>
      <c r="D35" s="21" t="n">
        <v>46195.78738425926</v>
      </c>
      <c r="E35" s="14" t="n">
        <v>-44913.25</v>
      </c>
      <c r="F35" s="12" t="inlineStr">
        <is>
          <t>В ETM 1 лишн. списание(й) одного билета на 44,913.25; без дубля сумма совпадает с 1С</t>
        </is>
      </c>
    </row>
    <row r="36">
      <c r="A36" s="8" t="inlineStr">
        <is>
          <t>Двойное списание</t>
        </is>
      </c>
      <c r="B36" s="8" t="inlineStr">
        <is>
          <t>Жибек Авиакасса</t>
        </is>
      </c>
      <c r="C36" s="8" t="inlineStr">
        <is>
          <t>2459530149</t>
        </is>
      </c>
      <c r="D36" s="21" t="n">
        <v>46052.43043981482</v>
      </c>
      <c r="E36" s="14" t="n">
        <v>-43866</v>
      </c>
      <c r="F36" s="12" t="inlineStr">
        <is>
          <t>В ETM 1 лишн. списание(й) одного билета на 43,866.00; без дубля сумма совпадает с 1С</t>
        </is>
      </c>
    </row>
    <row r="37">
      <c r="A37" s="8" t="inlineStr">
        <is>
          <t>Двойное списание</t>
        </is>
      </c>
      <c r="B37" s="8" t="inlineStr">
        <is>
          <t>Сатар уулу Санжар</t>
        </is>
      </c>
      <c r="C37" s="8" t="inlineStr">
        <is>
          <t>2416943773</t>
        </is>
      </c>
      <c r="D37" s="21" t="n">
        <v>46071.65696759259</v>
      </c>
      <c r="E37" s="14" t="n">
        <v>-42702.56</v>
      </c>
      <c r="F37" s="12" t="inlineStr">
        <is>
          <t>В ETM 1 лишн. списание(й) одного билета на 42,702.56; без дубля сумма совпадает с 1С</t>
        </is>
      </c>
    </row>
    <row r="38">
      <c r="A38" s="8" t="inlineStr">
        <is>
          <t>Двойное списание</t>
        </is>
      </c>
      <c r="B38" s="8" t="inlineStr">
        <is>
          <t>ИП Токтосун кызы Н.</t>
        </is>
      </c>
      <c r="C38" s="8" t="inlineStr">
        <is>
          <t>2416942127|2416942128|2416942129|2416942132</t>
        </is>
      </c>
      <c r="D38" s="21" t="n">
        <v>46034.41726851852</v>
      </c>
      <c r="E38" s="14" t="n">
        <v>-41829.17</v>
      </c>
      <c r="F38" s="12" t="inlineStr">
        <is>
          <t>В ETM 1 лишн. списание(й) одного билета на 41,829.17; без дубля сумма совпадает с 1С</t>
        </is>
      </c>
    </row>
    <row r="39">
      <c r="A39" s="8" t="inlineStr">
        <is>
          <t>Двойное списание</t>
        </is>
      </c>
      <c r="B39" s="8" t="inlineStr">
        <is>
          <t>ИССЫК ТРИП</t>
        </is>
      </c>
      <c r="C39" s="8" t="inlineStr">
        <is>
          <t>2552671606</t>
        </is>
      </c>
      <c r="D39" s="21" t="n">
        <v>46116.43193287037</v>
      </c>
      <c r="E39" s="14" t="n">
        <v>-40443.92</v>
      </c>
      <c r="F39" s="12" t="inlineStr">
        <is>
          <t>В ETM 1 лишн. списание(й) одного билета на 40,443.92; без дубля сумма совпадает с 1С</t>
        </is>
      </c>
    </row>
    <row r="40">
      <c r="A40" s="8" t="inlineStr">
        <is>
          <t>Двойное списание</t>
        </is>
      </c>
      <c r="B40" s="8" t="inlineStr">
        <is>
          <t>Урматов Эрлан Сагынович</t>
        </is>
      </c>
      <c r="C40" s="8" t="inlineStr">
        <is>
          <t>2416945405</t>
        </is>
      </c>
      <c r="D40" s="21" t="n">
        <v>46199.55763888889</v>
      </c>
      <c r="E40" s="14" t="n">
        <v>-39376.3</v>
      </c>
      <c r="F40" s="12" t="inlineStr">
        <is>
          <t>В ETM 1 лишн. списание(й) одного билета на 39,376.30; без дубля сумма совпадает с 1С</t>
        </is>
      </c>
    </row>
    <row r="41">
      <c r="A41" s="8" t="inlineStr">
        <is>
          <t>Двойное списание</t>
        </is>
      </c>
      <c r="B41" s="8" t="inlineStr">
        <is>
          <t>Салам Авиакасса</t>
        </is>
      </c>
      <c r="C41" s="8" t="inlineStr">
        <is>
          <t>2552671574|2552671575</t>
        </is>
      </c>
      <c r="D41" s="21" t="n">
        <v>46194.52050925926</v>
      </c>
      <c r="E41" s="14" t="n">
        <v>-39161.35</v>
      </c>
      <c r="F41" s="12" t="inlineStr">
        <is>
          <t>В ETM 1 лишн. списание(й) одного билета на 39,161.35; без дубля сумма совпадает с 1С</t>
        </is>
      </c>
    </row>
    <row r="42">
      <c r="A42" s="8" t="inlineStr">
        <is>
          <t>Двойное списание</t>
        </is>
      </c>
      <c r="B42" s="8" t="inlineStr">
        <is>
          <t>Асанова Каныкей Эсенбекевна</t>
        </is>
      </c>
      <c r="C42" s="8" t="inlineStr">
        <is>
          <t>2459529795</t>
        </is>
      </c>
      <c r="D42" s="21" t="n">
        <v>46156.47435185185</v>
      </c>
      <c r="E42" s="14" t="n">
        <v>-32704</v>
      </c>
      <c r="F42" s="12" t="inlineStr">
        <is>
          <t>В ETM 1 лишн. списание(й) одного билета на 32,704.00; без дубля сумма совпадает с 1С</t>
        </is>
      </c>
    </row>
    <row r="43">
      <c r="A43" s="8" t="inlineStr">
        <is>
          <t>Двойное списание</t>
        </is>
      </c>
      <c r="B43" s="8" t="inlineStr">
        <is>
          <t>Ниязбекова Асель Сатаровна</t>
        </is>
      </c>
      <c r="C43" s="8" t="inlineStr">
        <is>
          <t>2559100586|2559100589|2559100591|2559100594</t>
        </is>
      </c>
      <c r="D43" s="21" t="n">
        <v>46039.4502662037</v>
      </c>
      <c r="E43" s="14" t="n">
        <v>-32254.69</v>
      </c>
      <c r="F43" s="12" t="inlineStr">
        <is>
          <t>В ETM 1 лишн. списание(й) одного билета на 32,254.69; без дубля сумма совпадает с 1С</t>
        </is>
      </c>
    </row>
    <row r="44">
      <c r="A44" s="8" t="inlineStr">
        <is>
          <t>Двойное списание</t>
        </is>
      </c>
      <c r="B44" s="8" t="inlineStr">
        <is>
          <t>Ак-Куу Авиа</t>
        </is>
      </c>
      <c r="C44" s="8" t="inlineStr">
        <is>
          <t>2460737317</t>
        </is>
      </c>
      <c r="D44" s="21" t="n">
        <v>46145.38329861111</v>
      </c>
      <c r="E44" s="14" t="n">
        <v>-31726</v>
      </c>
      <c r="F44" s="12" t="inlineStr">
        <is>
          <t>В ETM 1 лишн. списание(й) одного билета на 31,726.00; без дубля сумма совпадает с 1С</t>
        </is>
      </c>
    </row>
    <row r="45">
      <c r="A45" s="8" t="inlineStr">
        <is>
          <t>Двойное списание</t>
        </is>
      </c>
      <c r="B45" s="8" t="inlineStr">
        <is>
          <t>САЛАМ ЭЙР</t>
        </is>
      </c>
      <c r="C45" s="8" t="inlineStr">
        <is>
          <t>2559100093</t>
        </is>
      </c>
      <c r="D45" s="21" t="n">
        <v>46094.39055555555</v>
      </c>
      <c r="E45" s="14" t="n">
        <v>-28804.5</v>
      </c>
      <c r="F45" s="12" t="inlineStr">
        <is>
          <t>В ETM 1 лишн. списание(й) одного билета на 28,804.50; без дубля сумма совпадает с 1С</t>
        </is>
      </c>
    </row>
    <row r="46">
      <c r="A46" s="8" t="inlineStr">
        <is>
          <t>Двойное списание</t>
        </is>
      </c>
      <c r="B46" s="8" t="inlineStr">
        <is>
          <t>Жибек Авиакасса</t>
        </is>
      </c>
      <c r="C46" s="8" t="inlineStr">
        <is>
          <t>2420846955</t>
        </is>
      </c>
      <c r="D46" s="21" t="n">
        <v>46106.49216435185</v>
      </c>
      <c r="E46" s="14" t="n">
        <v>-28430.06</v>
      </c>
      <c r="F46" s="12" t="inlineStr">
        <is>
          <t>В ETM 1 лишн. списание(й) одного билета на 28,430.06; без дубля сумма совпадает с 1С</t>
        </is>
      </c>
    </row>
    <row r="47">
      <c r="A47" s="8" t="inlineStr">
        <is>
          <t>Двойное списание</t>
        </is>
      </c>
      <c r="B47" s="8" t="inlineStr">
        <is>
          <t>Kumtor Tours</t>
        </is>
      </c>
      <c r="C47" s="8" t="inlineStr">
        <is>
          <t>2552672487</t>
        </is>
      </c>
      <c r="D47" s="21" t="n">
        <v>46042.70563657407</v>
      </c>
      <c r="E47" s="14" t="n">
        <v>-28223.8</v>
      </c>
      <c r="F47" s="12" t="inlineStr">
        <is>
          <t>В ETM 1 лишн. списание(й) одного билета на 28,223.80; без дубля сумма совпадает с 1С</t>
        </is>
      </c>
    </row>
    <row r="48">
      <c r="A48" s="8" t="inlineStr">
        <is>
          <t>Двойное списание</t>
        </is>
      </c>
      <c r="B48" s="8" t="inlineStr">
        <is>
          <t>ТЯНЬ-ШАНЬ ЭКСПРЕСС</t>
        </is>
      </c>
      <c r="C48" s="8" t="inlineStr">
        <is>
          <t>2420847759</t>
        </is>
      </c>
      <c r="D48" s="21" t="n">
        <v>46110.40548611111</v>
      </c>
      <c r="E48" s="14" t="n">
        <v>-27503.87</v>
      </c>
      <c r="F48" s="12" t="inlineStr">
        <is>
          <t>В ETM 1 лишн. списание(й) одного билета на 27,503.87; без дубля сумма совпадает с 1С</t>
        </is>
      </c>
    </row>
    <row r="49">
      <c r="A49" s="8" t="inlineStr">
        <is>
          <t>Двойное списание</t>
        </is>
      </c>
      <c r="B49" s="8" t="inlineStr">
        <is>
          <t>ОсОО Кок-Жайык Лайн</t>
        </is>
      </c>
      <c r="C49" s="8" t="inlineStr">
        <is>
          <t>2552672797</t>
        </is>
      </c>
      <c r="D49" s="21" t="n">
        <v>46157.7766550926</v>
      </c>
      <c r="E49" s="14" t="n">
        <v>-27317.92</v>
      </c>
      <c r="F49" s="12" t="inlineStr">
        <is>
          <t>В ETM 1 лишн. списание(й) одного билета на 27,317.92; без дубля сумма совпадает с 1С</t>
        </is>
      </c>
    </row>
    <row r="50">
      <c r="A50" s="8" t="inlineStr">
        <is>
          <t>Двойное списание</t>
        </is>
      </c>
      <c r="B50" s="8" t="inlineStr">
        <is>
          <t>SkyWay Travel</t>
        </is>
      </c>
      <c r="C50" s="8" t="inlineStr">
        <is>
          <t>2420844477</t>
        </is>
      </c>
      <c r="D50" s="21" t="n">
        <v>46064.75631944444</v>
      </c>
      <c r="E50" s="14" t="n">
        <v>-27287.67</v>
      </c>
      <c r="F50" s="12" t="inlineStr">
        <is>
          <t>В ETM 1 лишн. списание(й) одного билета на 27,287.67; без дубля сумма совпадает с 1С</t>
        </is>
      </c>
    </row>
    <row r="51">
      <c r="A51" s="8" t="inlineStr">
        <is>
          <t>Двойное списание</t>
        </is>
      </c>
      <c r="B51" s="8" t="inlineStr">
        <is>
          <t>Джолдош уулу Руслан</t>
        </is>
      </c>
      <c r="C51" s="8" t="inlineStr">
        <is>
          <t>2476319476</t>
        </is>
      </c>
      <c r="D51" s="21" t="n">
        <v>46108.37370370371</v>
      </c>
      <c r="E51" s="14" t="n">
        <v>-26676.9</v>
      </c>
      <c r="F51" s="12" t="inlineStr">
        <is>
          <t>В ETM 1 лишн. списание(й) одного билета на 26,676.90; без дубля сумма совпадает с 1С</t>
        </is>
      </c>
    </row>
    <row r="52">
      <c r="A52" s="8" t="inlineStr">
        <is>
          <t>Двойное списание</t>
        </is>
      </c>
      <c r="B52" s="8" t="inlineStr">
        <is>
          <t>SkyWay Travel</t>
        </is>
      </c>
      <c r="C52" s="8" t="inlineStr">
        <is>
          <t>2460733799|2460733802</t>
        </is>
      </c>
      <c r="D52" s="21" t="n">
        <v>46033.42444444444</v>
      </c>
      <c r="E52" s="14" t="n">
        <v>-25668</v>
      </c>
      <c r="F52" s="12" t="inlineStr">
        <is>
          <t>В ETM 1 лишн. списание(й) одного билета на 25,668.00; без дубля сумма совпадает с 1С</t>
        </is>
      </c>
    </row>
    <row r="53">
      <c r="A53" s="8" t="inlineStr">
        <is>
          <t>Двойное списание</t>
        </is>
      </c>
      <c r="B53" s="8" t="inlineStr">
        <is>
          <t>ОсОО Иссык Тур</t>
        </is>
      </c>
      <c r="C53" s="8" t="inlineStr">
        <is>
          <t>2559103743|2559103745|2559103747|2559103748</t>
        </is>
      </c>
      <c r="D53" s="21" t="n">
        <v>46154.36326388889</v>
      </c>
      <c r="E53" s="14" t="n">
        <v>-25311.5</v>
      </c>
      <c r="F53" s="12" t="inlineStr">
        <is>
          <t>В ETM 1 лишн. списание(й) одного билета на 25,311.50; без дубля сумма совпадает с 1С</t>
        </is>
      </c>
    </row>
    <row r="54">
      <c r="A54" s="8" t="inlineStr">
        <is>
          <t>Двойное списание</t>
        </is>
      </c>
      <c r="B54" s="8" t="inlineStr">
        <is>
          <t>SkyWay Travel</t>
        </is>
      </c>
      <c r="C54" s="8" t="inlineStr">
        <is>
          <t>2459528651</t>
        </is>
      </c>
      <c r="D54" s="21" t="n">
        <v>46120.54263888889</v>
      </c>
      <c r="E54" s="14" t="n">
        <v>-24821</v>
      </c>
      <c r="F54" s="12" t="inlineStr">
        <is>
          <t>В ETM 1 лишн. списание(й) одного билета на 24,821.00; без дубля сумма совпадает с 1С</t>
        </is>
      </c>
    </row>
    <row r="55">
      <c r="A55" s="8" t="inlineStr">
        <is>
          <t>Двойное списание</t>
        </is>
      </c>
      <c r="B55" s="8" t="inlineStr">
        <is>
          <t>SkyWay Travel</t>
        </is>
      </c>
      <c r="C55" s="8" t="inlineStr">
        <is>
          <t>2459529055|2459529056|2459529059</t>
        </is>
      </c>
      <c r="D55" s="21" t="n">
        <v>46056.34103009259</v>
      </c>
      <c r="E55" s="14" t="n">
        <v>-24679</v>
      </c>
      <c r="F55" s="12" t="inlineStr">
        <is>
          <t>В ETM 1 лишн. списание(й) одного билета на 24,679.00; без дубля сумма совпадает с 1С</t>
        </is>
      </c>
    </row>
    <row r="56">
      <c r="A56" s="8" t="inlineStr">
        <is>
          <t>Двойное списание</t>
        </is>
      </c>
      <c r="B56" s="8" t="inlineStr">
        <is>
          <t>ОсОО Чолпон Авиакасса</t>
        </is>
      </c>
      <c r="C56" s="8" t="inlineStr">
        <is>
          <t>2460734477</t>
        </is>
      </c>
      <c r="D56" s="21" t="n">
        <v>46034.34418981482</v>
      </c>
      <c r="E56" s="14" t="n">
        <v>-24443</v>
      </c>
      <c r="F56" s="12" t="inlineStr">
        <is>
          <t>В ETM 1 лишн. списание(й) одного билета на 24,443.00; без дубля сумма совпадает с 1С</t>
        </is>
      </c>
    </row>
    <row r="57">
      <c r="A57" s="8" t="inlineStr">
        <is>
          <t>Двойное списание</t>
        </is>
      </c>
      <c r="B57" s="8" t="inlineStr">
        <is>
          <t>Sunrise Tours</t>
        </is>
      </c>
      <c r="C57" s="8" t="inlineStr">
        <is>
          <t>2420844258</t>
        </is>
      </c>
      <c r="D57" s="21" t="n">
        <v>46189.74246527778</v>
      </c>
      <c r="E57" s="14" t="n">
        <v>-24155.87</v>
      </c>
      <c r="F57" s="12" t="inlineStr">
        <is>
          <t>В ETM 1 лишн. списание(й) одного билета на 24,155.87; без дубля сумма совпадает с 1С</t>
        </is>
      </c>
    </row>
    <row r="58">
      <c r="A58" s="8" t="inlineStr">
        <is>
          <t>Двойное списание</t>
        </is>
      </c>
      <c r="B58" s="8" t="inlineStr">
        <is>
          <t>Ыйык Тур</t>
        </is>
      </c>
      <c r="C58" s="8" t="inlineStr">
        <is>
          <t>2559100607|2559100610</t>
        </is>
      </c>
      <c r="D58" s="21" t="n">
        <v>46069.52538194445</v>
      </c>
      <c r="E58" s="14" t="n">
        <v>-23687.49</v>
      </c>
      <c r="F58" s="12" t="inlineStr">
        <is>
          <t>В ETM 1 лишн. списание(й) одного билета на 23,687.49; без дубля сумма совпадает с 1С</t>
        </is>
      </c>
    </row>
    <row r="59">
      <c r="A59" s="8" t="inlineStr">
        <is>
          <t>Двойное списание</t>
        </is>
      </c>
      <c r="B59" s="8" t="inlineStr">
        <is>
          <t>Сыдыков С. У.</t>
        </is>
      </c>
      <c r="C59" s="8" t="inlineStr">
        <is>
          <t>2416941866|2416941867</t>
        </is>
      </c>
      <c r="D59" s="21" t="n">
        <v>46041.52128472222</v>
      </c>
      <c r="E59" s="14" t="n">
        <v>-23083.73</v>
      </c>
      <c r="F59" s="12" t="inlineStr">
        <is>
          <t>В ETM 1 лишн. списание(й) одного билета на 23,083.73; без дубля сумма совпадает с 1С</t>
        </is>
      </c>
    </row>
    <row r="60">
      <c r="A60" s="8" t="inlineStr">
        <is>
          <t>Двойное списание</t>
        </is>
      </c>
      <c r="B60" s="8" t="inlineStr">
        <is>
          <t>Silk Route Air</t>
        </is>
      </c>
      <c r="C60" s="8" t="inlineStr">
        <is>
          <t>2459529899</t>
        </is>
      </c>
      <c r="D60" s="21" t="n">
        <v>46114.4399537037</v>
      </c>
      <c r="E60" s="14" t="n">
        <v>-19682</v>
      </c>
      <c r="F60" s="12" t="inlineStr">
        <is>
          <t>В ETM 1 лишн. списание(й) одного билета на 19,682.00; без дубля сумма совпадает с 1С</t>
        </is>
      </c>
    </row>
    <row r="61">
      <c r="A61" s="8" t="inlineStr">
        <is>
          <t>Двойное списание</t>
        </is>
      </c>
      <c r="B61" s="8" t="inlineStr">
        <is>
          <t>МУРАС ТРИП</t>
        </is>
      </c>
      <c r="C61" s="8" t="inlineStr">
        <is>
          <t>2420846940</t>
        </is>
      </c>
      <c r="D61" s="21" t="n">
        <v>46171.74037037037</v>
      </c>
      <c r="E61" s="14" t="n">
        <v>-19358.53</v>
      </c>
      <c r="F61" s="12" t="inlineStr">
        <is>
          <t>В ETM 1 лишн. списание(й) одного билета на 19,358.53; без дубля сумма совпадает с 1С</t>
        </is>
      </c>
    </row>
    <row r="62">
      <c r="A62" s="8" t="inlineStr">
        <is>
          <t>Двойное списание</t>
        </is>
      </c>
      <c r="B62" s="8" t="inlineStr">
        <is>
          <t>Джолдошова Салтанат Сатаревна</t>
        </is>
      </c>
      <c r="C62" s="8" t="inlineStr">
        <is>
          <t>2459530819</t>
        </is>
      </c>
      <c r="D62" s="21" t="n">
        <v>46215.34763888889</v>
      </c>
      <c r="E62" s="14" t="n">
        <v>-19356</v>
      </c>
      <c r="F62" s="12" t="inlineStr">
        <is>
          <t>В ETM 1 лишн. списание(й) одного билета на 19,356.00; без дубля сумма совпадает с 1С</t>
        </is>
      </c>
    </row>
    <row r="63">
      <c r="A63" s="8" t="inlineStr">
        <is>
          <t>Двойное списание</t>
        </is>
      </c>
      <c r="B63" s="8" t="inlineStr">
        <is>
          <t>ТАЛАС ЛАЙН</t>
        </is>
      </c>
      <c r="C63" s="8" t="inlineStr">
        <is>
          <t>2461881634</t>
        </is>
      </c>
      <c r="D63" s="21" t="n">
        <v>46101.44078703703</v>
      </c>
      <c r="E63" s="14" t="n">
        <v>-19231</v>
      </c>
      <c r="F63" s="12" t="inlineStr">
        <is>
          <t>В ETM 1 лишн. списание(й) одного билета на 19,231.00; без дубля сумма совпадает с 1С</t>
        </is>
      </c>
    </row>
    <row r="64">
      <c r="A64" s="8" t="inlineStr">
        <is>
          <t>Двойное списание</t>
        </is>
      </c>
      <c r="B64" s="8" t="inlineStr">
        <is>
          <t>Чынар уулу Эмир</t>
        </is>
      </c>
      <c r="C64" s="8" t="inlineStr">
        <is>
          <t>2476318809</t>
        </is>
      </c>
      <c r="D64" s="21" t="n">
        <v>46196.35959490741</v>
      </c>
      <c r="E64" s="14" t="n">
        <v>-17141.58</v>
      </c>
      <c r="F64" s="12" t="inlineStr">
        <is>
          <t>В ETM 1 лишн. списание(й) одного билета на 17,141.58; без дубля сумма совпадает с 1С</t>
        </is>
      </c>
    </row>
    <row r="65">
      <c r="A65" s="8" t="inlineStr">
        <is>
          <t>Двойное списание</t>
        </is>
      </c>
      <c r="B65" s="8" t="inlineStr">
        <is>
          <t>Karakol Express</t>
        </is>
      </c>
      <c r="C65" s="8" t="inlineStr">
        <is>
          <t>2476319656|2476319658|2476319660</t>
        </is>
      </c>
      <c r="D65" s="21" t="n">
        <v>46206.39721064815</v>
      </c>
      <c r="E65" s="14" t="n">
        <v>-16882.6</v>
      </c>
      <c r="F65" s="12" t="inlineStr">
        <is>
          <t>В ETM 1 лишн. списание(й) одного билета на 16,882.60; без дубля сумма совпадает с 1С</t>
        </is>
      </c>
    </row>
    <row r="66">
      <c r="A66" s="8" t="inlineStr">
        <is>
          <t>Двойное списание</t>
        </is>
      </c>
      <c r="B66" s="8" t="inlineStr">
        <is>
          <t>Ак-Куу Авиа</t>
        </is>
      </c>
      <c r="C66" s="8" t="inlineStr">
        <is>
          <t>2461881000</t>
        </is>
      </c>
      <c r="D66" s="21" t="n">
        <v>46049.60914351852</v>
      </c>
      <c r="E66" s="14" t="n">
        <v>-16648</v>
      </c>
      <c r="F66" s="12" t="inlineStr">
        <is>
          <t>В ETM 1 лишн. списание(й) одного билета на 16,648.00; без дубля сумма совпадает с 1С</t>
        </is>
      </c>
    </row>
    <row r="67">
      <c r="A67" s="8" t="inlineStr">
        <is>
          <t>Двойное списание</t>
        </is>
      </c>
      <c r="B67" s="8" t="inlineStr">
        <is>
          <t>Жумабек кызы Умут</t>
        </is>
      </c>
      <c r="C67" s="8" t="inlineStr">
        <is>
          <t>2461881774|2461881776</t>
        </is>
      </c>
      <c r="D67" s="21" t="n">
        <v>46048.73008101852</v>
      </c>
      <c r="E67" s="14" t="n">
        <v>-16001</v>
      </c>
      <c r="F67" s="12" t="inlineStr">
        <is>
          <t>В ETM 1 лишн. списание(й) одного билета на 16,001.00; без дубля сумма совпадает с 1С</t>
        </is>
      </c>
    </row>
    <row r="68">
      <c r="A68" s="8" t="inlineStr">
        <is>
          <t>Двойное списание</t>
        </is>
      </c>
      <c r="B68" s="8" t="inlineStr">
        <is>
          <t>SkyWay Travel</t>
        </is>
      </c>
      <c r="C68" s="8" t="inlineStr">
        <is>
          <t>2420847140|2420847143</t>
        </is>
      </c>
      <c r="D68" s="21" t="n">
        <v>46144.38659722222</v>
      </c>
      <c r="E68" s="14" t="n">
        <v>-15423.28</v>
      </c>
      <c r="F68" s="12" t="inlineStr">
        <is>
          <t>В ETM 1 лишн. списание(й) одного билета на 15,423.28; без дубля сумма совпадает с 1С</t>
        </is>
      </c>
    </row>
    <row r="69">
      <c r="A69" s="8" t="inlineStr">
        <is>
          <t>Двойное списание</t>
        </is>
      </c>
      <c r="B69" s="8" t="inlineStr">
        <is>
          <t>ЧОЛПОН ЭЙР</t>
        </is>
      </c>
      <c r="C69" s="8" t="inlineStr">
        <is>
          <t>2459526746</t>
        </is>
      </c>
      <c r="D69" s="21" t="n">
        <v>46080.43511574074</v>
      </c>
      <c r="E69" s="14" t="n">
        <v>-13920</v>
      </c>
      <c r="F69" s="12" t="inlineStr">
        <is>
          <t>В ETM 1 лишн. списание(й) одного билета на 13,920.00; без дубля сумма совпадает с 1С</t>
        </is>
      </c>
    </row>
    <row r="70">
      <c r="A70" s="8" t="inlineStr">
        <is>
          <t>Двойное списание</t>
        </is>
      </c>
      <c r="B70" s="8" t="inlineStr">
        <is>
          <t>SkyWay Travel</t>
        </is>
      </c>
      <c r="C70" s="8" t="inlineStr">
        <is>
          <t>2460735648</t>
        </is>
      </c>
      <c r="D70" s="21" t="n">
        <v>46212.41649305556</v>
      </c>
      <c r="E70" s="14" t="n">
        <v>-10287</v>
      </c>
      <c r="F70" s="12" t="inlineStr">
        <is>
          <t>В ETM 1 лишн. списание(й) одного билета на 10,287.00; без дубля сумма совпадает с 1С</t>
        </is>
      </c>
    </row>
  </sheetData>
  <autoFilter ref="A3:F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7" customWidth="1" min="3" max="3"/>
    <col width="14" customWidth="1" min="4" max="4"/>
    <col width="21" customWidth="1" min="5" max="5"/>
    <col width="50" customWidth="1" min="6" max="6"/>
  </cols>
  <sheetData>
    <row r="1">
      <c r="A1" s="1" t="inlineStr">
        <is>
          <t>1С: непрерывность сальдо между актами</t>
        </is>
      </c>
    </row>
    <row r="2">
      <c r="A2" s="2" t="inlineStr">
        <is>
          <t>Повторяющиеся суммы у разных субагентов (107 557,10; 283 308,99 …) — вопрос бухгалтеру: пакетная корректировка?</t>
        </is>
      </c>
    </row>
    <row r="3" ht="42" customHeight="1">
      <c r="A3" s="13" t="inlineStr">
        <is>
          <t>Субагент</t>
        </is>
      </c>
      <c r="B3" s="13" t="inlineStr">
        <is>
          <t>Период</t>
        </is>
      </c>
      <c r="C3" s="13" t="inlineStr">
        <is>
          <t>Конечное сальдо пред. акта</t>
        </is>
      </c>
      <c r="D3" s="13" t="inlineStr">
        <is>
          <t>Начальное сальдо акта</t>
        </is>
      </c>
      <c r="E3" s="13" t="inlineStr">
        <is>
          <t>Скачок</t>
        </is>
      </c>
      <c r="F3" s="13" t="inlineStr">
        <is>
          <t>Тип</t>
        </is>
      </c>
    </row>
    <row r="4">
      <c r="A4" s="8" t="inlineStr">
        <is>
          <t>ИССЫК ТРИП</t>
        </is>
      </c>
      <c r="B4" s="8" t="inlineStr">
        <is>
          <t>2026-03</t>
        </is>
      </c>
      <c r="C4" s="14" t="n">
        <v>-572828.38</v>
      </c>
      <c r="D4" s="14" t="n">
        <v>-2851740.31</v>
      </c>
      <c r="E4" s="14" t="n">
        <v>-2278911.93</v>
      </c>
      <c r="F4" s="8" t="inlineStr">
        <is>
          <t>Через пропущенный месяц — акт не выгружен</t>
        </is>
      </c>
    </row>
    <row r="5">
      <c r="A5" s="8" t="inlineStr">
        <is>
          <t>Сатар уулу Санжар</t>
        </is>
      </c>
      <c r="B5" s="8" t="inlineStr">
        <is>
          <t>2026-05</t>
        </is>
      </c>
      <c r="C5" s="14" t="n">
        <v>202649.34</v>
      </c>
      <c r="D5" s="14" t="n">
        <v>-1110441.94</v>
      </c>
      <c r="E5" s="14" t="n">
        <v>-1313091.28</v>
      </c>
      <c r="F5" s="8" t="inlineStr">
        <is>
          <t>Через пропущенный месяц — акт не выгружен</t>
        </is>
      </c>
    </row>
    <row r="6">
      <c r="A6" s="8" t="inlineStr">
        <is>
          <t>Чынар уулу Эмир</t>
        </is>
      </c>
      <c r="B6" s="8" t="inlineStr">
        <is>
          <t>2026-04</t>
        </is>
      </c>
      <c r="C6" s="14" t="n">
        <v>-50955.04</v>
      </c>
      <c r="D6" s="14" t="n">
        <v>-1242772.64</v>
      </c>
      <c r="E6" s="14" t="n">
        <v>-1191817.6</v>
      </c>
      <c r="F6" s="8" t="inlineStr">
        <is>
          <t>Через пропущенный месяц — акт не выгружен</t>
        </is>
      </c>
    </row>
    <row r="7">
      <c r="A7" s="8" t="inlineStr">
        <is>
          <t>ИП Токтосун кызы Н.</t>
        </is>
      </c>
      <c r="B7" s="8" t="inlineStr">
        <is>
          <t>2026-03</t>
        </is>
      </c>
      <c r="C7" s="14" t="n">
        <v>-158891.43</v>
      </c>
      <c r="D7" s="14" t="n">
        <v>828216.58</v>
      </c>
      <c r="E7" s="14" t="n">
        <v>987108.01</v>
      </c>
      <c r="F7" s="8" t="inlineStr">
        <is>
          <t>Через пропущенный месяц — акт не выгружен</t>
        </is>
      </c>
    </row>
    <row r="8">
      <c r="A8" s="8" t="inlineStr">
        <is>
          <t>Жибек Эйр</t>
        </is>
      </c>
      <c r="B8" s="8" t="inlineStr">
        <is>
          <t>2026-06</t>
        </is>
      </c>
      <c r="C8" s="14" t="n">
        <v>-2196501.14</v>
      </c>
      <c r="D8" s="14" t="n">
        <v>-1316554.76</v>
      </c>
      <c r="E8" s="14" t="n">
        <v>879946.3800000001</v>
      </c>
      <c r="F8" s="8" t="inlineStr">
        <is>
          <t>Через пропущенный месяц — акт не выгружен</t>
        </is>
      </c>
    </row>
    <row r="9">
      <c r="A9" s="8" t="inlineStr">
        <is>
          <t>Сатар уулу Санжар</t>
        </is>
      </c>
      <c r="B9" s="8" t="inlineStr">
        <is>
          <t>2026-07</t>
        </is>
      </c>
      <c r="C9" s="14" t="n">
        <v>-1806698.56</v>
      </c>
      <c r="D9" s="14" t="n">
        <v>-2490873.42</v>
      </c>
      <c r="E9" s="14" t="n">
        <v>-684174.8599999999</v>
      </c>
      <c r="F9" s="8" t="inlineStr">
        <is>
          <t>Через пропущенный месяц — акт не выгружен</t>
        </is>
      </c>
    </row>
    <row r="10">
      <c r="A10" s="8" t="inlineStr">
        <is>
          <t>МУРАС ТРИП</t>
        </is>
      </c>
      <c r="B10" s="8" t="inlineStr">
        <is>
          <t>2026-07</t>
        </is>
      </c>
      <c r="C10" s="14" t="n">
        <v>-119011.97</v>
      </c>
      <c r="D10" s="14" t="n">
        <v>475446.34</v>
      </c>
      <c r="E10" s="14" t="n">
        <v>594458.3100000001</v>
      </c>
      <c r="F10" s="8" t="inlineStr">
        <is>
          <t>Через пропущенный месяц — акт не выгружен</t>
        </is>
      </c>
    </row>
    <row r="11">
      <c r="A11" s="8" t="inlineStr">
        <is>
          <t>Жолчу кызы А.</t>
        </is>
      </c>
      <c r="B11" s="8" t="inlineStr">
        <is>
          <t>2026-07</t>
        </is>
      </c>
      <c r="C11" s="14" t="n">
        <v>-534280.46</v>
      </c>
      <c r="D11" s="14" t="n">
        <v>-1125552.11</v>
      </c>
      <c r="E11" s="14" t="n">
        <v>-591271.6500000001</v>
      </c>
      <c r="F11" s="8" t="inlineStr">
        <is>
          <t>Через пропущенный месяц — акт не выгружен</t>
        </is>
      </c>
    </row>
    <row r="12">
      <c r="A12" s="8" t="inlineStr">
        <is>
          <t>Ak-Bulak Voyage</t>
        </is>
      </c>
      <c r="B12" s="8" t="inlineStr">
        <is>
          <t>2026-03</t>
        </is>
      </c>
      <c r="C12" s="14" t="n">
        <v>-398788.25</v>
      </c>
      <c r="D12" s="14" t="n">
        <v>102299.63</v>
      </c>
      <c r="E12" s="14" t="n">
        <v>501087.88</v>
      </c>
      <c r="F12" s="8" t="inlineStr">
        <is>
          <t>Через пропущенный месяц — акт не выгружен</t>
        </is>
      </c>
    </row>
    <row r="13">
      <c r="A13" s="8" t="inlineStr">
        <is>
          <t>Тянь-Шань Тур</t>
        </is>
      </c>
      <c r="B13" s="8" t="inlineStr">
        <is>
          <t>2026-06</t>
        </is>
      </c>
      <c r="C13" s="14" t="n">
        <v>-181558.58</v>
      </c>
      <c r="D13" s="14" t="n">
        <v>-682561.67</v>
      </c>
      <c r="E13" s="14" t="n">
        <v>-501003.0900000001</v>
      </c>
      <c r="F13" s="8" t="inlineStr">
        <is>
          <t>Через пропущенный месяц — акт не выгружен</t>
        </is>
      </c>
    </row>
    <row r="14">
      <c r="A14" s="8" t="inlineStr">
        <is>
          <t>ИП Муратов Э. У.</t>
        </is>
      </c>
      <c r="B14" s="8" t="inlineStr">
        <is>
          <t>2026-04</t>
        </is>
      </c>
      <c r="C14" s="14" t="n">
        <v>-1595585.28</v>
      </c>
      <c r="D14" s="14" t="n">
        <v>-1902113.07</v>
      </c>
      <c r="E14" s="14" t="n">
        <v>-306527.79</v>
      </c>
      <c r="F14" s="8" t="inlineStr">
        <is>
          <t>Через пропущенный месяц — акт не выгружен</t>
        </is>
      </c>
    </row>
    <row r="15">
      <c r="A15" s="8" t="inlineStr">
        <is>
          <t>Жибек Вояж</t>
        </is>
      </c>
      <c r="B15" s="8" t="inlineStr">
        <is>
          <t>2026-05</t>
        </is>
      </c>
      <c r="C15" s="14" t="n">
        <v>-197796.96</v>
      </c>
      <c r="D15" s="14" t="n">
        <v>106851.1</v>
      </c>
      <c r="E15" s="14" t="n">
        <v>304648.06</v>
      </c>
      <c r="F15" s="8" t="inlineStr">
        <is>
          <t>Через пропущенный месяц — акт не выгружен</t>
        </is>
      </c>
    </row>
    <row r="16">
      <c r="A16" s="8" t="inlineStr">
        <is>
          <t>ОсОО Ала-Арча Трип</t>
        </is>
      </c>
      <c r="B16" s="8" t="inlineStr">
        <is>
          <t>2026-05</t>
        </is>
      </c>
      <c r="C16" s="14" t="n">
        <v>-606510.29</v>
      </c>
      <c r="D16" s="14" t="n">
        <v>-323201.3</v>
      </c>
      <c r="E16" s="14" t="n">
        <v>283308.99</v>
      </c>
      <c r="F16" s="8" t="inlineStr">
        <is>
          <t>Разрыв (месяцы подряд) — ошибка 1С</t>
        </is>
      </c>
    </row>
    <row r="17">
      <c r="A17" s="8" t="inlineStr">
        <is>
          <t>ЧОЛПОН ЭЙР</t>
        </is>
      </c>
      <c r="B17" s="8" t="inlineStr">
        <is>
          <t>2026-07</t>
        </is>
      </c>
      <c r="C17" s="14" t="n">
        <v>-751719.29</v>
      </c>
      <c r="D17" s="14" t="n">
        <v>-1035028.28</v>
      </c>
      <c r="E17" s="14" t="n">
        <v>-283308.99</v>
      </c>
      <c r="F17" s="8" t="inlineStr">
        <is>
          <t>Разрыв (месяцы подряд) — ошибка 1С</t>
        </is>
      </c>
    </row>
    <row r="18">
      <c r="A18" s="8" t="inlineStr">
        <is>
          <t>САЛАМ ВОЯЖ</t>
        </is>
      </c>
      <c r="B18" s="8" t="inlineStr">
        <is>
          <t>2026-02</t>
        </is>
      </c>
      <c r="C18" s="14" t="n">
        <v>-45347.22</v>
      </c>
      <c r="D18" s="14" t="n">
        <v>237961.77</v>
      </c>
      <c r="E18" s="14" t="n">
        <v>283308.99</v>
      </c>
      <c r="F18" s="8" t="inlineStr">
        <is>
          <t>Разрыв (месяцы подряд) — ошибка 1С</t>
        </is>
      </c>
    </row>
    <row r="19">
      <c r="A19" s="8" t="inlineStr">
        <is>
          <t>ОсОО Ала-Тоо Эйр</t>
        </is>
      </c>
      <c r="B19" s="8" t="inlineStr">
        <is>
          <t>2026-03</t>
        </is>
      </c>
      <c r="C19" s="14" t="n">
        <v>1451799.46</v>
      </c>
      <c r="D19" s="14" t="n">
        <v>1168490.47</v>
      </c>
      <c r="E19" s="14" t="n">
        <v>-283308.99</v>
      </c>
      <c r="F19" s="8" t="inlineStr">
        <is>
          <t>Разрыв (месяцы подряд) — ошибка 1С</t>
        </is>
      </c>
    </row>
    <row r="20">
      <c r="A20" s="8" t="inlineStr">
        <is>
          <t>ИП Жумабекова Б. Н.</t>
        </is>
      </c>
      <c r="B20" s="8" t="inlineStr">
        <is>
          <t>2026-07</t>
        </is>
      </c>
      <c r="C20" s="14" t="n">
        <v>-286567.26</v>
      </c>
      <c r="D20" s="14" t="n">
        <v>-3258.27</v>
      </c>
      <c r="E20" s="14" t="n">
        <v>283308.99</v>
      </c>
      <c r="F20" s="8" t="inlineStr">
        <is>
          <t>Разрыв (месяцы подряд) — ошибка 1С</t>
        </is>
      </c>
    </row>
    <row r="21">
      <c r="A21" s="8" t="inlineStr">
        <is>
          <t>Асанов Кубат Чынаревич</t>
        </is>
      </c>
      <c r="B21" s="8" t="inlineStr">
        <is>
          <t>2026-03</t>
        </is>
      </c>
      <c r="C21" s="14" t="n">
        <v>-653284.6800000001</v>
      </c>
      <c r="D21" s="14" t="n">
        <v>-846180.6800000001</v>
      </c>
      <c r="E21" s="14" t="n">
        <v>-192896</v>
      </c>
      <c r="F21" s="8" t="inlineStr">
        <is>
          <t>Через пропущенный месяц — акт не выгружен</t>
        </is>
      </c>
    </row>
    <row r="22">
      <c r="A22" s="8" t="inlineStr">
        <is>
          <t>ИП Жумабекова Б. Н.</t>
        </is>
      </c>
      <c r="B22" s="8" t="inlineStr">
        <is>
          <t>2026-06</t>
        </is>
      </c>
      <c r="C22" s="14" t="n">
        <v>-549484.64</v>
      </c>
      <c r="D22" s="14" t="n">
        <v>-720137.77</v>
      </c>
      <c r="E22" s="14" t="n">
        <v>-170653.13</v>
      </c>
      <c r="F22" s="8" t="inlineStr">
        <is>
          <t>Через пропущенный месяц — акт не выгружен</t>
        </is>
      </c>
    </row>
    <row r="23">
      <c r="A23" s="8" t="inlineStr">
        <is>
          <t>ЧОЛПОН ТУР</t>
        </is>
      </c>
      <c r="B23" s="8" t="inlineStr">
        <is>
          <t>2026-05</t>
        </is>
      </c>
      <c r="C23" s="14" t="n">
        <v>1042363.9</v>
      </c>
      <c r="D23" s="14" t="n">
        <v>884320.47</v>
      </c>
      <c r="E23" s="14" t="n">
        <v>-158043.4300000001</v>
      </c>
      <c r="F23" s="8" t="inlineStr">
        <is>
          <t>Через пропущенный месяц — акт не выгружен</t>
        </is>
      </c>
    </row>
    <row r="24">
      <c r="A24" s="8" t="inlineStr">
        <is>
          <t>Манас Туризм</t>
        </is>
      </c>
      <c r="B24" s="8" t="inlineStr">
        <is>
          <t>2026-07</t>
        </is>
      </c>
      <c r="C24" s="14" t="n">
        <v>319670.08</v>
      </c>
      <c r="D24" s="14" t="n">
        <v>441202.53</v>
      </c>
      <c r="E24" s="14" t="n">
        <v>121532.45</v>
      </c>
      <c r="F24" s="8" t="inlineStr">
        <is>
          <t>Через пропущенный месяц — акт не выгружен</t>
        </is>
      </c>
    </row>
    <row r="25">
      <c r="A25" s="8" t="inlineStr">
        <is>
          <t>Джолдош уулу Эмир</t>
        </is>
      </c>
      <c r="B25" s="8" t="inlineStr">
        <is>
          <t>2026-06</t>
        </is>
      </c>
      <c r="C25" s="14" t="n">
        <v>-1788423.59</v>
      </c>
      <c r="D25" s="14" t="n">
        <v>-1680866.49</v>
      </c>
      <c r="E25" s="14" t="n">
        <v>107557.1000000001</v>
      </c>
      <c r="F25" s="8" t="inlineStr">
        <is>
          <t>Разрыв (месяцы подряд) — ошибка 1С</t>
        </is>
      </c>
    </row>
    <row r="26">
      <c r="A26" s="8" t="inlineStr">
        <is>
          <t>Nomad Trip</t>
        </is>
      </c>
      <c r="B26" s="8" t="inlineStr">
        <is>
          <t>2026-07</t>
        </is>
      </c>
      <c r="C26" s="14" t="n">
        <v>-135593.55</v>
      </c>
      <c r="D26" s="14" t="n">
        <v>-28036.45</v>
      </c>
      <c r="E26" s="14" t="n">
        <v>107557.1</v>
      </c>
      <c r="F26" s="8" t="inlineStr">
        <is>
          <t>Разрыв (месяцы подряд) — ошибка 1С</t>
        </is>
      </c>
    </row>
    <row r="27">
      <c r="A27" s="8" t="inlineStr">
        <is>
          <t>ИП Мамбетова Ч. Э.</t>
        </is>
      </c>
      <c r="B27" s="8" t="inlineStr">
        <is>
          <t>2026-04</t>
        </is>
      </c>
      <c r="C27" s="14" t="n">
        <v>230799.51</v>
      </c>
      <c r="D27" s="14" t="n">
        <v>338356.61</v>
      </c>
      <c r="E27" s="14" t="n">
        <v>107557.1</v>
      </c>
      <c r="F27" s="8" t="inlineStr">
        <is>
          <t>Разрыв (месяцы подряд) — ошибка 1С</t>
        </is>
      </c>
    </row>
    <row r="28">
      <c r="A28" s="8" t="inlineStr">
        <is>
          <t>Бейшенова Н. Ч.</t>
        </is>
      </c>
      <c r="B28" s="8" t="inlineStr">
        <is>
          <t>2026-04</t>
        </is>
      </c>
      <c r="C28" s="14" t="n">
        <v>-1072482.5</v>
      </c>
      <c r="D28" s="14" t="n">
        <v>-964925.4</v>
      </c>
      <c r="E28" s="14" t="n">
        <v>107557.1</v>
      </c>
      <c r="F28" s="8" t="inlineStr">
        <is>
          <t>Разрыв (месяцы подряд) — ошибка 1С</t>
        </is>
      </c>
    </row>
    <row r="29">
      <c r="A29" s="8" t="inlineStr">
        <is>
          <t>Чолпон Тревел</t>
        </is>
      </c>
      <c r="B29" s="8" t="inlineStr">
        <is>
          <t>2026-06</t>
        </is>
      </c>
      <c r="C29" s="14" t="n">
        <v>-432467.17</v>
      </c>
      <c r="D29" s="14" t="n">
        <v>-505137.16</v>
      </c>
      <c r="E29" s="14" t="n">
        <v>-72669.98999999999</v>
      </c>
      <c r="F29" s="8" t="inlineStr">
        <is>
          <t>Через пропущенный месяц — акт не выгружен</t>
        </is>
      </c>
    </row>
    <row r="30">
      <c r="A30" s="8" t="inlineStr">
        <is>
          <t>Ыйык Авиакасса</t>
        </is>
      </c>
      <c r="B30" s="8" t="inlineStr">
        <is>
          <t>2026-06</t>
        </is>
      </c>
      <c r="C30" s="14" t="n">
        <v>-671081.4300000001</v>
      </c>
      <c r="D30" s="14" t="n">
        <v>-598591.4300000001</v>
      </c>
      <c r="E30" s="14" t="n">
        <v>72490</v>
      </c>
      <c r="F30" s="8" t="inlineStr">
        <is>
          <t>Разрыв (месяцы подряд) — ошибка 1С</t>
        </is>
      </c>
    </row>
    <row r="31">
      <c r="A31" s="8" t="inlineStr">
        <is>
          <t>Сыдыков С. У.</t>
        </is>
      </c>
      <c r="B31" s="8" t="inlineStr">
        <is>
          <t>2026-06</t>
        </is>
      </c>
      <c r="C31" s="14" t="n">
        <v>-196892.15</v>
      </c>
      <c r="D31" s="14" t="n">
        <v>-260024.08</v>
      </c>
      <c r="E31" s="14" t="n">
        <v>-63131.92999999999</v>
      </c>
      <c r="F31" s="8" t="inlineStr">
        <is>
          <t>Через пропущенный месяц — акт не выгружен</t>
        </is>
      </c>
    </row>
    <row r="32">
      <c r="A32" s="8" t="inlineStr">
        <is>
          <t>SkyWay Travel</t>
        </is>
      </c>
      <c r="B32" s="8" t="inlineStr">
        <is>
          <t>2026-04</t>
        </is>
      </c>
      <c r="C32" s="14" t="n">
        <v>-8183516.81</v>
      </c>
      <c r="D32" s="14" t="n">
        <v>-8156016.81</v>
      </c>
      <c r="E32" s="14" t="n">
        <v>27500</v>
      </c>
      <c r="F32" s="8" t="inlineStr">
        <is>
          <t>Разрыв (месяцы подряд) — ошибка 1С</t>
        </is>
      </c>
    </row>
    <row r="33">
      <c r="A33" s="8" t="inlineStr">
        <is>
          <t>ТАЛАС ВОЯЖ</t>
        </is>
      </c>
      <c r="B33" s="8" t="inlineStr">
        <is>
          <t>2026-05</t>
        </is>
      </c>
      <c r="C33" s="14" t="n">
        <v>-266496.63</v>
      </c>
      <c r="D33" s="14" t="n">
        <v>-238996.63</v>
      </c>
      <c r="E33" s="14" t="n">
        <v>27500</v>
      </c>
      <c r="F33" s="8" t="inlineStr">
        <is>
          <t>Разрыв (месяцы подряд) — ошибка 1С</t>
        </is>
      </c>
    </row>
    <row r="34">
      <c r="A34" s="8" t="inlineStr">
        <is>
          <t>Кадырова Айнура Жумабекевна</t>
        </is>
      </c>
      <c r="B34" s="8" t="inlineStr">
        <is>
          <t>2026-04</t>
        </is>
      </c>
      <c r="C34" s="14" t="n">
        <v>-1455924.9</v>
      </c>
      <c r="D34" s="14" t="n">
        <v>-1483424.9</v>
      </c>
      <c r="E34" s="14" t="n">
        <v>-27500</v>
      </c>
      <c r="F34" s="8" t="inlineStr">
        <is>
          <t>Разрыв (месяцы подряд) — ошибка 1С</t>
        </is>
      </c>
    </row>
    <row r="35">
      <c r="A35" s="8" t="inlineStr">
        <is>
          <t>Aylana Tour</t>
        </is>
      </c>
      <c r="B35" s="8" t="inlineStr">
        <is>
          <t>2026-03</t>
        </is>
      </c>
      <c r="C35" s="14" t="n">
        <v>-1082647.77</v>
      </c>
      <c r="D35" s="14" t="n">
        <v>-1055147.77</v>
      </c>
      <c r="E35" s="14" t="n">
        <v>27500</v>
      </c>
      <c r="F35" s="8" t="inlineStr">
        <is>
          <t>Разрыв (месяцы подряд) — ошибка 1С</t>
        </is>
      </c>
    </row>
    <row r="36">
      <c r="A36" s="8" t="inlineStr">
        <is>
          <t>ИП Асанов К. Б.</t>
        </is>
      </c>
      <c r="B36" s="8" t="inlineStr">
        <is>
          <t>2026-03</t>
        </is>
      </c>
      <c r="C36" s="14" t="n">
        <v>-50110.52</v>
      </c>
      <c r="D36" s="14" t="n">
        <v>-37243.37</v>
      </c>
      <c r="E36" s="14" t="n">
        <v>12867.14999999999</v>
      </c>
      <c r="F36" s="8" t="inlineStr">
        <is>
          <t>Через пропущенный месяц — акт не выгружен</t>
        </is>
      </c>
    </row>
    <row r="37">
      <c r="A37" s="8" t="inlineStr">
        <is>
          <t>Жумабек кызы Умут</t>
        </is>
      </c>
      <c r="B37" s="8" t="inlineStr">
        <is>
          <t>2026-04</t>
        </is>
      </c>
      <c r="C37" s="14" t="n">
        <v>-597053.12</v>
      </c>
      <c r="D37" s="14" t="n">
        <v>-592253.12</v>
      </c>
      <c r="E37" s="14" t="n">
        <v>4800</v>
      </c>
      <c r="F37" s="8" t="inlineStr">
        <is>
          <t>Разрыв (месяцы подряд) — ошибка 1С</t>
        </is>
      </c>
    </row>
    <row r="38">
      <c r="A38" s="8" t="inlineStr">
        <is>
          <t>ОсОО Чолпон Авиакасса</t>
        </is>
      </c>
      <c r="B38" s="8" t="inlineStr">
        <is>
          <t>2026-03</t>
        </is>
      </c>
      <c r="C38" s="14" t="n">
        <v>701418</v>
      </c>
      <c r="D38" s="14" t="n">
        <v>696618</v>
      </c>
      <c r="E38" s="14" t="n">
        <v>-4800</v>
      </c>
      <c r="F38" s="8" t="inlineStr">
        <is>
          <t>Разрыв (месяцы подряд) — ошибка 1С</t>
        </is>
      </c>
    </row>
    <row r="39">
      <c r="A39" s="8" t="inlineStr">
        <is>
          <t>Джолдошова Салтанат Сатаревна</t>
        </is>
      </c>
      <c r="B39" s="8" t="inlineStr">
        <is>
          <t>2026-04</t>
        </is>
      </c>
      <c r="C39" s="14" t="n">
        <v>-1397683.81</v>
      </c>
      <c r="D39" s="14" t="n">
        <v>-1392883.81</v>
      </c>
      <c r="E39" s="14" t="n">
        <v>4800</v>
      </c>
      <c r="F39" s="8" t="inlineStr">
        <is>
          <t>Разрыв (месяцы подряд) — ошибка 1С</t>
        </is>
      </c>
    </row>
    <row r="40">
      <c r="A40" s="8" t="inlineStr">
        <is>
          <t>Чынар уулу Эмир</t>
        </is>
      </c>
      <c r="B40" s="8" t="inlineStr">
        <is>
          <t>2026-05</t>
        </is>
      </c>
      <c r="C40" s="14" t="n">
        <v>-1160665.94</v>
      </c>
      <c r="D40" s="14" t="n">
        <v>-1155865.94</v>
      </c>
      <c r="E40" s="14" t="n">
        <v>4800</v>
      </c>
      <c r="F40" s="8" t="inlineStr">
        <is>
          <t>Разрыв (месяцы подряд) — ошибка 1С</t>
        </is>
      </c>
    </row>
    <row r="41">
      <c r="A41" s="8" t="inlineStr">
        <is>
          <t>ЫЙЫК ЭКСПРЕСС</t>
        </is>
      </c>
      <c r="B41" s="8" t="inlineStr">
        <is>
          <t>2026-02</t>
        </is>
      </c>
      <c r="C41" s="14" t="n">
        <v>-940688.08</v>
      </c>
      <c r="D41" s="14" t="n">
        <v>-935888.08</v>
      </c>
      <c r="E41" s="14" t="n">
        <v>4800</v>
      </c>
      <c r="F41" s="8" t="inlineStr">
        <is>
          <t>Разрыв (месяцы подряд) — ошибка 1С</t>
        </is>
      </c>
    </row>
    <row r="42">
      <c r="A42" s="8" t="inlineStr">
        <is>
          <t>Sunrise Tours</t>
        </is>
      </c>
      <c r="B42" s="8" t="inlineStr">
        <is>
          <t>2026-06</t>
        </is>
      </c>
      <c r="C42" s="14" t="n">
        <v>-1089092.96</v>
      </c>
      <c r="D42" s="14" t="n">
        <v>-1088829.96</v>
      </c>
      <c r="E42" s="14" t="n">
        <v>263</v>
      </c>
      <c r="F42" s="8" t="inlineStr">
        <is>
          <t>Разрыв (месяцы подряд) — ошибка 1С</t>
        </is>
      </c>
    </row>
  </sheetData>
  <autoFilter ref="A3:F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s="1" t="inlineStr">
        <is>
          <t>Субагент-месяцы без акта 1С (из-за них часть сверки невозможна)</t>
        </is>
      </c>
    </row>
    <row r="3" ht="42" customHeight="1">
      <c r="A3" s="13" t="inlineStr">
        <is>
          <t>Субагент</t>
        </is>
      </c>
      <c r="B3" s="13" t="inlineStr">
        <is>
          <t>Месяц</t>
        </is>
      </c>
    </row>
    <row r="4">
      <c r="A4" s="8" t="inlineStr">
        <is>
          <t>Ak-Bulak Voyage</t>
        </is>
      </c>
      <c r="B4" s="8" t="inlineStr">
        <is>
          <t>2026-02</t>
        </is>
      </c>
    </row>
    <row r="5">
      <c r="A5" s="8" t="inlineStr">
        <is>
          <t>Асанов Кубат Чынаревич</t>
        </is>
      </c>
      <c r="B5" s="8" t="inlineStr">
        <is>
          <t>2026-02</t>
        </is>
      </c>
    </row>
    <row r="6">
      <c r="A6" s="8" t="inlineStr">
        <is>
          <t>Жибек Вояж</t>
        </is>
      </c>
      <c r="B6" s="8" t="inlineStr">
        <is>
          <t>2026-04</t>
        </is>
      </c>
    </row>
    <row r="7">
      <c r="A7" s="8" t="inlineStr">
        <is>
          <t>Жибек Эйр</t>
        </is>
      </c>
      <c r="B7" s="8" t="inlineStr">
        <is>
          <t>2026-04</t>
        </is>
      </c>
    </row>
    <row r="8">
      <c r="A8" s="8" t="inlineStr">
        <is>
          <t>Жибек Эйр</t>
        </is>
      </c>
      <c r="B8" s="8" t="inlineStr">
        <is>
          <t>2026-05</t>
        </is>
      </c>
    </row>
    <row r="9">
      <c r="A9" s="8" t="inlineStr">
        <is>
          <t>Жолчу кызы А.</t>
        </is>
      </c>
      <c r="B9" s="8" t="inlineStr">
        <is>
          <t>2026-06</t>
        </is>
      </c>
    </row>
    <row r="10">
      <c r="A10" s="8" t="inlineStr">
        <is>
          <t>ИП Асанов К. Б.</t>
        </is>
      </c>
      <c r="B10" s="8" t="inlineStr">
        <is>
          <t>2026-02</t>
        </is>
      </c>
    </row>
    <row r="11">
      <c r="A11" s="8" t="inlineStr">
        <is>
          <t>ИП Жумабекова Б. Н.</t>
        </is>
      </c>
      <c r="B11" s="8" t="inlineStr">
        <is>
          <t>2026-05</t>
        </is>
      </c>
    </row>
    <row r="12">
      <c r="A12" s="8" t="inlineStr">
        <is>
          <t>ИП Муратов Э. У.</t>
        </is>
      </c>
      <c r="B12" s="8" t="inlineStr">
        <is>
          <t>2026-03</t>
        </is>
      </c>
    </row>
    <row r="13">
      <c r="A13" s="8" t="inlineStr">
        <is>
          <t>ИП Токтосун кызы Н.</t>
        </is>
      </c>
      <c r="B13" s="8" t="inlineStr">
        <is>
          <t>2026-02</t>
        </is>
      </c>
    </row>
    <row r="14">
      <c r="A14" s="8" t="inlineStr">
        <is>
          <t>ИССЫК ТРИП</t>
        </is>
      </c>
      <c r="B14" s="8" t="inlineStr">
        <is>
          <t>2026-02</t>
        </is>
      </c>
    </row>
    <row r="15">
      <c r="A15" s="8" t="inlineStr">
        <is>
          <t>МУРАС ТРИП</t>
        </is>
      </c>
      <c r="B15" s="8" t="inlineStr">
        <is>
          <t>2026-06</t>
        </is>
      </c>
    </row>
    <row r="16">
      <c r="A16" s="8" t="inlineStr">
        <is>
          <t>Манас Туризм</t>
        </is>
      </c>
      <c r="B16" s="8" t="inlineStr">
        <is>
          <t>2026-06</t>
        </is>
      </c>
    </row>
    <row r="17">
      <c r="A17" s="8" t="inlineStr">
        <is>
          <t>Сатар уулу Санжар</t>
        </is>
      </c>
      <c r="B17" s="8" t="inlineStr">
        <is>
          <t>2026-04</t>
        </is>
      </c>
    </row>
    <row r="18">
      <c r="A18" s="8" t="inlineStr">
        <is>
          <t>Сатар уулу Санжар</t>
        </is>
      </c>
      <c r="B18" s="8" t="inlineStr">
        <is>
          <t>2026-06</t>
        </is>
      </c>
    </row>
    <row r="19">
      <c r="A19" s="8" t="inlineStr">
        <is>
          <t>Сыдыков С. У.</t>
        </is>
      </c>
      <c r="B19" s="8" t="inlineStr">
        <is>
          <t>2026-05</t>
        </is>
      </c>
    </row>
    <row r="20">
      <c r="A20" s="8" t="inlineStr">
        <is>
          <t>Тянь-Шань Тур</t>
        </is>
      </c>
      <c r="B20" s="8" t="inlineStr">
        <is>
          <t>2026-04</t>
        </is>
      </c>
    </row>
    <row r="21">
      <c r="A21" s="8" t="inlineStr">
        <is>
          <t>Тянь-Шань Тур</t>
        </is>
      </c>
      <c r="B21" s="8" t="inlineStr">
        <is>
          <t>2026-05</t>
        </is>
      </c>
    </row>
    <row r="22">
      <c r="A22" s="8" t="inlineStr">
        <is>
          <t>ЧОЛПОН ТУР</t>
        </is>
      </c>
      <c r="B22" s="8" t="inlineStr">
        <is>
          <t>2026-03</t>
        </is>
      </c>
    </row>
    <row r="23">
      <c r="A23" s="8" t="inlineStr">
        <is>
          <t>ЧОЛПОН ТУР</t>
        </is>
      </c>
      <c r="B23" s="8" t="inlineStr">
        <is>
          <t>2026-04</t>
        </is>
      </c>
    </row>
    <row r="24">
      <c r="A24" s="8" t="inlineStr">
        <is>
          <t>Чолпон Тревел</t>
        </is>
      </c>
      <c r="B24" s="8" t="inlineStr">
        <is>
          <t>2026-04</t>
        </is>
      </c>
    </row>
    <row r="25">
      <c r="A25" s="8" t="inlineStr">
        <is>
          <t>Чолпон Тревел</t>
        </is>
      </c>
      <c r="B25" s="8" t="inlineStr">
        <is>
          <t>2026-05</t>
        </is>
      </c>
    </row>
    <row r="26">
      <c r="A26" s="8" t="inlineStr">
        <is>
          <t>Чынар уулу Эмир</t>
        </is>
      </c>
      <c r="B26" s="8" t="inlineStr">
        <is>
          <t>2026-02</t>
        </is>
      </c>
    </row>
    <row r="27">
      <c r="A27" s="8" t="inlineStr">
        <is>
          <t>Чынар уулу Эмир</t>
        </is>
      </c>
      <c r="B27" s="8" t="inlineStr">
        <is>
          <t>2026-03</t>
        </is>
      </c>
    </row>
  </sheetData>
  <autoFilter ref="A3:B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5" customWidth="1" min="3" max="3"/>
    <col width="16" customWidth="1" min="4" max="4"/>
    <col width="20" customWidth="1" min="5" max="5"/>
    <col width="12" customWidth="1" min="6" max="6"/>
    <col width="12" customWidth="1" min="7" max="7"/>
    <col width="14" customWidth="1" min="8" max="8"/>
    <col width="13" customWidth="1" min="9" max="9"/>
    <col width="25" customWidth="1" min="10" max="10"/>
    <col width="25" customWidth="1" min="11" max="11"/>
  </cols>
  <sheetData>
    <row r="1">
      <c r="A1" s="1" t="inlineStr">
        <is>
          <t>Версии актов: используется последняя (переиздан); ниже — чем версии различаются</t>
        </is>
      </c>
    </row>
    <row r="2">
      <c r="A2" s="2" t="inlineStr">
        <is>
          <t>Каждая версия по отдельности арифметически сходится; склеивать их нельзя — это и давало ложные «нарушения целостности».</t>
        </is>
      </c>
    </row>
    <row r="3" ht="42" customHeight="1">
      <c r="A3" s="13" t="inlineStr">
        <is>
          <t>Папка 1С</t>
        </is>
      </c>
      <c r="B3" s="13" t="inlineStr">
        <is>
          <t>Период</t>
        </is>
      </c>
      <c r="C3" s="13" t="inlineStr">
        <is>
          <t>Сальдо конец (черновик)</t>
        </is>
      </c>
      <c r="D3" s="13" t="inlineStr">
        <is>
          <t>Сальдо конец (переиздан)</t>
        </is>
      </c>
      <c r="E3" s="13" t="inlineStr">
        <is>
          <t>Разница сальдо</t>
        </is>
      </c>
      <c r="F3" s="13" t="inlineStr">
        <is>
          <t>Строк (черновик)</t>
        </is>
      </c>
      <c r="G3" s="13" t="inlineStr">
        <is>
          <t>Строк (переиздан)</t>
        </is>
      </c>
      <c r="H3" s="13" t="inlineStr">
        <is>
          <t>Только в переизданном</t>
        </is>
      </c>
      <c r="I3" s="13" t="inlineStr">
        <is>
          <t>Только в черновике</t>
        </is>
      </c>
      <c r="J3" s="13" t="inlineStr">
        <is>
          <t>Проверка арифметики (черновик)</t>
        </is>
      </c>
      <c r="K3" s="13" t="inlineStr">
        <is>
          <t>Проверка арифметики (переиздан)</t>
        </is>
      </c>
    </row>
    <row r="4">
      <c r="A4" s="8" t="inlineStr">
        <is>
          <t>Jailoo Trip</t>
        </is>
      </c>
      <c r="B4" s="8" t="inlineStr">
        <is>
          <t>2026-05</t>
        </is>
      </c>
      <c r="C4" s="14" t="n">
        <v>703791.61</v>
      </c>
      <c r="D4" s="14" t="n">
        <v>726777.55</v>
      </c>
      <c r="E4" s="14" t="n">
        <v>22985.94000000006</v>
      </c>
      <c r="F4" s="8" t="n">
        <v>14</v>
      </c>
      <c r="G4" s="8" t="n">
        <v>15</v>
      </c>
      <c r="H4" s="8" t="n">
        <v>1</v>
      </c>
      <c r="I4" s="8" t="n">
        <v>0</v>
      </c>
      <c r="J4" s="14" t="n">
        <v>-1.164153218269348e-10</v>
      </c>
      <c r="K4" s="14" t="n">
        <v>0</v>
      </c>
    </row>
    <row r="5">
      <c r="A5" s="8" t="inlineStr">
        <is>
          <t>Tengri Trip</t>
        </is>
      </c>
      <c r="B5" s="8" t="inlineStr">
        <is>
          <t>2026-04</t>
        </is>
      </c>
      <c r="C5" s="14" t="n">
        <v>586096.79</v>
      </c>
      <c r="D5" s="14" t="n">
        <v>606075.79</v>
      </c>
      <c r="E5" s="14" t="n">
        <v>19979</v>
      </c>
      <c r="F5" s="8" t="n">
        <v>29</v>
      </c>
      <c r="G5" s="8" t="n">
        <v>30</v>
      </c>
      <c r="H5" s="8" t="n">
        <v>1</v>
      </c>
      <c r="I5" s="8" t="n">
        <v>0</v>
      </c>
      <c r="J5" s="14" t="n">
        <v>1.164153218269348e-10</v>
      </c>
      <c r="K5" s="14" t="n">
        <v>1.164153218269348e-10</v>
      </c>
    </row>
    <row r="6">
      <c r="A6" s="8" t="inlineStr">
        <is>
          <t>Джолдош уулу Эмир</t>
        </is>
      </c>
      <c r="B6" s="8" t="inlineStr">
        <is>
          <t>2026-02</t>
        </is>
      </c>
      <c r="C6" s="14" t="n">
        <v>-1217909.99</v>
      </c>
      <c r="D6" s="14" t="n">
        <v>-1373609.99</v>
      </c>
      <c r="E6" s="14" t="n">
        <v>-155700</v>
      </c>
      <c r="F6" s="8" t="n">
        <v>21</v>
      </c>
      <c r="G6" s="8" t="n">
        <v>22</v>
      </c>
      <c r="H6" s="8" t="n">
        <v>1</v>
      </c>
      <c r="I6" s="8" t="n">
        <v>0</v>
      </c>
      <c r="J6" s="14" t="n">
        <v>-2.328306436538696e-10</v>
      </c>
      <c r="K6" s="14" t="n">
        <v>-2.328306436538696e-10</v>
      </c>
    </row>
    <row r="7">
      <c r="A7" s="8" t="inlineStr">
        <is>
          <t>ИП Абдылда уулу Б.</t>
        </is>
      </c>
      <c r="B7" s="8" t="inlineStr">
        <is>
          <t>2026-02</t>
        </is>
      </c>
      <c r="C7" s="14" t="n">
        <v>-2377124.54</v>
      </c>
      <c r="D7" s="14" t="n">
        <v>-2320420.73</v>
      </c>
      <c r="E7" s="14" t="n">
        <v>56703.81000000006</v>
      </c>
      <c r="F7" s="8" t="n">
        <v>72</v>
      </c>
      <c r="G7" s="8" t="n">
        <v>73</v>
      </c>
      <c r="H7" s="8" t="n">
        <v>1</v>
      </c>
      <c r="I7" s="8" t="n">
        <v>0</v>
      </c>
      <c r="J7" s="14" t="n">
        <v>0</v>
      </c>
      <c r="K7" s="14" t="n">
        <v>0</v>
      </c>
    </row>
    <row r="8">
      <c r="A8" s="8" t="inlineStr">
        <is>
          <t>ИП Абдыраманова Д. А.</t>
        </is>
      </c>
      <c r="B8" s="8" t="inlineStr">
        <is>
          <t>2026-05</t>
        </is>
      </c>
      <c r="C8" s="14" t="n">
        <v>-141203.7</v>
      </c>
      <c r="D8" s="14" t="n">
        <v>-140903.7</v>
      </c>
      <c r="E8" s="14" t="n">
        <v>300</v>
      </c>
      <c r="F8" s="8" t="n">
        <v>13</v>
      </c>
      <c r="G8" s="8" t="n">
        <v>14</v>
      </c>
      <c r="H8" s="8" t="n">
        <v>1</v>
      </c>
      <c r="I8" s="8" t="n">
        <v>0</v>
      </c>
      <c r="J8" s="14" t="n">
        <v>-2.91038304567337e-11</v>
      </c>
      <c r="K8" s="14" t="n">
        <v>-2.91038304567337e-11</v>
      </c>
    </row>
    <row r="9">
      <c r="A9" s="8" t="inlineStr">
        <is>
          <t>ИП Абдыраманова Ж. Д.</t>
        </is>
      </c>
      <c r="B9" s="8" t="inlineStr">
        <is>
          <t>2026-06</t>
        </is>
      </c>
      <c r="C9" s="14" t="n">
        <v>-502180.35</v>
      </c>
      <c r="D9" s="14" t="n">
        <v>-489424.35</v>
      </c>
      <c r="E9" s="14" t="n">
        <v>12756</v>
      </c>
      <c r="F9" s="8" t="n">
        <v>17</v>
      </c>
      <c r="G9" s="8" t="n">
        <v>18</v>
      </c>
      <c r="H9" s="8" t="n">
        <v>1</v>
      </c>
      <c r="I9" s="8" t="n">
        <v>0</v>
      </c>
      <c r="J9" s="14" t="n">
        <v>5.820766091346741e-11</v>
      </c>
      <c r="K9" s="14" t="n">
        <v>5.820766091346741e-11</v>
      </c>
    </row>
    <row r="10">
      <c r="A10" s="8" t="inlineStr">
        <is>
          <t>ИП Осмонова А. Н.</t>
        </is>
      </c>
      <c r="B10" s="8" t="inlineStr">
        <is>
          <t>2026-04</t>
        </is>
      </c>
      <c r="C10" s="14" t="n">
        <v>-705211.2</v>
      </c>
      <c r="D10" s="14" t="n">
        <v>-695320.2</v>
      </c>
      <c r="E10" s="14" t="n">
        <v>9891</v>
      </c>
      <c r="F10" s="8" t="n">
        <v>12</v>
      </c>
      <c r="G10" s="8" t="n">
        <v>13</v>
      </c>
      <c r="H10" s="8" t="n">
        <v>1</v>
      </c>
      <c r="I10" s="8" t="n">
        <v>0</v>
      </c>
      <c r="J10" s="14" t="n">
        <v>0</v>
      </c>
      <c r="K10" s="14" t="n">
        <v>0</v>
      </c>
    </row>
    <row r="11">
      <c r="A11" s="8" t="inlineStr">
        <is>
          <t>Ниязбеков Кубат Таалайевич</t>
        </is>
      </c>
      <c r="B11" s="8" t="inlineStr">
        <is>
          <t>2026-06</t>
        </is>
      </c>
      <c r="C11" s="14" t="n">
        <v>-393972.05</v>
      </c>
      <c r="D11" s="14" t="n">
        <v>-343163.93</v>
      </c>
      <c r="E11" s="14" t="n">
        <v>50808.12</v>
      </c>
      <c r="F11" s="8" t="n">
        <v>18</v>
      </c>
      <c r="G11" s="8" t="n">
        <v>19</v>
      </c>
      <c r="H11" s="8" t="n">
        <v>1</v>
      </c>
      <c r="I11" s="8" t="n">
        <v>0</v>
      </c>
      <c r="J11" s="14" t="n">
        <v>0</v>
      </c>
      <c r="K11" s="14" t="n">
        <v>0</v>
      </c>
    </row>
    <row r="12">
      <c r="A12" s="8" t="inlineStr">
        <is>
          <t>ОсОО "Алтын Эйр"</t>
        </is>
      </c>
      <c r="B12" s="8" t="inlineStr">
        <is>
          <t>2026-06</t>
        </is>
      </c>
      <c r="C12" s="14" t="n">
        <v>-1797428.26</v>
      </c>
      <c r="D12" s="14" t="n">
        <v>-1754270.26</v>
      </c>
      <c r="E12" s="14" t="n">
        <v>43158</v>
      </c>
      <c r="F12" s="8" t="n">
        <v>35</v>
      </c>
      <c r="G12" s="8" t="n">
        <v>36</v>
      </c>
      <c r="H12" s="8" t="n">
        <v>1</v>
      </c>
      <c r="I12" s="8" t="n">
        <v>0</v>
      </c>
      <c r="J12" s="14" t="n">
        <v>0</v>
      </c>
      <c r="K12" s="14" t="n">
        <v>-2.328306436538696e-10</v>
      </c>
    </row>
    <row r="13">
      <c r="A13" s="8" t="inlineStr">
        <is>
          <t>ОсОО "Иссык Тур"</t>
        </is>
      </c>
      <c r="B13" s="8" t="inlineStr">
        <is>
          <t>2026-06</t>
        </is>
      </c>
      <c r="C13" s="14" t="n">
        <v>-446129.73</v>
      </c>
      <c r="D13" s="14" t="n">
        <v>-414876.27</v>
      </c>
      <c r="E13" s="14" t="n">
        <v>31253.45999999996</v>
      </c>
      <c r="F13" s="8" t="n">
        <v>27</v>
      </c>
      <c r="G13" s="8" t="n">
        <v>28</v>
      </c>
      <c r="H13" s="8" t="n">
        <v>1</v>
      </c>
      <c r="I13" s="8" t="n">
        <v>0</v>
      </c>
      <c r="J13" s="14" t="n">
        <v>1.164153218269348e-10</v>
      </c>
      <c r="K13" s="14" t="n">
        <v>1.164153218269348e-10</v>
      </c>
    </row>
    <row r="14">
      <c r="A14" s="8" t="inlineStr">
        <is>
          <t>ОсОО "Кок-Жайык Вояж"</t>
        </is>
      </c>
      <c r="B14" s="8" t="inlineStr">
        <is>
          <t>2026-07</t>
        </is>
      </c>
      <c r="C14" s="14" t="n">
        <v>-74298.36</v>
      </c>
      <c r="D14" s="14" t="n">
        <v>-55615.31</v>
      </c>
      <c r="E14" s="14" t="n">
        <v>18683.05</v>
      </c>
      <c r="F14" s="8" t="n">
        <v>36</v>
      </c>
      <c r="G14" s="8" t="n">
        <v>37</v>
      </c>
      <c r="H14" s="8" t="n">
        <v>1</v>
      </c>
      <c r="I14" s="8" t="n">
        <v>0</v>
      </c>
      <c r="J14" s="14" t="n">
        <v>-1.455191522836685e-11</v>
      </c>
      <c r="K14" s="14" t="n">
        <v>-5.820766091346741e-11</v>
      </c>
    </row>
    <row r="15">
      <c r="A15" s="8" t="inlineStr">
        <is>
          <t>ОсОО "Манас Тур"</t>
        </is>
      </c>
      <c r="B15" s="8" t="inlineStr">
        <is>
          <t>2026-03</t>
        </is>
      </c>
      <c r="C15" s="14" t="n">
        <v>-980029.12</v>
      </c>
      <c r="D15" s="14" t="n">
        <v>-962140.38</v>
      </c>
      <c r="E15" s="14" t="n">
        <v>17888.73999999999</v>
      </c>
      <c r="F15" s="8" t="n">
        <v>13</v>
      </c>
      <c r="G15" s="8" t="n">
        <v>14</v>
      </c>
      <c r="H15" s="8" t="n">
        <v>1</v>
      </c>
      <c r="I15" s="8" t="n">
        <v>0</v>
      </c>
      <c r="J15" s="14" t="n">
        <v>0</v>
      </c>
      <c r="K15" s="14" t="n">
        <v>0</v>
      </c>
    </row>
    <row r="16">
      <c r="A16" s="8" t="inlineStr">
        <is>
          <t>ОсОО "Сон-Куль Тур"</t>
        </is>
      </c>
      <c r="B16" s="8" t="inlineStr">
        <is>
          <t>2026-02</t>
        </is>
      </c>
      <c r="C16" s="14" t="n">
        <v>-989660.4399999999</v>
      </c>
      <c r="D16" s="14" t="n">
        <v>-929868.4399999999</v>
      </c>
      <c r="E16" s="14" t="n">
        <v>59792</v>
      </c>
      <c r="F16" s="8" t="n">
        <v>15</v>
      </c>
      <c r="G16" s="8" t="n">
        <v>16</v>
      </c>
      <c r="H16" s="8" t="n">
        <v>1</v>
      </c>
      <c r="I16" s="8" t="n">
        <v>0</v>
      </c>
      <c r="J16" s="14" t="n">
        <v>1.164153218269348e-10</v>
      </c>
      <c r="K16" s="14" t="n">
        <v>0</v>
      </c>
    </row>
    <row r="17">
      <c r="A17" s="8" t="inlineStr">
        <is>
          <t>Чынар уулу Эмир</t>
        </is>
      </c>
      <c r="B17" s="8" t="inlineStr">
        <is>
          <t>2026-07</t>
        </is>
      </c>
      <c r="C17" s="14" t="n">
        <v>-337460</v>
      </c>
      <c r="D17" s="14" t="n">
        <v>-282656</v>
      </c>
      <c r="E17" s="14" t="n">
        <v>54804</v>
      </c>
      <c r="F17" s="8" t="n">
        <v>11</v>
      </c>
      <c r="G17" s="8" t="n">
        <v>12</v>
      </c>
      <c r="H17" s="8" t="n">
        <v>1</v>
      </c>
      <c r="I17" s="8" t="n">
        <v>0</v>
      </c>
      <c r="J17" s="14" t="n">
        <v>0</v>
      </c>
      <c r="K17" s="14" t="n">
        <v>0</v>
      </c>
    </row>
    <row r="18">
      <c r="A18" s="8" t="inlineStr">
        <is>
          <t>Эсенбек уулу Азамат</t>
        </is>
      </c>
      <c r="B18" s="8" t="inlineStr">
        <is>
          <t>2026-02</t>
        </is>
      </c>
      <c r="C18" s="14" t="n">
        <v>200859.12</v>
      </c>
      <c r="D18" s="14" t="n">
        <v>244493.31</v>
      </c>
      <c r="E18" s="14" t="n">
        <v>43634.19</v>
      </c>
      <c r="F18" s="8" t="n">
        <v>9</v>
      </c>
      <c r="G18" s="8" t="n">
        <v>10</v>
      </c>
      <c r="H18" s="8" t="n">
        <v>1</v>
      </c>
      <c r="I18" s="8" t="n">
        <v>0</v>
      </c>
      <c r="J18" s="14" t="n">
        <v>0</v>
      </c>
      <c r="K18" s="14" t="n">
        <v>0</v>
      </c>
    </row>
  </sheetData>
  <autoFilter ref="A3:K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23" customWidth="1" min="4" max="4"/>
    <col width="22" customWidth="1" min="5" max="5"/>
    <col width="22" customWidth="1" min="6" max="6"/>
    <col width="20" customWidth="1" min="7" max="7"/>
    <col width="12" customWidth="1" min="8" max="8"/>
  </cols>
  <sheetData>
    <row r="1">
      <c r="A1" s="1" t="inlineStr">
        <is>
          <t>Ошибки записи в реестре по сотрудникам (продажи по субагентам)</t>
        </is>
      </c>
    </row>
    <row r="2">
      <c r="A2" s="2" t="inlineStr">
        <is>
          <t>Различие значимо, только если p-value &lt; 0.05. Если нет — честный вывод: концентрации ошибок по сотруднику в данных нет.</t>
        </is>
      </c>
    </row>
    <row r="3" ht="42" customHeight="1">
      <c r="A3" s="13" t="inlineStr">
        <is>
          <t>Сотрудник</t>
        </is>
      </c>
      <c r="B3" s="13" t="inlineStr">
        <is>
          <t>Ошибок в реестре</t>
        </is>
      </c>
      <c r="C3" s="13" t="inlineStr">
        <is>
          <t>Продаж</t>
        </is>
      </c>
      <c r="D3" s="13" t="inlineStr">
        <is>
          <t>Доля ошибок</t>
        </is>
      </c>
      <c r="E3" s="13" t="inlineStr">
        <is>
          <t>95% ДИ от</t>
        </is>
      </c>
      <c r="F3" s="13" t="inlineStr">
        <is>
          <t>95% ДИ до</t>
        </is>
      </c>
      <c r="G3" s="13" t="inlineStr">
        <is>
          <t>p-value (хи-квадрат)</t>
        </is>
      </c>
      <c r="H3" s="13" t="inlineStr">
        <is>
          <t>Различие значимо?</t>
        </is>
      </c>
    </row>
    <row r="4">
      <c r="A4" s="8" t="inlineStr">
        <is>
          <t>b.isakov</t>
        </is>
      </c>
      <c r="B4" s="15" t="n">
        <v>20</v>
      </c>
      <c r="C4" s="15" t="n">
        <v>1282</v>
      </c>
      <c r="D4" s="22" t="n">
        <v>0.015600624024961</v>
      </c>
      <c r="E4" s="22" t="n">
        <v>0.01012135757761048</v>
      </c>
      <c r="F4" s="22" t="n">
        <v>0.02397428841797716</v>
      </c>
      <c r="G4" s="23" t="n">
        <v>0.4896090789901989</v>
      </c>
      <c r="H4" s="8" t="b">
        <v>0</v>
      </c>
    </row>
    <row r="5">
      <c r="A5" s="8" t="inlineStr">
        <is>
          <t>a.toktosunova</t>
        </is>
      </c>
      <c r="B5" s="15" t="n">
        <v>19</v>
      </c>
      <c r="C5" s="15" t="n">
        <v>1329</v>
      </c>
      <c r="D5" s="22" t="n">
        <v>0.01429646350639579</v>
      </c>
      <c r="E5" s="22" t="n">
        <v>0.009171294505044199</v>
      </c>
      <c r="F5" s="22" t="n">
        <v>0.02222148315135548</v>
      </c>
      <c r="G5" s="23" t="n">
        <v>0.4896090789901989</v>
      </c>
      <c r="H5" s="8" t="b">
        <v>0</v>
      </c>
    </row>
    <row r="6">
      <c r="A6" s="8" t="inlineStr">
        <is>
          <t>g.omurbekova</t>
        </is>
      </c>
      <c r="B6" s="15" t="n">
        <v>15</v>
      </c>
      <c r="C6" s="15" t="n">
        <v>1282</v>
      </c>
      <c r="D6" s="22" t="n">
        <v>0.01170046801872075</v>
      </c>
      <c r="E6" s="22" t="n">
        <v>0.007103269603386197</v>
      </c>
      <c r="F6" s="22" t="n">
        <v>0.0192153687110065</v>
      </c>
      <c r="G6" s="23" t="n">
        <v>0.4896090789901989</v>
      </c>
      <c r="H6" s="8" t="b">
        <v>0</v>
      </c>
    </row>
    <row r="7">
      <c r="A7" s="8" t="inlineStr">
        <is>
          <t>d.mambetova</t>
        </is>
      </c>
      <c r="B7" s="15" t="n">
        <v>15</v>
      </c>
      <c r="C7" s="15" t="n">
        <v>1359</v>
      </c>
      <c r="D7" s="22" t="n">
        <v>0.01103752759381899</v>
      </c>
      <c r="E7" s="22" t="n">
        <v>0.00670013821715731</v>
      </c>
      <c r="F7" s="22" t="n">
        <v>0.01813150766157137</v>
      </c>
      <c r="G7" s="23" t="n">
        <v>0.4896090789901989</v>
      </c>
      <c r="H7" s="8" t="b">
        <v>0</v>
      </c>
    </row>
    <row r="8">
      <c r="A8" s="8" t="inlineStr">
        <is>
          <t>r.sydykov</t>
        </is>
      </c>
      <c r="B8" s="15" t="n">
        <v>14</v>
      </c>
      <c r="C8" s="15" t="n">
        <v>1375</v>
      </c>
      <c r="D8" s="22" t="n">
        <v>0.01018181818181818</v>
      </c>
      <c r="E8" s="22" t="n">
        <v>0.00607465177436065</v>
      </c>
      <c r="F8" s="22" t="n">
        <v>0.01701835615345354</v>
      </c>
      <c r="G8" s="23" t="n">
        <v>0.4896090789901989</v>
      </c>
      <c r="H8" s="8" t="b">
        <v>0</v>
      </c>
    </row>
    <row r="9">
      <c r="A9" s="8" t="inlineStr">
        <is>
          <t>e.satarov</t>
        </is>
      </c>
      <c r="B9" s="15" t="n">
        <v>13</v>
      </c>
      <c r="C9" s="15" t="n">
        <v>1294</v>
      </c>
      <c r="D9" s="22" t="n">
        <v>0.01004636785162288</v>
      </c>
      <c r="E9" s="22" t="n">
        <v>0.00588042999749697</v>
      </c>
      <c r="F9" s="22" t="n">
        <v>0.01711282280007093</v>
      </c>
      <c r="G9" s="23" t="n">
        <v>0.4896090789901989</v>
      </c>
      <c r="H9" s="8" t="b">
        <v>0</v>
      </c>
    </row>
    <row r="10">
      <c r="A10" s="8" t="inlineStr">
        <is>
          <t>n.abdyldaeva</t>
        </is>
      </c>
      <c r="B10" s="15" t="n">
        <v>11</v>
      </c>
      <c r="C10" s="15" t="n">
        <v>1327</v>
      </c>
      <c r="D10" s="22" t="n">
        <v>0.008289374529012811</v>
      </c>
      <c r="E10" s="22" t="n">
        <v>0.004634857336938576</v>
      </c>
      <c r="F10" s="22" t="n">
        <v>0.01478263006351539</v>
      </c>
      <c r="G10" s="23" t="n">
        <v>0.4896090789901989</v>
      </c>
      <c r="H10" s="8" t="b">
        <v>0</v>
      </c>
    </row>
    <row r="11">
      <c r="A11" s="8" t="inlineStr">
        <is>
          <t>k.dzhumaev</t>
        </is>
      </c>
      <c r="B11" s="15" t="n">
        <v>10</v>
      </c>
      <c r="C11" s="15" t="n">
        <v>1334</v>
      </c>
      <c r="D11" s="22" t="n">
        <v>0.007496251874062968</v>
      </c>
      <c r="E11" s="22" t="n">
        <v>0.00407683172040269</v>
      </c>
      <c r="F11" s="22" t="n">
        <v>0.0137441121043371</v>
      </c>
      <c r="G11" s="23" t="n">
        <v>0.4896090789901989</v>
      </c>
      <c r="H11" s="8" t="b">
        <v>0</v>
      </c>
    </row>
  </sheetData>
  <autoFilter ref="A3:H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2" customWidth="1" min="3" max="3"/>
    <col width="21" customWidth="1" min="4" max="4"/>
    <col width="11" customWidth="1" min="5" max="5"/>
  </cols>
  <sheetData>
    <row r="1">
      <c r="A1" s="1" t="inlineStr">
        <is>
          <t>ML: предупреждающая модель — предсказывает источник проблемы по операции ETM</t>
        </is>
      </c>
    </row>
    <row r="2">
      <c r="A2" s="2" t="inlineStr">
        <is>
          <t>Метки получены правилами (слабая разметка), признаки известны на момент проводки, проверка строго по времени, дважды. Рядом с метриками — тривиальные baseline. Вывод: модель приоритизирует проверку, а не заменяет правила.</t>
        </is>
      </c>
    </row>
    <row r="3" ht="42" customHeight="1">
      <c r="A3" s="13" t="inlineStr">
        <is>
          <t>Метрика</t>
        </is>
      </c>
      <c r="B3" s="13" t="inlineStr">
        <is>
          <t>main (last month)</t>
        </is>
      </c>
      <c r="C3" s="13" t="inlineStr">
        <is>
          <t>check (previous month)</t>
        </is>
      </c>
    </row>
    <row r="4">
      <c r="A4" s="8" t="inlineStr">
        <is>
          <t>test_month</t>
        </is>
      </c>
      <c r="B4" s="8" t="inlineStr">
        <is>
          <t>2026-07</t>
        </is>
      </c>
      <c r="C4" s="8" t="inlineStr">
        <is>
          <t>2026-06</t>
        </is>
      </c>
    </row>
    <row r="5">
      <c r="A5" s="8" t="inlineStr">
        <is>
          <t>train_months</t>
        </is>
      </c>
      <c r="B5" s="8" t="inlineStr">
        <is>
          <t>2026-01..2026-06</t>
        </is>
      </c>
      <c r="C5" s="8" t="inlineStr">
        <is>
          <t>2026-01..2026-05</t>
        </is>
      </c>
    </row>
    <row r="6">
      <c r="A6" s="8" t="inlineStr">
        <is>
          <t>n_train</t>
        </is>
      </c>
      <c r="B6" s="8" t="n">
        <v>20067</v>
      </c>
      <c r="C6" s="8" t="n">
        <v>16065</v>
      </c>
    </row>
    <row r="7">
      <c r="A7" s="8" t="inlineStr">
        <is>
          <t>n_test</t>
        </is>
      </c>
      <c r="B7" s="8" t="n">
        <v>4451</v>
      </c>
      <c r="C7" s="8" t="n">
        <v>4002</v>
      </c>
    </row>
    <row r="8">
      <c r="A8" s="8" t="inlineStr">
        <is>
          <t>test_error_rate</t>
        </is>
      </c>
      <c r="B8" s="8" t="n">
        <v>0.06515389800044934</v>
      </c>
      <c r="C8" s="8" t="n">
        <v>0.07146426786606697</v>
      </c>
    </row>
    <row r="9">
      <c r="A9" s="8" t="inlineStr">
        <is>
          <t>accuracy</t>
        </is>
      </c>
      <c r="B9" s="8" t="n">
        <v>0.9188946304201303</v>
      </c>
      <c r="C9" s="8" t="n">
        <v>0.9160419790104948</v>
      </c>
    </row>
    <row r="10">
      <c r="A10" s="8" t="inlineStr">
        <is>
          <t>accuracy_majority_baseline</t>
        </is>
      </c>
      <c r="B10" s="8" t="n">
        <v>0.9348461019995506</v>
      </c>
      <c r="C10" s="8" t="n">
        <v>0.928535732133933</v>
      </c>
    </row>
    <row r="11">
      <c r="A11" s="8" t="inlineStr">
        <is>
          <t>macro_f1</t>
        </is>
      </c>
      <c r="B11" s="8" t="n">
        <v>0.2295022958418918</v>
      </c>
      <c r="C11" s="8" t="n">
        <v>0.236734172858056</v>
      </c>
    </row>
    <row r="12">
      <c r="A12" s="8" t="inlineStr">
        <is>
          <t>macro_f1_majority_baseline</t>
        </is>
      </c>
      <c r="B12" s="8" t="n">
        <v>0.1932652113330237</v>
      </c>
      <c r="C12" s="8" t="n">
        <v>0.1925887535630993</v>
      </c>
    </row>
    <row r="13">
      <c r="A13" s="8" t="inlineStr">
        <is>
          <t>balanced_accuracy</t>
        </is>
      </c>
      <c r="B13" s="8" t="n">
        <v>0.2204942336034839</v>
      </c>
      <c r="C13" s="8" t="n">
        <v>0.2258628380663329</v>
      </c>
    </row>
    <row r="14">
      <c r="A14" s="8" t="inlineStr">
        <is>
          <t>any_error_pr_auc</t>
        </is>
      </c>
      <c r="B14" s="8" t="n">
        <v>0.1026426834985475</v>
      </c>
      <c r="C14" s="8" t="n">
        <v>0.1223810376018023</v>
      </c>
    </row>
    <row r="15">
      <c r="A15" s="8" t="inlineStr">
        <is>
          <t>any_error_pr_auc_baseline_prior_rate</t>
        </is>
      </c>
      <c r="B15" s="8" t="n">
        <v>0.0722320171251107</v>
      </c>
      <c r="C15" s="8" t="n">
        <v>0.07529164107778205</v>
      </c>
    </row>
    <row r="16">
      <c r="A16" s="8" t="inlineStr">
        <is>
          <t>any_error_pr_auc_random</t>
        </is>
      </c>
      <c r="B16" s="8" t="n">
        <v>0.06515389800044934</v>
      </c>
      <c r="C16" s="8" t="n">
        <v>0.07146426786606697</v>
      </c>
    </row>
    <row r="17">
      <c r="A17" s="8" t="inlineStr">
        <is>
          <t>any_error_roc_auc</t>
        </is>
      </c>
      <c r="B17" s="8" t="n">
        <v>0.5587789738872453</v>
      </c>
      <c r="C17" s="8" t="n">
        <v>0.5828528306999782</v>
      </c>
    </row>
    <row r="18">
      <c r="A18" s="8" t="inlineStr">
        <is>
          <t>precision_at_top5pct</t>
        </is>
      </c>
      <c r="B18" s="8" t="n">
        <v>0.1126126126126126</v>
      </c>
      <c r="C18" s="8" t="n">
        <v>0.13</v>
      </c>
    </row>
    <row r="19">
      <c r="A19" s="8" t="inlineStr">
        <is>
          <t>lift_at_top5pct</t>
        </is>
      </c>
      <c r="B19" s="8" t="n">
        <v>1.728409443926685</v>
      </c>
      <c r="C19" s="8" t="n">
        <v>1.819090909090909</v>
      </c>
    </row>
    <row r="20">
      <c r="A20" s="8" t="inlineStr">
        <is>
          <t>recall_at_top5pct</t>
        </is>
      </c>
      <c r="B20" s="8" t="n">
        <v>0.08620689655172414</v>
      </c>
      <c r="C20" s="8" t="n">
        <v>0.09090909090909091</v>
      </c>
    </row>
    <row r="22">
      <c r="A22" s="20" t="inlineStr">
        <is>
          <t>По классам (тест — последний месяц)</t>
        </is>
      </c>
    </row>
    <row r="23" ht="42" customHeight="1">
      <c r="A23" s="13" t="inlineStr">
        <is>
          <t>class</t>
        </is>
      </c>
      <c r="B23" s="13" t="inlineStr">
        <is>
          <t>precision</t>
        </is>
      </c>
      <c r="C23" s="13" t="inlineStr">
        <is>
          <t>recall</t>
        </is>
      </c>
      <c r="D23" s="13" t="inlineStr">
        <is>
          <t>f1</t>
        </is>
      </c>
      <c r="E23" s="13" t="inlineStr">
        <is>
          <t>support</t>
        </is>
      </c>
    </row>
    <row r="24">
      <c r="A24" s="8" t="inlineStr">
        <is>
          <t>OK</t>
        </is>
      </c>
      <c r="B24" s="8" t="n">
        <v>0.9364387333639284</v>
      </c>
      <c r="C24" s="8" t="n">
        <v>0.9807738524393175</v>
      </c>
      <c r="D24" s="8" t="n">
        <v>0.9580936729663106</v>
      </c>
      <c r="E24" s="8" t="n">
        <v>4161</v>
      </c>
    </row>
    <row r="25">
      <c r="A25" s="8" t="inlineStr">
        <is>
          <t>BOT</t>
        </is>
      </c>
      <c r="B25" s="8" t="n">
        <v>0.3333333333333333</v>
      </c>
      <c r="C25" s="8" t="n">
        <v>0.08333333333333333</v>
      </c>
      <c r="D25" s="8" t="n">
        <v>0.1333333333333333</v>
      </c>
      <c r="E25" s="8" t="n">
        <v>60</v>
      </c>
    </row>
    <row r="26">
      <c r="A26" s="8" t="inlineStr">
        <is>
          <t>1C</t>
        </is>
      </c>
      <c r="B26" s="8" t="n">
        <v>0.06666666666666667</v>
      </c>
      <c r="C26" s="8" t="n">
        <v>0.02631578947368421</v>
      </c>
      <c r="D26" s="8" t="n">
        <v>0.03773584905660377</v>
      </c>
      <c r="E26" s="8" t="n">
        <v>114</v>
      </c>
    </row>
    <row r="27">
      <c r="A27" s="8" t="inlineStr">
        <is>
          <t>AGENT</t>
        </is>
      </c>
      <c r="B27" s="8" t="n">
        <v>0</v>
      </c>
      <c r="C27" s="8" t="n">
        <v>0</v>
      </c>
      <c r="D27" s="8" t="n">
        <v>0</v>
      </c>
      <c r="E27" s="8" t="n">
        <v>33</v>
      </c>
    </row>
    <row r="28">
      <c r="A28" s="8" t="inlineStr">
        <is>
          <t>REVIEW</t>
        </is>
      </c>
      <c r="B28" s="8" t="n">
        <v>0.03846153846153846</v>
      </c>
      <c r="C28" s="8" t="n">
        <v>0.01204819277108434</v>
      </c>
      <c r="D28" s="8" t="n">
        <v>0.01834862385321101</v>
      </c>
      <c r="E28" s="8" t="n">
        <v>83</v>
      </c>
    </row>
    <row r="30">
      <c r="A30" s="20" t="inlineStr">
        <is>
          <t>Важность признаков (падение PR-AUC при перемешивании)</t>
        </is>
      </c>
    </row>
    <row r="31" ht="42" customHeight="1">
      <c r="A31" s="13" t="inlineStr">
        <is>
          <t>feature</t>
        </is>
      </c>
      <c r="B31" s="13" t="inlineStr">
        <is>
          <t>pr_auc_drop_when_shuffled</t>
        </is>
      </c>
    </row>
    <row r="32">
      <c r="A32" s="8" t="inlineStr">
        <is>
          <t>hours_since_same_payment</t>
        </is>
      </c>
      <c r="B32" s="8" t="n">
        <v>0.02555746846846801</v>
      </c>
    </row>
    <row r="33">
      <c r="A33" s="8" t="inlineStr">
        <is>
          <t>kind</t>
        </is>
      </c>
      <c r="B33" s="8" t="n">
        <v>0.01704145973641184</v>
      </c>
    </row>
    <row r="34">
      <c r="A34" s="8" t="inlineStr">
        <is>
          <t>agent_prior_n</t>
        </is>
      </c>
      <c r="B34" s="8" t="n">
        <v>0.00550885402419847</v>
      </c>
    </row>
    <row r="35">
      <c r="A35" s="8" t="inlineStr">
        <is>
          <t>prior_same_ticket_rows</t>
        </is>
      </c>
      <c r="B35" s="8" t="n">
        <v>0.002773796402030987</v>
      </c>
    </row>
    <row r="36">
      <c r="A36" s="8" t="inlineStr">
        <is>
          <t>hour</t>
        </is>
      </c>
      <c r="B36" s="8" t="n">
        <v>0.00235047944257788</v>
      </c>
    </row>
    <row r="37">
      <c r="A37" s="8" t="inlineStr">
        <is>
          <t>employee</t>
        </is>
      </c>
      <c r="B37" s="8" t="n">
        <v>0.001809704497674855</v>
      </c>
    </row>
    <row r="38">
      <c r="A38" s="8" t="inlineStr">
        <is>
          <t>creator</t>
        </is>
      </c>
      <c r="B38" s="8" t="n">
        <v>0.001731398062443587</v>
      </c>
    </row>
    <row r="39">
      <c r="A39" s="8" t="inlineStr">
        <is>
          <t>weekday</t>
        </is>
      </c>
      <c r="B39" s="8" t="n">
        <v>0.001114577268451947</v>
      </c>
    </row>
    <row r="40">
      <c r="A40" s="8" t="inlineStr">
        <is>
          <t>n_tickets</t>
        </is>
      </c>
      <c r="B40" s="8" t="n">
        <v>0.001017524591718222</v>
      </c>
    </row>
    <row r="41">
      <c r="A41" s="8" t="inlineStr">
        <is>
          <t>month_end</t>
        </is>
      </c>
      <c r="B41" s="8" t="n">
        <v>-3.11508565069285e-06</v>
      </c>
    </row>
    <row r="42">
      <c r="A42" s="8" t="inlineStr">
        <is>
          <t>currency</t>
        </is>
      </c>
      <c r="B42" s="8" t="n">
        <v>-0.0003861308759957188</v>
      </c>
    </row>
    <row r="43">
      <c r="A43" s="8" t="inlineStr">
        <is>
          <t>dom</t>
        </is>
      </c>
      <c r="B43" s="8" t="n">
        <v>-0.001095231187282941</v>
      </c>
    </row>
    <row r="44">
      <c r="A44" s="8" t="inlineStr">
        <is>
          <t>agent_n_agreements</t>
        </is>
      </c>
      <c r="B44" s="8" t="n">
        <v>-0.001799179555648803</v>
      </c>
    </row>
    <row r="45">
      <c r="A45" s="8" t="inlineStr">
        <is>
          <t>log_amount</t>
        </is>
      </c>
      <c r="B45" s="8" t="n">
        <v>-0.003869025114328337</v>
      </c>
    </row>
    <row r="46">
      <c r="A46" s="8" t="inlineStr">
        <is>
          <t>agent_prior_err_rate</t>
        </is>
      </c>
      <c r="B46" s="8" t="n">
        <v>-0.01602948151128314</v>
      </c>
    </row>
  </sheetData>
  <autoFilter ref="A31:B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Три реальных случая: сумма → билет → где потерялось → кто проверяет → что исправить</t>
        </is>
      </c>
    </row>
    <row r="3">
      <c r="A3" s="24" t="inlineStr">
        <is>
          <t>Кейс 1. Неверная сумма в 1С (подтверждена реестром)</t>
        </is>
      </c>
      <c r="B3" s="25" t="n"/>
    </row>
    <row r="4" ht="32" customHeight="1">
      <c r="A4" s="26" t="inlineStr">
        <is>
          <t>Субагент</t>
        </is>
      </c>
      <c r="B4" s="12" t="inlineStr">
        <is>
          <t>Aylana Tour</t>
        </is>
      </c>
    </row>
    <row r="5" ht="32" customHeight="1">
      <c r="A5" s="26" t="inlineStr">
        <is>
          <t>Сумма и билет</t>
        </is>
      </c>
      <c r="B5" s="12" t="inlineStr">
        <is>
          <t>Билет 2461885523: ETM списал 91,284.00, реестр 91,284.00, а в 1С реализация на 19,284.00.</t>
        </is>
      </c>
    </row>
    <row r="6" ht="32" customHeight="1">
      <c r="A6" s="26" t="inlineStr">
        <is>
          <t>Где потерялось</t>
        </is>
      </c>
      <c r="B6" s="12" t="inlineStr">
        <is>
          <t>Реестр и ETM совпадают, 1С одна отличается на 72,000.00 (Реализация AR DJDCDE).</t>
        </is>
      </c>
    </row>
    <row r="7" ht="32" customHeight="1">
      <c r="A7" s="26" t="inlineStr">
        <is>
          <t>Кто проверяет</t>
        </is>
      </c>
      <c r="B7" s="12" t="inlineStr">
        <is>
          <t>Бухгалтер 1С; запись в реестре вёл b.isakov.</t>
        </is>
      </c>
    </row>
    <row r="8" ht="32" customHeight="1">
      <c r="A8" s="26" t="inlineStr">
        <is>
          <t>Что исправить</t>
        </is>
      </c>
      <c r="B8" s="12" t="inlineStr">
        <is>
          <t>Исправить реализацию в 1С на +72,000.00; баланс ETM не трогать.</t>
        </is>
      </c>
    </row>
    <row r="10">
      <c r="A10" s="24" t="inlineStr">
        <is>
          <t>Кейс 2. Бот списал билет дважды</t>
        </is>
      </c>
      <c r="B10" s="25" t="n"/>
    </row>
    <row r="11" ht="32" customHeight="1">
      <c r="A11" s="26" t="inlineStr">
        <is>
          <t>Субагент</t>
        </is>
      </c>
      <c r="B11" s="12" t="inlineStr">
        <is>
          <t>ТАЛАС ЛАЙН</t>
        </is>
      </c>
    </row>
    <row r="12" ht="32" customHeight="1">
      <c r="A12" s="26" t="inlineStr">
        <is>
          <t>Сумма и билет</t>
        </is>
      </c>
      <c r="B12" s="12" t="inlineStr">
        <is>
          <t>Билет 2416946131: в ETM два одинаковых списания, лишнее 62,508.38.</t>
        </is>
      </c>
    </row>
    <row r="13" ht="32" customHeight="1">
      <c r="A13" s="26" t="inlineStr">
        <is>
          <t>Где потерялось</t>
        </is>
      </c>
      <c r="B13" s="12" t="inlineStr">
        <is>
          <t>ETM-операции 57192041,57192059; без дубля сумма ETM = 1С (62,508.38).</t>
        </is>
      </c>
    </row>
    <row r="14" ht="32" customHeight="1">
      <c r="A14" s="26" t="inlineStr">
        <is>
          <t>Кто проверяет</t>
        </is>
      </c>
      <c r="B14" s="12" t="inlineStr">
        <is>
          <t>Разработчик/поддержка бота ETM (защита от повторной проводки); менеджер субагента — возврат списания.</t>
        </is>
      </c>
    </row>
    <row r="15" ht="32" customHeight="1">
      <c r="A15" s="26" t="inlineStr">
        <is>
          <t>Что исправить</t>
        </is>
      </c>
      <c r="B15" s="12" t="inlineStr">
        <is>
          <t>Вернуть на баланс ETM 62,508.38.</t>
        </is>
      </c>
    </row>
    <row r="17">
      <c r="A17" s="24" t="inlineStr">
        <is>
          <t>Кейс 3. Оплата зачислена в ETM повторно</t>
        </is>
      </c>
      <c r="B17" s="25" t="n"/>
    </row>
    <row r="18" ht="32" customHeight="1">
      <c r="A18" s="26" t="inlineStr">
        <is>
          <t>Субагент</t>
        </is>
      </c>
      <c r="B18" s="12" t="inlineStr">
        <is>
          <t>Ak-Bulak Voyage</t>
        </is>
      </c>
    </row>
    <row r="19" ht="32" customHeight="1">
      <c r="A19" s="26" t="inlineStr">
        <is>
          <t>Сумма и билет</t>
        </is>
      </c>
      <c r="B19" s="12" t="inlineStr">
        <is>
          <t>Оплата 562,800.00 от 28.03.2026: в ETM две одинаковые проводки, в 1С поступление одно.</t>
        </is>
      </c>
    </row>
    <row r="20" ht="32" customHeight="1">
      <c r="A20" s="26" t="inlineStr">
        <is>
          <t>Где потерялось</t>
        </is>
      </c>
      <c r="B20" s="12" t="inlineStr">
        <is>
          <t>Оплата на 562,800.00 повторно зачислена в ETM через 21.4 ч, в 1С поступление одно</t>
        </is>
      </c>
    </row>
    <row r="21" ht="32" customHeight="1">
      <c r="A21" s="26" t="inlineStr">
        <is>
          <t>Кто проверяет</t>
        </is>
      </c>
      <c r="B21" s="12" t="inlineStr">
        <is>
          <t>Разработчик/поддержка бота ETM; казначей (подтвердить, что деньги пришли один раз).</t>
        </is>
      </c>
    </row>
    <row r="22" ht="32" customHeight="1">
      <c r="A22" s="26" t="inlineStr">
        <is>
          <t>Что исправить</t>
        </is>
      </c>
      <c r="B22" s="12" t="inlineStr">
        <is>
          <t>Списать с баланса ETM 562,800.00.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70" customWidth="1" min="4" max="4"/>
  </cols>
  <sheetData>
    <row r="1">
      <c r="A1" s="1" t="inlineStr">
        <is>
          <t>Конкретные вопросы, которые надо закрыть с бухгалтером</t>
        </is>
      </c>
    </row>
    <row r="3" ht="42" customHeight="1">
      <c r="A3" s="13" t="inlineStr">
        <is>
          <t>№</t>
        </is>
      </c>
      <c r="B3" s="13" t="inlineStr">
        <is>
          <t>Вопрос</t>
        </is>
      </c>
      <c r="C3" s="13" t="inlineStr">
        <is>
          <t>Сколько случаев / KGS</t>
        </is>
      </c>
      <c r="D3" s="13" t="inlineStr">
        <is>
          <t>Как меняется результат, если ответ «да»</t>
        </is>
      </c>
    </row>
    <row r="4">
      <c r="A4" s="8" t="n">
        <v>1</v>
      </c>
      <c r="B4" s="12" t="inlineStr">
        <is>
          <t>Сервисный сбор: проводится ли он в 1С отдельной строкой, а в ETM входит в сумму выкупа? Подтвердить, что суммы групп должны совпадать до копейки.</t>
        </is>
      </c>
      <c r="C4" s="8" t="inlineStr">
        <is>
          <t>758 групп с остатком</t>
        </is>
      </c>
      <c r="D4" s="12" t="inlineStr">
        <is>
          <t>Группы с остатком, кратным сбору, перейдут из «проверка» в «норма»</t>
        </is>
      </c>
    </row>
    <row r="5">
      <c r="A5" s="8" t="n">
        <v>2</v>
      </c>
      <c r="B5" s="12" t="inlineStr">
        <is>
          <t>Лаг между проводкой ETM и реализацией 1С: какой допустим (дни)? Операция на границе месяцев — ошибка или перенос?</t>
        </is>
      </c>
      <c r="C5" s="8" t="inlineStr">
        <is>
          <t>медиана лага OK-групп 0 дн.; 95-й процентиль 0 дн.</t>
        </is>
      </c>
      <c r="D5" s="12" t="inlineStr">
        <is>
          <t>Операции на стыке месяцев исключаются из «нет в 1С» / «акт не выгружен»</t>
        </is>
      </c>
    </row>
    <row r="6">
      <c r="A6" s="8" t="n">
        <v>3</v>
      </c>
      <c r="B6" s="12" t="inlineStr">
        <is>
          <t>Повторяющиеся суммы разрыва сальдо 1С у разных субагентов (107 557,10; 283 308,99; 4 800; 27 500) — пакетная корректировка/сторно?</t>
        </is>
      </c>
      <c r="C6" s="8" t="inlineStr">
        <is>
          <t>20 разрывов, 2,053,526.35 KGS</t>
        </is>
      </c>
      <c r="D6" s="12" t="inlineStr">
        <is>
          <t>Разрыв считается задокументированной корректировкой, а не ошибкой</t>
        </is>
      </c>
    </row>
    <row r="7">
      <c r="A7" s="8" t="n">
        <v>4</v>
      </c>
      <c r="B7" s="12" t="inlineStr">
        <is>
          <t>Выгрузить недостающие акты 1С по перечню на листе «1С нет актов».</t>
        </is>
      </c>
      <c r="C7" s="8" t="inlineStr">
        <is>
          <t>24 субагент-месяцев</t>
        </is>
      </c>
      <c r="D7" s="12" t="inlineStr">
        <is>
          <t>Снимает группы «акт не выгружен» и «скачок через пропуск»</t>
        </is>
      </c>
    </row>
    <row r="8">
      <c r="A8" s="8" t="n">
        <v>5</v>
      </c>
      <c r="B8" s="12" t="inlineStr">
        <is>
          <t>Кто вводит сумму акта вручную и бывают ли опечатки? Как отличить их от ошибки субагента при самостоятельной выписке (нет записи в реестре)?</t>
        </is>
      </c>
      <c r="C8" s="8" t="inlineStr">
        <is>
          <t>334 групп без третьего источника</t>
        </is>
      </c>
      <c r="D8" s="12" t="inlineStr">
        <is>
          <t>Часть «проверка» получит владельца ошибки</t>
        </is>
      </c>
    </row>
    <row r="9">
      <c r="A9" s="8" t="n">
        <v>6</v>
      </c>
      <c r="B9" s="12" t="inlineStr">
        <is>
          <t>Начальный разрыв на 1 января: есть ли акт сверки/сальдо открытия, которое его объясняет?</t>
        </is>
      </c>
      <c r="C9" s="8" t="inlineStr">
        <is>
          <t>36 субагентов, нетто 2,683,079.59 KGS</t>
        </is>
      </c>
      <c r="D9" s="12" t="inlineStr">
        <is>
          <t>Начальный разрыв уйдёт из «выяснить»</t>
        </is>
      </c>
    </row>
    <row r="10">
      <c r="A10" s="8" t="n">
        <v>7</v>
      </c>
      <c r="B10" s="12" t="inlineStr">
        <is>
          <t>Поступления 1С, по которым в ETM нет оплаты: зачисляются ли такие оплаты на другой договор/в другой период или действительно не доходят на депозит? Номер ЦБ-С… не уникален между субагентами, поэтому как ключ не использован.</t>
        </is>
      </c>
      <c r="C10" s="8" t="inlineStr">
        <is>
          <t>221 поступлений, 60,646,400.00 KGS</t>
        </is>
      </c>
      <c r="D10" s="12" t="inlineStr">
        <is>
          <t>Крупнейшая компонента разрыва; ответ определяет, кому её исправлять — боту или казначею</t>
        </is>
      </c>
    </row>
  </sheetData>
  <autoFilter ref="A3:D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1" t="inlineStr">
        <is>
          <t>Допущения, проверки целостности и ограничения</t>
        </is>
      </c>
    </row>
    <row r="3" ht="42" customHeight="1">
      <c r="A3" s="13" t="inlineStr">
        <is>
          <t>Пункт</t>
        </is>
      </c>
      <c r="B3" s="13" t="inlineStr">
        <is>
          <t>Значение / пояснение</t>
        </is>
      </c>
    </row>
    <row r="4">
      <c r="A4" s="8" t="inlineStr">
        <is>
          <t>Версия акта</t>
        </is>
      </c>
      <c r="B4" s="12" t="inlineStr">
        <is>
          <t>Берётся последняя: переиздан &gt; без статуса &gt; черновик. Различия — на листе «1С черновик и переиздан».</t>
        </is>
      </c>
    </row>
    <row r="5">
      <c r="A5" s="8" t="inlineStr">
        <is>
          <t>Единица сравнения</t>
        </is>
      </c>
      <c r="B5" s="12" t="inlineStr">
        <is>
          <t>Связная группа билетов внутри субагента (union-find по билетам ETM, 1С и реестра), а не строка к строке.</t>
        </is>
      </c>
    </row>
    <row r="6">
      <c r="A6" s="8" t="inlineStr">
        <is>
          <t>Допуск</t>
        </is>
      </c>
      <c r="B6" s="12" t="inlineStr">
        <is>
          <t>5 KGS для ETM↔1С (оба в сомах); 0,5% для реестра в валюте (курс реестра может отличаться).</t>
        </is>
      </c>
    </row>
    <row r="7">
      <c r="A7" s="8" t="inlineStr">
        <is>
          <t>Баланс ETM</t>
        </is>
      </c>
      <c r="B7" s="12" t="inlineStr">
        <is>
          <t>balance_after — сквозной баланс субагента; цепочка проверяется по субагенту; одинаковая секунда — не потеря данных.</t>
        </is>
      </c>
    </row>
    <row r="8">
      <c r="A8" s="8" t="inlineStr">
        <is>
          <t>Реестр</t>
        </is>
      </c>
      <c r="B8" s="12" t="inlineStr">
        <is>
          <t>Сумма разбирается с учётом разделителей (7.889,70 → 7889.70) и курсов строки; номер билета в колонке суммы помечается отдельно.</t>
        </is>
      </c>
    </row>
    <row r="9">
      <c r="A9" s="8" t="inlineStr">
        <is>
          <t>Корпоративные клиенты</t>
        </is>
      </c>
      <c r="B9" s="12" t="inlineStr">
        <is>
          <t>Стороны реестра без единого общего билета с субагентами считаются прямыми клиентами; баланс субагента они не затрагивают.</t>
        </is>
      </c>
    </row>
    <row r="10">
      <c r="A10" s="8" t="inlineStr">
        <is>
          <t>Платежи</t>
        </is>
      </c>
      <c r="B10" s="12" t="inlineStr">
        <is>
          <t>Оплата ETM ↔ поступление 1С: тот же субагент, сумма ±1 KGS, дата ±7 дней, один к одному. Номера ЦБ-С… не уникальны между субагентами и ключом не служат.</t>
        </is>
      </c>
    </row>
    <row r="11">
      <c r="A11" s="8" t="inlineStr">
        <is>
          <t>Корректировки</t>
        </is>
      </c>
      <c r="B11" s="12" t="inlineStr">
        <is>
          <t>Сторона правки определяется источником: 1С → правка 1С; бот/ETM → правка баланса ETM; реестр → баланс не меняется; остальное → «выяснить».</t>
        </is>
      </c>
    </row>
    <row r="12">
      <c r="A12" s="8" t="inlineStr">
        <is>
          <t>Ограничение</t>
        </is>
      </c>
      <c r="B12" s="12" t="inlineStr">
        <is>
          <t>Билеты, выписанные субагентом самостоятельно, не попадают в реестр, поэтому для них источник ошибки в сумме определяется только по формальным признакам.</t>
        </is>
      </c>
    </row>
    <row r="13">
      <c r="A13" s="8" t="inlineStr">
        <is>
          <t>— проверки целостности (значения из прогона) —</t>
        </is>
      </c>
      <c r="B13" s="12" t="inlineStr"/>
    </row>
    <row r="14">
      <c r="A14" s="8" t="inlineStr">
        <is>
          <t>ticket_agent_conflicts</t>
        </is>
      </c>
      <c r="B14" s="12" t="inlineStr">
        <is>
          <t>0</t>
        </is>
      </c>
    </row>
    <row r="15">
      <c r="A15" s="8" t="inlineStr">
        <is>
          <t>etm_rows_outside_window</t>
        </is>
      </c>
      <c r="B15" s="12" t="inlineStr">
        <is>
          <t>0</t>
        </is>
      </c>
    </row>
    <row r="16">
      <c r="A16" s="8" t="inlineStr">
        <is>
          <t>etm_chain_breaks_agent_level</t>
        </is>
      </c>
      <c r="B16" s="12" t="inlineStr">
        <is>
          <t>6</t>
        </is>
      </c>
    </row>
    <row r="17">
      <c r="A17" s="8" t="inlineStr">
        <is>
          <t>etm_chain_breaks_agents</t>
        </is>
      </c>
      <c r="B17" s="12" t="inlineStr">
        <is>
          <t>2</t>
        </is>
      </c>
    </row>
    <row r="18">
      <c r="A18" s="8" t="inlineStr">
        <is>
          <t>etm_chain_total_mismatch_agents</t>
        </is>
      </c>
      <c r="B18" s="12" t="inlineStr">
        <is>
          <t>0</t>
        </is>
      </c>
    </row>
    <row r="19">
      <c r="A19" s="8" t="inlineStr">
        <is>
          <t>etm_rows_without_ticket_not_payment</t>
        </is>
      </c>
      <c r="B19" s="12" t="inlineStr">
        <is>
          <t>0</t>
        </is>
      </c>
    </row>
    <row r="20">
      <c r="A20" s="8" t="inlineStr">
        <is>
          <t>1c_rows_without_ticket_not_receipt</t>
        </is>
      </c>
      <c r="B20" s="12" t="inlineStr">
        <is>
          <t>0</t>
        </is>
      </c>
    </row>
    <row r="21">
      <c r="A21" s="8" t="inlineStr">
        <is>
          <t>registry_rows_unassigned_agent</t>
        </is>
      </c>
      <c r="B21" s="12" t="inlineStr">
        <is>
          <t>1</t>
        </is>
      </c>
    </row>
    <row r="22">
      <c r="A22" s="8" t="inlineStr">
        <is>
          <t>bridge_max_abs_unexplained</t>
        </is>
      </c>
      <c r="B22" s="12" t="inlineStr">
        <is>
          <t>2.2118911147117615e-09</t>
        </is>
      </c>
    </row>
    <row r="23">
      <c r="A23" s="8" t="inlineStr">
        <is>
          <t>monthly_identity_max_abs</t>
        </is>
      </c>
      <c r="B23" s="12" t="inlineStr">
        <is>
          <t>1.1641532182693481e-09</t>
        </is>
      </c>
    </row>
    <row r="24">
      <c r="A24" s="8" t="inlineStr">
        <is>
          <t>actions_max_abs_check</t>
        </is>
      </c>
      <c r="B24" s="12" t="inlineStr">
        <is>
          <t>6.984919309616089e-10</t>
        </is>
      </c>
    </row>
  </sheetData>
  <autoFilter ref="A3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2026-10-05T12:38:28Z</dcterms:created>
  <dcterms:modified xmlns:dcterms="http://purl.org/dc/terms/" xmlns:xsi="http://www.w3.org/2001/XMLSchema-instance" xsi:type="dcterms:W3CDTF">2026-10-05T12:38:30Z</dcterms:modified>
</cp:coreProperties>
</file>